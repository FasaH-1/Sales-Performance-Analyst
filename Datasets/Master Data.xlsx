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count Manager Data" sheetId="1" r:id="rId5"/>
    <sheet state="visible" name="Target" sheetId="2" r:id="rId6"/>
    <sheet state="visible" name="Raw Revenue" sheetId="3" r:id="rId7"/>
    <sheet state="visible" name="Account Data" sheetId="4" r:id="rId8"/>
    <sheet state="visible" name="AM " sheetId="5" r:id="rId9"/>
    <sheet state="visible" name="LineChart" sheetId="6" r:id="rId10"/>
    <sheet state="visible" name="Generate Dummy Closed WON (Reve" sheetId="7" r:id="rId11"/>
    <sheet state="visible" name="Sheet8" sheetId="8" r:id="rId12"/>
  </sheets>
  <definedNames>
    <definedName hidden="1" localSheetId="3" name="_xlnm._FilterDatabase">'Account Data'!$A$1:$AG$1002</definedName>
    <definedName hidden="1" localSheetId="4" name="_xlnm._FilterDatabase">'AM '!$A$1:$CI$16</definedName>
  </definedNames>
  <calcPr/>
</workbook>
</file>

<file path=xl/sharedStrings.xml><?xml version="1.0" encoding="utf-8"?>
<sst xmlns="http://schemas.openxmlformats.org/spreadsheetml/2006/main" count="7488" uniqueCount="2201">
  <si>
    <t>p_id</t>
  </si>
  <si>
    <t>AM</t>
  </si>
  <si>
    <t>ac_id</t>
  </si>
  <si>
    <t>ac</t>
  </si>
  <si>
    <t>stage</t>
  </si>
  <si>
    <t>product_category</t>
  </si>
  <si>
    <t>product_name</t>
  </si>
  <si>
    <t>AM_Name</t>
  </si>
  <si>
    <t>Achivement 2025</t>
  </si>
  <si>
    <t>am_id</t>
  </si>
  <si>
    <t>area_id</t>
  </si>
  <si>
    <t>am</t>
  </si>
  <si>
    <t>Postion</t>
  </si>
  <si>
    <t>plan_jan</t>
  </si>
  <si>
    <t>plan_feb</t>
  </si>
  <si>
    <t>AM001</t>
  </si>
  <si>
    <t>plan_mar</t>
  </si>
  <si>
    <t>plan_apr</t>
  </si>
  <si>
    <t>plan_may</t>
  </si>
  <si>
    <t>plan_jun</t>
  </si>
  <si>
    <t>Rizky Maulana</t>
  </si>
  <si>
    <t>plan_jul</t>
  </si>
  <si>
    <t>Jawa</t>
  </si>
  <si>
    <t>plan_aug</t>
  </si>
  <si>
    <t>plan_sep</t>
  </si>
  <si>
    <t>plan_oct</t>
  </si>
  <si>
    <t>plan_nov</t>
  </si>
  <si>
    <t>AM002</t>
  </si>
  <si>
    <t>plan_dec</t>
  </si>
  <si>
    <t>Dedi Kurniawan</t>
  </si>
  <si>
    <t>revenue_jan</t>
  </si>
  <si>
    <t>Kalimantan</t>
  </si>
  <si>
    <t>revenue_feb</t>
  </si>
  <si>
    <t>Target 2026</t>
  </si>
  <si>
    <t>revenue_mar</t>
  </si>
  <si>
    <t>AM003</t>
  </si>
  <si>
    <t>revenue_apr</t>
  </si>
  <si>
    <t>Ahmad Fauzi</t>
  </si>
  <si>
    <t>revenue_may</t>
  </si>
  <si>
    <t>Sumatera</t>
  </si>
  <si>
    <t>revenue_jun</t>
  </si>
  <si>
    <t>revenue_jul</t>
  </si>
  <si>
    <t>revenue_aug</t>
  </si>
  <si>
    <t>AM004</t>
  </si>
  <si>
    <t>revenue_sep</t>
  </si>
  <si>
    <t>Region</t>
  </si>
  <si>
    <t>Eko Prasetyo</t>
  </si>
  <si>
    <t>revenue_oct</t>
  </si>
  <si>
    <t>Papua</t>
  </si>
  <si>
    <t>revenue_nov</t>
  </si>
  <si>
    <t>Position</t>
  </si>
  <si>
    <t>revenue_dec</t>
  </si>
  <si>
    <t>PRJ00001</t>
  </si>
  <si>
    <t>AM005</t>
  </si>
  <si>
    <t>Jan</t>
  </si>
  <si>
    <t>CL00001</t>
  </si>
  <si>
    <t>Feb</t>
  </si>
  <si>
    <t>Fajar Ramadhan</t>
  </si>
  <si>
    <t>Mar</t>
  </si>
  <si>
    <t>Sulawesi</t>
  </si>
  <si>
    <t>Apr</t>
  </si>
  <si>
    <t>Mei</t>
  </si>
  <si>
    <t>Jun</t>
  </si>
  <si>
    <t>AM006</t>
  </si>
  <si>
    <t>Jul</t>
  </si>
  <si>
    <t>Hendra Gunawan</t>
  </si>
  <si>
    <t>Aug</t>
  </si>
  <si>
    <t>Sep</t>
  </si>
  <si>
    <t>Oct</t>
  </si>
  <si>
    <t>Nov</t>
  </si>
  <si>
    <t>AM007</t>
  </si>
  <si>
    <t>Dec</t>
  </si>
  <si>
    <t>Yusuf Hidayat</t>
  </si>
  <si>
    <t>FY</t>
  </si>
  <si>
    <t>AM008</t>
  </si>
  <si>
    <t>Budi Santoso</t>
  </si>
  <si>
    <t>AM009</t>
  </si>
  <si>
    <t>Teguh Wijaya</t>
  </si>
  <si>
    <t>AM010</t>
  </si>
  <si>
    <t>Ilham Saputra</t>
  </si>
  <si>
    <t>p_id_jan</t>
  </si>
  <si>
    <t>p_id_feb</t>
  </si>
  <si>
    <t>p_id_mar</t>
  </si>
  <si>
    <t>p_id_apr</t>
  </si>
  <si>
    <t>Proposal</t>
  </si>
  <si>
    <t>Cloud Services</t>
  </si>
  <si>
    <t>Nexa Cloud Basic</t>
  </si>
  <si>
    <t>p_id_may</t>
  </si>
  <si>
    <t>p_id_jun</t>
  </si>
  <si>
    <t>p_id_jul</t>
  </si>
  <si>
    <t>p_id_aug</t>
  </si>
  <si>
    <t>p_id_sep</t>
  </si>
  <si>
    <t>p_id_oct</t>
  </si>
  <si>
    <t>p_id_nov</t>
  </si>
  <si>
    <t>p_id_dec</t>
  </si>
  <si>
    <t>PRJ00162</t>
  </si>
  <si>
    <t>PRJ00192</t>
  </si>
  <si>
    <t>PRJ00202</t>
  </si>
  <si>
    <t>PRJ00252</t>
  </si>
  <si>
    <t>PRJ00302</t>
  </si>
  <si>
    <t>PRJ00002</t>
  </si>
  <si>
    <t>PRJ00372</t>
  </si>
  <si>
    <t>CL00002</t>
  </si>
  <si>
    <t>Closed Won</t>
  </si>
  <si>
    <t>Data Analytics</t>
  </si>
  <si>
    <t>Insight BI Platform</t>
  </si>
  <si>
    <t>PRJ00422</t>
  </si>
  <si>
    <t>PRJ00432</t>
  </si>
  <si>
    <t>PRJ00502</t>
  </si>
  <si>
    <t>Target_Revenue_jan</t>
  </si>
  <si>
    <t>Target_Revenue_feb</t>
  </si>
  <si>
    <t>Target_Revenue_mar</t>
  </si>
  <si>
    <t>PRJ00522</t>
  </si>
  <si>
    <t>Target_Revenue_apr</t>
  </si>
  <si>
    <t>Target_Revenue_may</t>
  </si>
  <si>
    <t>Target_Revenue_jun</t>
  </si>
  <si>
    <t>Target_Revenue_jul</t>
  </si>
  <si>
    <t>Target_Revenue_aug</t>
  </si>
  <si>
    <t>Target_Revenue_sep</t>
  </si>
  <si>
    <t>Target_Revenue_oct</t>
  </si>
  <si>
    <t>Target_Revenue_nov</t>
  </si>
  <si>
    <t>Target_Revenue_dec</t>
  </si>
  <si>
    <t>Target_Plan_Jan</t>
  </si>
  <si>
    <t>PRJ00003</t>
  </si>
  <si>
    <t>Target_Plan_Feb</t>
  </si>
  <si>
    <t>CL00003</t>
  </si>
  <si>
    <t>Target_Plan_Mar</t>
  </si>
  <si>
    <t>Target_Plan_Apr</t>
  </si>
  <si>
    <t>Target_Plan_May</t>
  </si>
  <si>
    <t>Target_Plan_Jun</t>
  </si>
  <si>
    <t>Negotiation</t>
  </si>
  <si>
    <t>Target_Plan_Jul</t>
  </si>
  <si>
    <t>Target_Plan_Aug</t>
  </si>
  <si>
    <t>Target_Plan_Sep</t>
  </si>
  <si>
    <t>Realtime Dashboard Pro</t>
  </si>
  <si>
    <t>Target_Plan_Oct</t>
  </si>
  <si>
    <t>Target_Plan_Nov</t>
  </si>
  <si>
    <t>Target_Plan_Dec</t>
  </si>
  <si>
    <t>CW_Target_Jan</t>
  </si>
  <si>
    <t>CW_Target_Feb</t>
  </si>
  <si>
    <t>CW_Target_Mar</t>
  </si>
  <si>
    <t>CW_Target_Apr</t>
  </si>
  <si>
    <t>CW_Target_May</t>
  </si>
  <si>
    <t>CW_Target_Jun</t>
  </si>
  <si>
    <t>CW_Target_Jul</t>
  </si>
  <si>
    <t>CW_Target_Aug</t>
  </si>
  <si>
    <t>CW_Target_Sep</t>
  </si>
  <si>
    <t>CW_Target_Oct</t>
  </si>
  <si>
    <t>PRJ00542</t>
  </si>
  <si>
    <t>CW_Target_Nov</t>
  </si>
  <si>
    <t>CW_Target_Dec</t>
  </si>
  <si>
    <t>closed_won_total_jan</t>
  </si>
  <si>
    <t>closed_won_total_feb</t>
  </si>
  <si>
    <t>closed_won_total_mar</t>
  </si>
  <si>
    <t>closed_won_total_apr</t>
  </si>
  <si>
    <t>closed_won_total_may</t>
  </si>
  <si>
    <t>closed_won_total_jun</t>
  </si>
  <si>
    <t>closed_won_total_jul</t>
  </si>
  <si>
    <t>closed_won_total_aug</t>
  </si>
  <si>
    <t>closed_won_total_sep</t>
  </si>
  <si>
    <t>closed_won_total_oct</t>
  </si>
  <si>
    <t>closed_won_total_nov</t>
  </si>
  <si>
    <t>closed_won_total_dec</t>
  </si>
  <si>
    <t>PRJ00902</t>
  </si>
  <si>
    <t>History - Jan 25</t>
  </si>
  <si>
    <t>History - Feb 25</t>
  </si>
  <si>
    <t>History - Mar 25</t>
  </si>
  <si>
    <t>History - Apr 25</t>
  </si>
  <si>
    <t>History - May 25</t>
  </si>
  <si>
    <t>History - Jun 25</t>
  </si>
  <si>
    <t>History - Jul 25</t>
  </si>
  <si>
    <t>History - Aug 25</t>
  </si>
  <si>
    <t>History - Sep 25</t>
  </si>
  <si>
    <t>History - Oct 25</t>
  </si>
  <si>
    <t>History - Nov 25</t>
  </si>
  <si>
    <t>History - Dec 25</t>
  </si>
  <si>
    <t>PRJ00932</t>
  </si>
  <si>
    <t>PRJ00074</t>
  </si>
  <si>
    <t>PRJ00004</t>
  </si>
  <si>
    <t>CL00004</t>
  </si>
  <si>
    <t>PRJ00094</t>
  </si>
  <si>
    <t>PRJ00123</t>
  </si>
  <si>
    <t>PRJ00183</t>
  </si>
  <si>
    <t>PRJ00263</t>
  </si>
  <si>
    <t>PRJ00005</t>
  </si>
  <si>
    <t>CL00005</t>
  </si>
  <si>
    <t>Prospect</t>
  </si>
  <si>
    <t>Cyber Security</t>
  </si>
  <si>
    <t>SOC Monitoring</t>
  </si>
  <si>
    <t>PRJ00363</t>
  </si>
  <si>
    <t>PRJ00423</t>
  </si>
  <si>
    <t>PRJ00454</t>
  </si>
  <si>
    <t>PRJ00006</t>
  </si>
  <si>
    <t>CL00006</t>
  </si>
  <si>
    <t>PRJ00514</t>
  </si>
  <si>
    <t>Closed Lost</t>
  </si>
  <si>
    <t>Collaboration Tools</t>
  </si>
  <si>
    <t>TeamSync Workspace</t>
  </si>
  <si>
    <t>PRJ00634</t>
  </si>
  <si>
    <t>PRJ00703</t>
  </si>
  <si>
    <t>PRJ00714</t>
  </si>
  <si>
    <t>PRJ00723</t>
  </si>
  <si>
    <t>PRJ00013</t>
  </si>
  <si>
    <t>PRJ00007</t>
  </si>
  <si>
    <t>CL00007</t>
  </si>
  <si>
    <t>Total</t>
  </si>
  <si>
    <t>PRJ00107</t>
  </si>
  <si>
    <t>PRJ00287</t>
  </si>
  <si>
    <t>PRJ00297</t>
  </si>
  <si>
    <t>PRJ00357</t>
  </si>
  <si>
    <t>PRJ00367</t>
  </si>
  <si>
    <t>PRJ00008</t>
  </si>
  <si>
    <t>CL00008</t>
  </si>
  <si>
    <t>PRJ00467</t>
  </si>
  <si>
    <t>Qualified</t>
  </si>
  <si>
    <t>Managed Network</t>
  </si>
  <si>
    <t>Dedicated Network Service</t>
  </si>
  <si>
    <t>PRJ00487</t>
  </si>
  <si>
    <t>PRJ00567</t>
  </si>
  <si>
    <t>PRJ00587</t>
  </si>
  <si>
    <t>Revenue 25</t>
  </si>
  <si>
    <t>Growth</t>
  </si>
  <si>
    <t>PRJ00687</t>
  </si>
  <si>
    <t>PRJ00009</t>
  </si>
  <si>
    <t>-</t>
  </si>
  <si>
    <t>CL00009</t>
  </si>
  <si>
    <t>Target 26</t>
  </si>
  <si>
    <t>SD-WAN Enterprise</t>
  </si>
  <si>
    <t>PRJ00757</t>
  </si>
  <si>
    <t>Level</t>
  </si>
  <si>
    <t>Weighting</t>
  </si>
  <si>
    <t>PRJ00877</t>
  </si>
  <si>
    <t>Senior</t>
  </si>
  <si>
    <t>PRJ00957</t>
  </si>
  <si>
    <t>PRJ00038</t>
  </si>
  <si>
    <t>Junior</t>
  </si>
  <si>
    <t>PRJ00010</t>
  </si>
  <si>
    <t>CL00010</t>
  </si>
  <si>
    <t>PRJ00078</t>
  </si>
  <si>
    <t>PRJ00011</t>
  </si>
  <si>
    <t>CL00011</t>
  </si>
  <si>
    <t>PRJ00198</t>
  </si>
  <si>
    <t>Total Employee</t>
  </si>
  <si>
    <t>PRJ00012</t>
  </si>
  <si>
    <t>CL00012</t>
  </si>
  <si>
    <t>PRJ00269</t>
  </si>
  <si>
    <t>PRJ00378</t>
  </si>
  <si>
    <t>CL00013</t>
  </si>
  <si>
    <t>Hybrid Storage Suite</t>
  </si>
  <si>
    <t>PRJ00509</t>
  </si>
  <si>
    <t>PRJ00014</t>
  </si>
  <si>
    <t>CL00014</t>
  </si>
  <si>
    <t>Predictive Analytics Suite</t>
  </si>
  <si>
    <t>PRJ00569</t>
  </si>
  <si>
    <t>PRJ00015</t>
  </si>
  <si>
    <t>CL00015</t>
  </si>
  <si>
    <t>PRJ00669</t>
  </si>
  <si>
    <t>PRJ00016</t>
  </si>
  <si>
    <t>CL00016</t>
  </si>
  <si>
    <t>PRJ00829</t>
  </si>
  <si>
    <t>Enterprise Mail Suite</t>
  </si>
  <si>
    <t>PRJ00878</t>
  </si>
  <si>
    <t>PRJ00889</t>
  </si>
  <si>
    <t>PRJ00949</t>
  </si>
  <si>
    <t>PRJ00017</t>
  </si>
  <si>
    <t>CL00017</t>
  </si>
  <si>
    <t>PRJ00075</t>
  </si>
  <si>
    <t>PRJ00018</t>
  </si>
  <si>
    <t>CL00018</t>
  </si>
  <si>
    <t>Endpoint Protect</t>
  </si>
  <si>
    <t>Tanggal</t>
  </si>
  <si>
    <t>Target_Rizky Maulana</t>
  </si>
  <si>
    <t>Target_Dedi Kurniawan</t>
  </si>
  <si>
    <t>Target_Ahmad Fauzi</t>
  </si>
  <si>
    <t>Target_Eko Prasetyo</t>
  </si>
  <si>
    <t>Target_Fajar Ramadhan</t>
  </si>
  <si>
    <t>Target_Hendra Gunawan</t>
  </si>
  <si>
    <t>Target_Yusuf Hidayat</t>
  </si>
  <si>
    <t>Target_Budi Santoso</t>
  </si>
  <si>
    <t>Target_Teguh Wijaya</t>
  </si>
  <si>
    <t>Target_Ilham Saputra</t>
  </si>
  <si>
    <t>PRJ00105</t>
  </si>
  <si>
    <t>PRJ00019</t>
  </si>
  <si>
    <t>CL00019</t>
  </si>
  <si>
    <t>PRJ00125</t>
  </si>
  <si>
    <t>PRJ00020</t>
  </si>
  <si>
    <t>CL00020</t>
  </si>
  <si>
    <t>PRJ00145</t>
  </si>
  <si>
    <t>PRJ00153</t>
  </si>
  <si>
    <t>PRJ00021</t>
  </si>
  <si>
    <t>CL00021</t>
  </si>
  <si>
    <t>PRJ00193</t>
  </si>
  <si>
    <t>PRJ00253</t>
  </si>
  <si>
    <t>PRJ00022</t>
  </si>
  <si>
    <t>CL00022</t>
  </si>
  <si>
    <t>SecureShield XDR</t>
  </si>
  <si>
    <t>PRJ00305</t>
  </si>
  <si>
    <t>PRJ00023</t>
  </si>
  <si>
    <t>CL00023</t>
  </si>
  <si>
    <t>PRJ00445</t>
  </si>
  <si>
    <t>Managed WAN</t>
  </si>
  <si>
    <t>PRJ00585</t>
  </si>
  <si>
    <t>PRJ00024</t>
  </si>
  <si>
    <t>CL00024</t>
  </si>
  <si>
    <t>PRJ00605</t>
  </si>
  <si>
    <t>PRJ00673</t>
  </si>
  <si>
    <t>PRJ00025</t>
  </si>
  <si>
    <t>CL00025</t>
  </si>
  <si>
    <t>PRJ00733</t>
  </si>
  <si>
    <t>PRJ00925</t>
  </si>
  <si>
    <t>PRJ00026</t>
  </si>
  <si>
    <t>CL00026</t>
  </si>
  <si>
    <t>PRJ00945</t>
  </si>
  <si>
    <t>PRJ00027</t>
  </si>
  <si>
    <t>CL00027</t>
  </si>
  <si>
    <t>WorkSphere Meet</t>
  </si>
  <si>
    <t>PRJ00960</t>
  </si>
  <si>
    <t>PRJ01000</t>
  </si>
  <si>
    <t>PRJ00028</t>
  </si>
  <si>
    <t>CL00028</t>
  </si>
  <si>
    <t>PRJ00029</t>
  </si>
  <si>
    <t>CL00029</t>
  </si>
  <si>
    <t>PRJ00030</t>
  </si>
  <si>
    <t>CL00030</t>
  </si>
  <si>
    <t>PRJ00031</t>
  </si>
  <si>
    <t>CL00031</t>
  </si>
  <si>
    <t>PRJ00032</t>
  </si>
  <si>
    <t>CL00032</t>
  </si>
  <si>
    <t>PRJ00033</t>
  </si>
  <si>
    <t>CL00033</t>
  </si>
  <si>
    <t>PRJ00034</t>
  </si>
  <si>
    <t>CL00034</t>
  </si>
  <si>
    <t>PRJ00035</t>
  </si>
  <si>
    <t>CL00035</t>
  </si>
  <si>
    <t>PRJ00036</t>
  </si>
  <si>
    <t>CL00036</t>
  </si>
  <si>
    <t>PRJ00037</t>
  </si>
  <si>
    <t>CL00037</t>
  </si>
  <si>
    <t>CL00038</t>
  </si>
  <si>
    <t>PRJ00039</t>
  </si>
  <si>
    <t>CL00039</t>
  </si>
  <si>
    <t>PRJ00040</t>
  </si>
  <si>
    <t>CL00040</t>
  </si>
  <si>
    <t>PRJ00041</t>
  </si>
  <si>
    <t>CL00041</t>
  </si>
  <si>
    <t>PRJ00042</t>
  </si>
  <si>
    <t>CL00042</t>
  </si>
  <si>
    <t>PRJ00043</t>
  </si>
  <si>
    <t>CL00043</t>
  </si>
  <si>
    <t>PRJ00044</t>
  </si>
  <si>
    <t>CL00044</t>
  </si>
  <si>
    <t>PRJ00045</t>
  </si>
  <si>
    <t>CL00045</t>
  </si>
  <si>
    <t>PRJ00046</t>
  </si>
  <si>
    <t>CL00046</t>
  </si>
  <si>
    <t>PRJ00047</t>
  </si>
  <si>
    <t>CL00047</t>
  </si>
  <si>
    <t>PRJ00048</t>
  </si>
  <si>
    <t>CL00048</t>
  </si>
  <si>
    <t>PRJ00049</t>
  </si>
  <si>
    <t>CL00049</t>
  </si>
  <si>
    <t>PRJ00050</t>
  </si>
  <si>
    <t>CL00050</t>
  </si>
  <si>
    <t>PRJ00051</t>
  </si>
  <si>
    <t>CL00051</t>
  </si>
  <si>
    <t>PRJ00052</t>
  </si>
  <si>
    <t>CL00052</t>
  </si>
  <si>
    <t>PRJ00053</t>
  </si>
  <si>
    <t>CL00053</t>
  </si>
  <si>
    <t>PRJ00079</t>
  </si>
  <si>
    <t>PRJ00088</t>
  </si>
  <si>
    <t>PRJ00054</t>
  </si>
  <si>
    <t>CL00054</t>
  </si>
  <si>
    <t>PRJ00108</t>
  </si>
  <si>
    <t>PRJ00119</t>
  </si>
  <si>
    <t>PRJ00055</t>
  </si>
  <si>
    <t>CL00055</t>
  </si>
  <si>
    <t>PRJ00128</t>
  </si>
  <si>
    <t>PRJ00056</t>
  </si>
  <si>
    <t>CL00056</t>
  </si>
  <si>
    <t>PRJ00228</t>
  </si>
  <si>
    <t>PRJ00339</t>
  </si>
  <si>
    <t>PRJ00459</t>
  </si>
  <si>
    <t>PRJ00057</t>
  </si>
  <si>
    <t>CL00057</t>
  </si>
  <si>
    <t>PRJ00479</t>
  </si>
  <si>
    <t>PRJ00508</t>
  </si>
  <si>
    <t>PRJ00058</t>
  </si>
  <si>
    <t>CL00058</t>
  </si>
  <si>
    <t>PRJ00568</t>
  </si>
  <si>
    <t>PRJ00708</t>
  </si>
  <si>
    <t>PRJ00768</t>
  </si>
  <si>
    <t>PRJ00059</t>
  </si>
  <si>
    <t>CL00059</t>
  </si>
  <si>
    <t>PRJ00819</t>
  </si>
  <si>
    <t>PRJ00060</t>
  </si>
  <si>
    <t>CL00060</t>
  </si>
  <si>
    <t>PRJ00061</t>
  </si>
  <si>
    <t>CL00061</t>
  </si>
  <si>
    <t>PRJ00062</t>
  </si>
  <si>
    <t>CL00062</t>
  </si>
  <si>
    <t>PRJ00063</t>
  </si>
  <si>
    <t>CL00063</t>
  </si>
  <si>
    <t>PRJ00064</t>
  </si>
  <si>
    <t>CL00064</t>
  </si>
  <si>
    <t>PRJ00065</t>
  </si>
  <si>
    <t>CL00065</t>
  </si>
  <si>
    <t>Virtual Server Pro</t>
  </si>
  <si>
    <t>PRJ00066</t>
  </si>
  <si>
    <t>CL00066</t>
  </si>
  <si>
    <t>PRJ00067</t>
  </si>
  <si>
    <t>CL00067</t>
  </si>
  <si>
    <t>PRJ00068</t>
  </si>
  <si>
    <t>CL00068</t>
  </si>
  <si>
    <t>PRJ00255</t>
  </si>
  <si>
    <t>PRJ00069</t>
  </si>
  <si>
    <t>CL00069</t>
  </si>
  <si>
    <t>PRJ00275</t>
  </si>
  <si>
    <t>PRJ00444</t>
  </si>
  <si>
    <t>PRJ00484</t>
  </si>
  <si>
    <t>PRJ00070</t>
  </si>
  <si>
    <t>CL00070</t>
  </si>
  <si>
    <t>PRJ00524</t>
  </si>
  <si>
    <t>PRJ00584</t>
  </si>
  <si>
    <t>PRJ00615</t>
  </si>
  <si>
    <t>PRJ00071</t>
  </si>
  <si>
    <t>CL00071</t>
  </si>
  <si>
    <t>PRJ00675</t>
  </si>
  <si>
    <t>PRJ00072</t>
  </si>
  <si>
    <t>CL00072</t>
  </si>
  <si>
    <t>PRJ00684</t>
  </si>
  <si>
    <t>PRJ00073</t>
  </si>
  <si>
    <t>CL00073</t>
  </si>
  <si>
    <t>PRJ00695</t>
  </si>
  <si>
    <t>PRJ00824</t>
  </si>
  <si>
    <t>CLOSED WON</t>
  </si>
  <si>
    <t>PRJ00844</t>
  </si>
  <si>
    <t>PRJ00884</t>
  </si>
  <si>
    <t>CL00074</t>
  </si>
  <si>
    <t>PRJ00106</t>
  </si>
  <si>
    <t>PRJ00961</t>
  </si>
  <si>
    <t>PRJ00186</t>
  </si>
  <si>
    <t>PRJ00091</t>
  </si>
  <si>
    <t>PRJ00150</t>
  </si>
  <si>
    <t>PRJ00266</t>
  </si>
  <si>
    <t>PRJ00151</t>
  </si>
  <si>
    <t>PRJ00220</t>
  </si>
  <si>
    <t>PRJ00974</t>
  </si>
  <si>
    <t>PRJ00316</t>
  </si>
  <si>
    <t>PRJ00191</t>
  </si>
  <si>
    <t>PRJ00400</t>
  </si>
  <si>
    <t>PRJ00376</t>
  </si>
  <si>
    <t>PRJ00221</t>
  </si>
  <si>
    <t>CL00075</t>
  </si>
  <si>
    <t>PRJ00540</t>
  </si>
  <si>
    <t>PRJ00646</t>
  </si>
  <si>
    <t>PRJ00291</t>
  </si>
  <si>
    <t>PRJ00590</t>
  </si>
  <si>
    <t>PRJ00726</t>
  </si>
  <si>
    <t>PRJ00361</t>
  </si>
  <si>
    <t>PRJ00620</t>
  </si>
  <si>
    <t>PRJ00766</t>
  </si>
  <si>
    <t>PRJ00481</t>
  </si>
  <si>
    <t>PRJ00680</t>
  </si>
  <si>
    <t>PRJ00816</t>
  </si>
  <si>
    <t>PRJ00521</t>
  </si>
  <si>
    <t>PRJ00770</t>
  </si>
  <si>
    <t>PRJ00846</t>
  </si>
  <si>
    <t>PRJ00591</t>
  </si>
  <si>
    <t>PRJ00910</t>
  </si>
  <si>
    <t>PRJ00886</t>
  </si>
  <si>
    <t>PRJ00691</t>
  </si>
  <si>
    <t>PRJ00930</t>
  </si>
  <si>
    <t>PRJ00968</t>
  </si>
  <si>
    <t>PRJ00871</t>
  </si>
  <si>
    <t>PRJ00986</t>
  </si>
  <si>
    <t>PRJ00076</t>
  </si>
  <si>
    <t>CL00076</t>
  </si>
  <si>
    <t>TARGET</t>
  </si>
  <si>
    <t>PRJ00077</t>
  </si>
  <si>
    <t>CL00077</t>
  </si>
  <si>
    <t>Formula Random Values</t>
  </si>
  <si>
    <t>CL00078</t>
  </si>
  <si>
    <t>CL00079</t>
  </si>
  <si>
    <t>PRJ00080</t>
  </si>
  <si>
    <t>CL00080</t>
  </si>
  <si>
    <t>PRJ00081</t>
  </si>
  <si>
    <t>CL00081</t>
  </si>
  <si>
    <t>Copy Values of Closeed Won (Revenue)</t>
  </si>
  <si>
    <t>PRJ00082</t>
  </si>
  <si>
    <t>CL00082</t>
  </si>
  <si>
    <t>PRJ00083</t>
  </si>
  <si>
    <t>CL00083</t>
  </si>
  <si>
    <t>PRJ00084</t>
  </si>
  <si>
    <t>CL00084</t>
  </si>
  <si>
    <t>PRJ00085</t>
  </si>
  <si>
    <t>CL00085</t>
  </si>
  <si>
    <t>PRJ00086</t>
  </si>
  <si>
    <t>CL00086</t>
  </si>
  <si>
    <t>PRJ00087</t>
  </si>
  <si>
    <t>CL00087</t>
  </si>
  <si>
    <t>CL00088</t>
  </si>
  <si>
    <t>PRJ00089</t>
  </si>
  <si>
    <t>CL00089</t>
  </si>
  <si>
    <t>PRJ00090</t>
  </si>
  <si>
    <t>CL00090</t>
  </si>
  <si>
    <t>CL00091</t>
  </si>
  <si>
    <t>PRJ00092</t>
  </si>
  <si>
    <t>CL00092</t>
  </si>
  <si>
    <t>PRJ00093</t>
  </si>
  <si>
    <t>CL00093</t>
  </si>
  <si>
    <t>CL00094</t>
  </si>
  <si>
    <t>PRJ00095</t>
  </si>
  <si>
    <t>CL00095</t>
  </si>
  <si>
    <t>PRJ00096</t>
  </si>
  <si>
    <t>CL00096</t>
  </si>
  <si>
    <t>PRJ00097</t>
  </si>
  <si>
    <t>CL00097</t>
  </si>
  <si>
    <t>PRJ00098</t>
  </si>
  <si>
    <t>CL00098</t>
  </si>
  <si>
    <t>PRJ00099</t>
  </si>
  <si>
    <t>CL00099</t>
  </si>
  <si>
    <t>PRJ00100</t>
  </si>
  <si>
    <t>CL00100</t>
  </si>
  <si>
    <t>PRJ00101</t>
  </si>
  <si>
    <t>CL00101</t>
  </si>
  <si>
    <t>PRJ00102</t>
  </si>
  <si>
    <t>CL00102</t>
  </si>
  <si>
    <t>PRJ00103</t>
  </si>
  <si>
    <t>CL00103</t>
  </si>
  <si>
    <t>PRJ00104</t>
  </si>
  <si>
    <t>CL00104</t>
  </si>
  <si>
    <t>CL00105</t>
  </si>
  <si>
    <t>CL00106</t>
  </si>
  <si>
    <t>CL00107</t>
  </si>
  <si>
    <t>CL00108</t>
  </si>
  <si>
    <t>PRJ00109</t>
  </si>
  <si>
    <t>CL00109</t>
  </si>
  <si>
    <t>PRJ00110</t>
  </si>
  <si>
    <t>CL00110</t>
  </si>
  <si>
    <t>PRJ00111</t>
  </si>
  <si>
    <t>CL00111</t>
  </si>
  <si>
    <t>PRJ00112</t>
  </si>
  <si>
    <t>CL00112</t>
  </si>
  <si>
    <t>PRJ00113</t>
  </si>
  <si>
    <t>CL00113</t>
  </si>
  <si>
    <t>PRJ00114</t>
  </si>
  <si>
    <t>CL00114</t>
  </si>
  <si>
    <t>PRJ00115</t>
  </si>
  <si>
    <t>CL00115</t>
  </si>
  <si>
    <t>PRJ00116</t>
  </si>
  <si>
    <t>CL00116</t>
  </si>
  <si>
    <t>PRJ00117</t>
  </si>
  <si>
    <t>CL00117</t>
  </si>
  <si>
    <t>PRJ00118</t>
  </si>
  <si>
    <t>CL00118</t>
  </si>
  <si>
    <t>CL00119</t>
  </si>
  <si>
    <t>PRJ00120</t>
  </si>
  <si>
    <t>CL00120</t>
  </si>
  <si>
    <t>PRJ00121</t>
  </si>
  <si>
    <t>CL00121</t>
  </si>
  <si>
    <t>PRJ00122</t>
  </si>
  <si>
    <t>CL00122</t>
  </si>
  <si>
    <t>CL00123</t>
  </si>
  <si>
    <t>PRJ00124</t>
  </si>
  <si>
    <t>CL00124</t>
  </si>
  <si>
    <t>CL00125</t>
  </si>
  <si>
    <t>PRJ00126</t>
  </si>
  <si>
    <t>CL00126</t>
  </si>
  <si>
    <t>PRJ00127</t>
  </si>
  <si>
    <t>CL00127</t>
  </si>
  <si>
    <t>CL00128</t>
  </si>
  <si>
    <t>PRJ00129</t>
  </si>
  <si>
    <t>CL00129</t>
  </si>
  <si>
    <t>PRJ00130</t>
  </si>
  <si>
    <t>CL00130</t>
  </si>
  <si>
    <t>PRJ00131</t>
  </si>
  <si>
    <t>CL00131</t>
  </si>
  <si>
    <t>PRJ00132</t>
  </si>
  <si>
    <t>CL00132</t>
  </si>
  <si>
    <t>PRJ00133</t>
  </si>
  <si>
    <t>CL00133</t>
  </si>
  <si>
    <t>PRJ00134</t>
  </si>
  <si>
    <t>CL00134</t>
  </si>
  <si>
    <t>PRJ00135</t>
  </si>
  <si>
    <t>CL00135</t>
  </si>
  <si>
    <t>PRJ00136</t>
  </si>
  <si>
    <t>CL00136</t>
  </si>
  <si>
    <t>PRJ00137</t>
  </si>
  <si>
    <t>CL00137</t>
  </si>
  <si>
    <t>PRJ00138</t>
  </si>
  <si>
    <t>CL00138</t>
  </si>
  <si>
    <t>PRJ00139</t>
  </si>
  <si>
    <t>CL00139</t>
  </si>
  <si>
    <t>PRJ00140</t>
  </si>
  <si>
    <t>CL00140</t>
  </si>
  <si>
    <t>PRJ00141</t>
  </si>
  <si>
    <t>CL00141</t>
  </si>
  <si>
    <t>PRJ00142</t>
  </si>
  <si>
    <t>CL00142</t>
  </si>
  <si>
    <t>PRJ00143</t>
  </si>
  <si>
    <t>CL00143</t>
  </si>
  <si>
    <t>PRJ00144</t>
  </si>
  <si>
    <t>CL00144</t>
  </si>
  <si>
    <t>CL00145</t>
  </si>
  <si>
    <t>PRJ00146</t>
  </si>
  <si>
    <t>CL00146</t>
  </si>
  <si>
    <t>PRJ00147</t>
  </si>
  <si>
    <t>CL00147</t>
  </si>
  <si>
    <t>PRJ00148</t>
  </si>
  <si>
    <t>CL00148</t>
  </si>
  <si>
    <t>PRJ00149</t>
  </si>
  <si>
    <t>CL00149</t>
  </si>
  <si>
    <t>CL00150</t>
  </si>
  <si>
    <t>CL00151</t>
  </si>
  <si>
    <t>PRJ00152</t>
  </si>
  <si>
    <t>CL00152</t>
  </si>
  <si>
    <t>CL00153</t>
  </si>
  <si>
    <t>PRJ00154</t>
  </si>
  <si>
    <t>CL00154</t>
  </si>
  <si>
    <t>PRJ00155</t>
  </si>
  <si>
    <t>CL00155</t>
  </si>
  <si>
    <t>PRJ00156</t>
  </si>
  <si>
    <t>CL00156</t>
  </si>
  <si>
    <t>PRJ00157</t>
  </si>
  <si>
    <t>CL00157</t>
  </si>
  <si>
    <t>PRJ00158</t>
  </si>
  <si>
    <t>CL00158</t>
  </si>
  <si>
    <t>PRJ00159</t>
  </si>
  <si>
    <t>CL00159</t>
  </si>
  <si>
    <t>PRJ00160</t>
  </si>
  <si>
    <t>CL00160</t>
  </si>
  <si>
    <t>PRJ00161</t>
  </si>
  <si>
    <t>CL00161</t>
  </si>
  <si>
    <t>CL00162</t>
  </si>
  <si>
    <t>PRJ00163</t>
  </si>
  <si>
    <t>CL00163</t>
  </si>
  <si>
    <t>PRJ00164</t>
  </si>
  <si>
    <t>CL00164</t>
  </si>
  <si>
    <t>PRJ00165</t>
  </si>
  <si>
    <t>CL00165</t>
  </si>
  <si>
    <t>PRJ00166</t>
  </si>
  <si>
    <t>CL00166</t>
  </si>
  <si>
    <t>PRJ00167</t>
  </si>
  <si>
    <t>CL00167</t>
  </si>
  <si>
    <t>PRJ00168</t>
  </si>
  <si>
    <t>CL00168</t>
  </si>
  <si>
    <t>PRJ00169</t>
  </si>
  <si>
    <t>CL00169</t>
  </si>
  <si>
    <t>PRJ00170</t>
  </si>
  <si>
    <t>CL00170</t>
  </si>
  <si>
    <t>PRJ00171</t>
  </si>
  <si>
    <t>CL00171</t>
  </si>
  <si>
    <t>PRJ00172</t>
  </si>
  <si>
    <t>CL00172</t>
  </si>
  <si>
    <t>PRJ00173</t>
  </si>
  <si>
    <t>CL00173</t>
  </si>
  <si>
    <t>PRJ00174</t>
  </si>
  <si>
    <t>CL00174</t>
  </si>
  <si>
    <t>PRJ00175</t>
  </si>
  <si>
    <t>CL00175</t>
  </si>
  <si>
    <t>PRJ00176</t>
  </si>
  <si>
    <t>CL00176</t>
  </si>
  <si>
    <t>PRJ00177</t>
  </si>
  <si>
    <t>CL00177</t>
  </si>
  <si>
    <t>PRJ00178</t>
  </si>
  <si>
    <t>CL00178</t>
  </si>
  <si>
    <t>PRJ00179</t>
  </si>
  <si>
    <t>CL00179</t>
  </si>
  <si>
    <t>PRJ00180</t>
  </si>
  <si>
    <t>CL00180</t>
  </si>
  <si>
    <t>PRJ00181</t>
  </si>
  <si>
    <t>CL00181</t>
  </si>
  <si>
    <t>PRJ00182</t>
  </si>
  <si>
    <t>CL00182</t>
  </si>
  <si>
    <t>CL00183</t>
  </si>
  <si>
    <t>PRJ00184</t>
  </si>
  <si>
    <t>CL00184</t>
  </si>
  <si>
    <t>PRJ00185</t>
  </si>
  <si>
    <t>CL00185</t>
  </si>
  <si>
    <t>CL00186</t>
  </si>
  <si>
    <t>PRJ00187</t>
  </si>
  <si>
    <t>CL00187</t>
  </si>
  <si>
    <t>PRJ00188</t>
  </si>
  <si>
    <t>CL00188</t>
  </si>
  <si>
    <t>PRJ00189</t>
  </si>
  <si>
    <t>CL00189</t>
  </si>
  <si>
    <t>PRJ00190</t>
  </si>
  <si>
    <t>CL00190</t>
  </si>
  <si>
    <t>CL00191</t>
  </si>
  <si>
    <t>CL00192</t>
  </si>
  <si>
    <t>CL00193</t>
  </si>
  <si>
    <t>PRJ00194</t>
  </si>
  <si>
    <t>CL00194</t>
  </si>
  <si>
    <t>PRJ00195</t>
  </si>
  <si>
    <t>CL00195</t>
  </si>
  <si>
    <t>PRJ00196</t>
  </si>
  <si>
    <t>CL00196</t>
  </si>
  <si>
    <t>PRJ00197</t>
  </si>
  <si>
    <t>CL00197</t>
  </si>
  <si>
    <t>CL00198</t>
  </si>
  <si>
    <t>PRJ00199</t>
  </si>
  <si>
    <t>CL00199</t>
  </si>
  <si>
    <t>PRJ00200</t>
  </si>
  <si>
    <t>CL00200</t>
  </si>
  <si>
    <t>PRJ00201</t>
  </si>
  <si>
    <t>CL00201</t>
  </si>
  <si>
    <t>CL00202</t>
  </si>
  <si>
    <t>PRJ00203</t>
  </si>
  <si>
    <t>CL00203</t>
  </si>
  <si>
    <t>PRJ00204</t>
  </si>
  <si>
    <t>CL00204</t>
  </si>
  <si>
    <t>PRJ00205</t>
  </si>
  <si>
    <t>CL00205</t>
  </si>
  <si>
    <t>PRJ00206</t>
  </si>
  <si>
    <t>CL00206</t>
  </si>
  <si>
    <t>PRJ00207</t>
  </si>
  <si>
    <t>CL00207</t>
  </si>
  <si>
    <t>PRJ00208</t>
  </si>
  <si>
    <t>CL00208</t>
  </si>
  <si>
    <t>PRJ00209</t>
  </si>
  <si>
    <t>CL00209</t>
  </si>
  <si>
    <t>PRJ00210</t>
  </si>
  <si>
    <t>CL00210</t>
  </si>
  <si>
    <t>PRJ00211</t>
  </si>
  <si>
    <t>CL00211</t>
  </si>
  <si>
    <t>PRJ00212</t>
  </si>
  <si>
    <t>CL00212</t>
  </si>
  <si>
    <t>PRJ00213</t>
  </si>
  <si>
    <t>CL00213</t>
  </si>
  <si>
    <t>PRJ00214</t>
  </si>
  <si>
    <t>CL00214</t>
  </si>
  <si>
    <t>PRJ00215</t>
  </si>
  <si>
    <t>CL00215</t>
  </si>
  <si>
    <t>PRJ00216</t>
  </si>
  <si>
    <t>CL00216</t>
  </si>
  <si>
    <t>PRJ00217</t>
  </si>
  <si>
    <t>CL00217</t>
  </si>
  <si>
    <t>PRJ00218</t>
  </si>
  <si>
    <t>CL00218</t>
  </si>
  <si>
    <t>PRJ00219</t>
  </si>
  <si>
    <t>CL00219</t>
  </si>
  <si>
    <t>CL00220</t>
  </si>
  <si>
    <t>CL00221</t>
  </si>
  <si>
    <t>PRJ00222</t>
  </si>
  <si>
    <t>CL00222</t>
  </si>
  <si>
    <t>PRJ00223</t>
  </si>
  <si>
    <t>CL00223</t>
  </si>
  <si>
    <t>PRJ00224</t>
  </si>
  <si>
    <t>CL00224</t>
  </si>
  <si>
    <t>PRJ00225</t>
  </si>
  <si>
    <t>CL00225</t>
  </si>
  <si>
    <t>PRJ00226</t>
  </si>
  <si>
    <t>CL00226</t>
  </si>
  <si>
    <t>PRJ00227</t>
  </si>
  <si>
    <t>CL00227</t>
  </si>
  <si>
    <t>CL00228</t>
  </si>
  <si>
    <t>PRJ00229</t>
  </si>
  <si>
    <t>CL00229</t>
  </si>
  <si>
    <t>PRJ00230</t>
  </si>
  <si>
    <t>CL00230</t>
  </si>
  <si>
    <t>PRJ00231</t>
  </si>
  <si>
    <t>CL00231</t>
  </si>
  <si>
    <t>PRJ00232</t>
  </si>
  <si>
    <t>CL00232</t>
  </si>
  <si>
    <t>PRJ00233</t>
  </si>
  <si>
    <t>CL00233</t>
  </si>
  <si>
    <t>PRJ00234</t>
  </si>
  <si>
    <t>CL00234</t>
  </si>
  <si>
    <t>PRJ00235</t>
  </si>
  <si>
    <t>CL00235</t>
  </si>
  <si>
    <t>PRJ00236</t>
  </si>
  <si>
    <t>CL00236</t>
  </si>
  <si>
    <t>PRJ00237</t>
  </si>
  <si>
    <t>CL00237</t>
  </si>
  <si>
    <t>PRJ00238</t>
  </si>
  <si>
    <t>CL00238</t>
  </si>
  <si>
    <t>PRJ00239</t>
  </si>
  <si>
    <t>CL00239</t>
  </si>
  <si>
    <t>PRJ00240</t>
  </si>
  <si>
    <t>CL00240</t>
  </si>
  <si>
    <t>PRJ00241</t>
  </si>
  <si>
    <t>CL00241</t>
  </si>
  <si>
    <t>PRJ00242</t>
  </si>
  <si>
    <t>CL00242</t>
  </si>
  <si>
    <t>PRJ00243</t>
  </si>
  <si>
    <t>CL00243</t>
  </si>
  <si>
    <t>PRJ00244</t>
  </si>
  <si>
    <t>CL00244</t>
  </si>
  <si>
    <t>PRJ00245</t>
  </si>
  <si>
    <t>CL00245</t>
  </si>
  <si>
    <t>PRJ00246</t>
  </si>
  <si>
    <t>CL00246</t>
  </si>
  <si>
    <t>PRJ00247</t>
  </si>
  <si>
    <t>CL00247</t>
  </si>
  <si>
    <t>PRJ00248</t>
  </si>
  <si>
    <t>CL00248</t>
  </si>
  <si>
    <t>PRJ00249</t>
  </si>
  <si>
    <t>CL00249</t>
  </si>
  <si>
    <t>PRJ00250</t>
  </si>
  <si>
    <t>CL00250</t>
  </si>
  <si>
    <t>PRJ00251</t>
  </si>
  <si>
    <t>CL00251</t>
  </si>
  <si>
    <t>CL00252</t>
  </si>
  <si>
    <t>CL00253</t>
  </si>
  <si>
    <t>PRJ00254</t>
  </si>
  <si>
    <t>CL00254</t>
  </si>
  <si>
    <t>CL00255</t>
  </si>
  <si>
    <t>PRJ00256</t>
  </si>
  <si>
    <t>CL00256</t>
  </si>
  <si>
    <t>PRJ00257</t>
  </si>
  <si>
    <t>CL00257</t>
  </si>
  <si>
    <t>PRJ00258</t>
  </si>
  <si>
    <t>CL00258</t>
  </si>
  <si>
    <t>PRJ00259</t>
  </si>
  <si>
    <t>CL00259</t>
  </si>
  <si>
    <t>PRJ00260</t>
  </si>
  <si>
    <t>CL00260</t>
  </si>
  <si>
    <t>PRJ00261</t>
  </si>
  <si>
    <t>CL00261</t>
  </si>
  <si>
    <t>PRJ00262</t>
  </si>
  <si>
    <t>CL00262</t>
  </si>
  <si>
    <t>CL00263</t>
  </si>
  <si>
    <t>PRJ00264</t>
  </si>
  <si>
    <t>CL00264</t>
  </si>
  <si>
    <t>PRJ00265</t>
  </si>
  <si>
    <t>CL00265</t>
  </si>
  <si>
    <t>CL00266</t>
  </si>
  <si>
    <t>PRJ00267</t>
  </si>
  <si>
    <t>CL00267</t>
  </si>
  <si>
    <t>PRJ00268</t>
  </si>
  <si>
    <t>CL00268</t>
  </si>
  <si>
    <t>CL00269</t>
  </si>
  <si>
    <t>PRJ00270</t>
  </si>
  <si>
    <t>CL00270</t>
  </si>
  <si>
    <t>PRJ00271</t>
  </si>
  <si>
    <t>CL00271</t>
  </si>
  <si>
    <t>PRJ00272</t>
  </si>
  <si>
    <t>CL00272</t>
  </si>
  <si>
    <t>PRJ00273</t>
  </si>
  <si>
    <t>CL00273</t>
  </si>
  <si>
    <t>PRJ00274</t>
  </si>
  <si>
    <t>CL00274</t>
  </si>
  <si>
    <t>CL00275</t>
  </si>
  <si>
    <t>PRJ00276</t>
  </si>
  <si>
    <t>CL00276</t>
  </si>
  <si>
    <t>PRJ00277</t>
  </si>
  <si>
    <t>CL00277</t>
  </si>
  <si>
    <t>PRJ00278</t>
  </si>
  <si>
    <t>CL00278</t>
  </si>
  <si>
    <t>PRJ00279</t>
  </si>
  <si>
    <t>CL00279</t>
  </si>
  <si>
    <t>PRJ00280</t>
  </si>
  <si>
    <t>CL00280</t>
  </si>
  <si>
    <t>PRJ00281</t>
  </si>
  <si>
    <t>CL00281</t>
  </si>
  <si>
    <t>PRJ00282</t>
  </si>
  <si>
    <t>CL00282</t>
  </si>
  <si>
    <t>PRJ00283</t>
  </si>
  <si>
    <t>CL00283</t>
  </si>
  <si>
    <t>PRJ00284</t>
  </si>
  <si>
    <t>CL00284</t>
  </si>
  <si>
    <t>PRJ00285</t>
  </si>
  <si>
    <t>CL00285</t>
  </si>
  <si>
    <t>PRJ00286</t>
  </si>
  <si>
    <t>CL00286</t>
  </si>
  <si>
    <t>CL00287</t>
  </si>
  <si>
    <t>PRJ00288</t>
  </si>
  <si>
    <t>CL00288</t>
  </si>
  <si>
    <t>PRJ00289</t>
  </si>
  <si>
    <t>CL00289</t>
  </si>
  <si>
    <t>PRJ00290</t>
  </si>
  <si>
    <t>CL00290</t>
  </si>
  <si>
    <t>CL00291</t>
  </si>
  <si>
    <t>PRJ00292</t>
  </si>
  <si>
    <t>CL00292</t>
  </si>
  <si>
    <t>PRJ00293</t>
  </si>
  <si>
    <t>CL00293</t>
  </si>
  <si>
    <t>PRJ00294</t>
  </si>
  <si>
    <t>CL00294</t>
  </si>
  <si>
    <t>PRJ00295</t>
  </si>
  <si>
    <t>CL00295</t>
  </si>
  <si>
    <t>PRJ00296</t>
  </si>
  <si>
    <t>CL00296</t>
  </si>
  <si>
    <t>CL00297</t>
  </si>
  <si>
    <t>PRJ00298</t>
  </si>
  <si>
    <t>CL00298</t>
  </si>
  <si>
    <t>PRJ00299</t>
  </si>
  <si>
    <t>CL00299</t>
  </si>
  <si>
    <t>PRJ00300</t>
  </si>
  <si>
    <t>CL00300</t>
  </si>
  <si>
    <t>PRJ00301</t>
  </si>
  <si>
    <t>CL00301</t>
  </si>
  <si>
    <t>CL00302</t>
  </si>
  <si>
    <t>PRJ00303</t>
  </si>
  <si>
    <t>CL00303</t>
  </si>
  <si>
    <t>PRJ00304</t>
  </si>
  <si>
    <t>CL00304</t>
  </si>
  <si>
    <t>CL00305</t>
  </si>
  <si>
    <t>PRJ00306</t>
  </si>
  <si>
    <t>CL00306</t>
  </si>
  <si>
    <t>PRJ00307</t>
  </si>
  <si>
    <t>CL00307</t>
  </si>
  <si>
    <t>PRJ00308</t>
  </si>
  <si>
    <t>CL00308</t>
  </si>
  <si>
    <t>PRJ00309</t>
  </si>
  <si>
    <t>CL00309</t>
  </si>
  <si>
    <t>PRJ00310</t>
  </si>
  <si>
    <t>CL00310</t>
  </si>
  <si>
    <t>PRJ00311</t>
  </si>
  <si>
    <t>CL00311</t>
  </si>
  <si>
    <t>PRJ00312</t>
  </si>
  <si>
    <t>CL00312</t>
  </si>
  <si>
    <t>PRJ00313</t>
  </si>
  <si>
    <t>CL00313</t>
  </si>
  <si>
    <t>PRJ00314</t>
  </si>
  <si>
    <t>CL00314</t>
  </si>
  <si>
    <t>PRJ00315</t>
  </si>
  <si>
    <t>CL00315</t>
  </si>
  <si>
    <t>CL00316</t>
  </si>
  <si>
    <t>PRJ00317</t>
  </si>
  <si>
    <t>CL00317</t>
  </si>
  <si>
    <t>PRJ00318</t>
  </si>
  <si>
    <t>CL00318</t>
  </si>
  <si>
    <t>PRJ00319</t>
  </si>
  <si>
    <t>CL00319</t>
  </si>
  <si>
    <t>PRJ00320</t>
  </si>
  <si>
    <t>CL00320</t>
  </si>
  <si>
    <t>PRJ00321</t>
  </si>
  <si>
    <t>CL00321</t>
  </si>
  <si>
    <t>PRJ00322</t>
  </si>
  <si>
    <t>CL00322</t>
  </si>
  <si>
    <t>PRJ00323</t>
  </si>
  <si>
    <t>CL00323</t>
  </si>
  <si>
    <t>PRJ00324</t>
  </si>
  <si>
    <t>CL00324</t>
  </si>
  <si>
    <t>PRJ00325</t>
  </si>
  <si>
    <t>CL00325</t>
  </si>
  <si>
    <t>PRJ00326</t>
  </si>
  <si>
    <t>CL00326</t>
  </si>
  <si>
    <t>PRJ00327</t>
  </si>
  <si>
    <t>CL00327</t>
  </si>
  <si>
    <t>PRJ00328</t>
  </si>
  <si>
    <t>CL00328</t>
  </si>
  <si>
    <t>PRJ00329</t>
  </si>
  <si>
    <t>CL00329</t>
  </si>
  <si>
    <t>PRJ00330</t>
  </si>
  <si>
    <t>CL00330</t>
  </si>
  <si>
    <t>PRJ00331</t>
  </si>
  <si>
    <t>CL00331</t>
  </si>
  <si>
    <t>PRJ00332</t>
  </si>
  <si>
    <t>CL00332</t>
  </si>
  <si>
    <t>PRJ00333</t>
  </si>
  <si>
    <t>CL00333</t>
  </si>
  <si>
    <t>PRJ00334</t>
  </si>
  <si>
    <t>CL00334</t>
  </si>
  <si>
    <t>PRJ00335</t>
  </si>
  <si>
    <t>CL00335</t>
  </si>
  <si>
    <t>PRJ00336</t>
  </si>
  <si>
    <t>CL00336</t>
  </si>
  <si>
    <t>PRJ00337</t>
  </si>
  <si>
    <t>CL00337</t>
  </si>
  <si>
    <t>PRJ00338</t>
  </si>
  <si>
    <t>CL00338</t>
  </si>
  <si>
    <t>CL00339</t>
  </si>
  <si>
    <t>PRJ00340</t>
  </si>
  <si>
    <t>CL00340</t>
  </si>
  <si>
    <t>PRJ00341</t>
  </si>
  <si>
    <t>CL00341</t>
  </si>
  <si>
    <t>PRJ00342</t>
  </si>
  <si>
    <t>CL00342</t>
  </si>
  <si>
    <t>PRJ00343</t>
  </si>
  <si>
    <t>CL00343</t>
  </si>
  <si>
    <t>PRJ00344</t>
  </si>
  <si>
    <t>CL00344</t>
  </si>
  <si>
    <t>PRJ00345</t>
  </si>
  <si>
    <t>CL00345</t>
  </si>
  <si>
    <t>PRJ00346</t>
  </si>
  <si>
    <t>CL00346</t>
  </si>
  <si>
    <t>PRJ00347</t>
  </si>
  <si>
    <t>CL00347</t>
  </si>
  <si>
    <t>PRJ00348</t>
  </si>
  <si>
    <t>CL00348</t>
  </si>
  <si>
    <t>PRJ00349</t>
  </si>
  <si>
    <t>CL00349</t>
  </si>
  <si>
    <t>PRJ00350</t>
  </si>
  <si>
    <t>CL00350</t>
  </si>
  <si>
    <t>PRJ00351</t>
  </si>
  <si>
    <t>CL00351</t>
  </si>
  <si>
    <t>PRJ00352</t>
  </si>
  <si>
    <t>CL00352</t>
  </si>
  <si>
    <t>PRJ00353</t>
  </si>
  <si>
    <t>CL00353</t>
  </si>
  <si>
    <t>PRJ00354</t>
  </si>
  <si>
    <t>CL00354</t>
  </si>
  <si>
    <t>PRJ00355</t>
  </si>
  <si>
    <t>CL00355</t>
  </si>
  <si>
    <t>PRJ00356</t>
  </si>
  <si>
    <t>CL00356</t>
  </si>
  <si>
    <t>CL00357</t>
  </si>
  <si>
    <t>PRJ00358</t>
  </si>
  <si>
    <t>CL00358</t>
  </si>
  <si>
    <t>PRJ00359</t>
  </si>
  <si>
    <t>CL00359</t>
  </si>
  <si>
    <t>PRJ00360</t>
  </si>
  <si>
    <t>CL00360</t>
  </si>
  <si>
    <t>CL00361</t>
  </si>
  <si>
    <t>PRJ00362</t>
  </si>
  <si>
    <t>CL00362</t>
  </si>
  <si>
    <t>CL00363</t>
  </si>
  <si>
    <t>PRJ00364</t>
  </si>
  <si>
    <t>CL00364</t>
  </si>
  <si>
    <t>PRJ00365</t>
  </si>
  <si>
    <t>CL00365</t>
  </si>
  <si>
    <t>PRJ00366</t>
  </si>
  <si>
    <t>CL00366</t>
  </si>
  <si>
    <t>CL00367</t>
  </si>
  <si>
    <t>PRJ00368</t>
  </si>
  <si>
    <t>CL00368</t>
  </si>
  <si>
    <t>PRJ00369</t>
  </si>
  <si>
    <t>CL00369</t>
  </si>
  <si>
    <t>PRJ00370</t>
  </si>
  <si>
    <t>CL00370</t>
  </si>
  <si>
    <t>PRJ00371</t>
  </si>
  <si>
    <t>CL00371</t>
  </si>
  <si>
    <t>CL00372</t>
  </si>
  <si>
    <t>PRJ00373</t>
  </si>
  <si>
    <t>CL00373</t>
  </si>
  <si>
    <t>PRJ00374</t>
  </si>
  <si>
    <t>CL00374</t>
  </si>
  <si>
    <t>PRJ00375</t>
  </si>
  <si>
    <t>CL00375</t>
  </si>
  <si>
    <t>CL00376</t>
  </si>
  <si>
    <t>PRJ00377</t>
  </si>
  <si>
    <t>CL00377</t>
  </si>
  <si>
    <t>CL00378</t>
  </si>
  <si>
    <t>PRJ00379</t>
  </si>
  <si>
    <t>CL00379</t>
  </si>
  <si>
    <t>PRJ00380</t>
  </si>
  <si>
    <t>CL00380</t>
  </si>
  <si>
    <t>PRJ00381</t>
  </si>
  <si>
    <t>CL00381</t>
  </si>
  <si>
    <t>PRJ00382</t>
  </si>
  <si>
    <t>CL00382</t>
  </si>
  <si>
    <t>PRJ00383</t>
  </si>
  <si>
    <t>CL00383</t>
  </si>
  <si>
    <t>PRJ00384</t>
  </si>
  <si>
    <t>CL00384</t>
  </si>
  <si>
    <t>PRJ00385</t>
  </si>
  <si>
    <t>CL00385</t>
  </si>
  <si>
    <t>PRJ00386</t>
  </si>
  <si>
    <t>CL00386</t>
  </si>
  <si>
    <t>PRJ00387</t>
  </si>
  <si>
    <t>CL00387</t>
  </si>
  <si>
    <t>PRJ00388</t>
  </si>
  <si>
    <t>CL00388</t>
  </si>
  <si>
    <t>PRJ00389</t>
  </si>
  <si>
    <t>CL00389</t>
  </si>
  <si>
    <t>PRJ00390</t>
  </si>
  <si>
    <t>CL00390</t>
  </si>
  <si>
    <t>PRJ00391</t>
  </si>
  <si>
    <t>CL00391</t>
  </si>
  <si>
    <t>PRJ00392</t>
  </si>
  <si>
    <t>CL00392</t>
  </si>
  <si>
    <t>PRJ00393</t>
  </si>
  <si>
    <t>CL00393</t>
  </si>
  <si>
    <t>PRJ00394</t>
  </si>
  <si>
    <t>CL00394</t>
  </si>
  <si>
    <t>PRJ00395</t>
  </si>
  <si>
    <t>CL00395</t>
  </si>
  <si>
    <t>PRJ00396</t>
  </si>
  <si>
    <t>CL00396</t>
  </si>
  <si>
    <t>PRJ00397</t>
  </si>
  <si>
    <t>CL00397</t>
  </si>
  <si>
    <t>PRJ00398</t>
  </si>
  <si>
    <t>CL00398</t>
  </si>
  <si>
    <t>PRJ00399</t>
  </si>
  <si>
    <t>CL00399</t>
  </si>
  <si>
    <t>CL00400</t>
  </si>
  <si>
    <t>PRJ00401</t>
  </si>
  <si>
    <t>CL00401</t>
  </si>
  <si>
    <t>PRJ00402</t>
  </si>
  <si>
    <t>CL00402</t>
  </si>
  <si>
    <t>PRJ00403</t>
  </si>
  <si>
    <t>CL00403</t>
  </si>
  <si>
    <t>PRJ00404</t>
  </si>
  <si>
    <t>CL00404</t>
  </si>
  <si>
    <t>PRJ00405</t>
  </si>
  <si>
    <t>CL00405</t>
  </si>
  <si>
    <t>PRJ00406</t>
  </si>
  <si>
    <t>CL00406</t>
  </si>
  <si>
    <t>PRJ00407</t>
  </si>
  <si>
    <t>CL00407</t>
  </si>
  <si>
    <t>PRJ00408</t>
  </si>
  <si>
    <t>CL00408</t>
  </si>
  <si>
    <t>PRJ00409</t>
  </si>
  <si>
    <t>CL00409</t>
  </si>
  <si>
    <t>PRJ00410</t>
  </si>
  <si>
    <t>CL00410</t>
  </si>
  <si>
    <t>PRJ00411</t>
  </si>
  <si>
    <t>CL00411</t>
  </si>
  <si>
    <t>PRJ00412</t>
  </si>
  <si>
    <t>CL00412</t>
  </si>
  <si>
    <t>PRJ00413</t>
  </si>
  <si>
    <t>CL00413</t>
  </si>
  <si>
    <t>PRJ00414</t>
  </si>
  <si>
    <t>CL00414</t>
  </si>
  <si>
    <t>PRJ00415</t>
  </si>
  <si>
    <t>CL00415</t>
  </si>
  <si>
    <t>PRJ00416</t>
  </si>
  <si>
    <t>CL00416</t>
  </si>
  <si>
    <t>PRJ00417</t>
  </si>
  <si>
    <t>CL00417</t>
  </si>
  <si>
    <t>PRJ00418</t>
  </si>
  <si>
    <t>CL00418</t>
  </si>
  <si>
    <t>PRJ00419</t>
  </si>
  <si>
    <t>CL00419</t>
  </si>
  <si>
    <t>PRJ00420</t>
  </si>
  <si>
    <t>CL00420</t>
  </si>
  <si>
    <t>PRJ00421</t>
  </si>
  <si>
    <t>CL00421</t>
  </si>
  <si>
    <t>CL00422</t>
  </si>
  <si>
    <t>CL00423</t>
  </si>
  <si>
    <t>PRJ00424</t>
  </si>
  <si>
    <t>CL00424</t>
  </si>
  <si>
    <t>PRJ00425</t>
  </si>
  <si>
    <t>CL00425</t>
  </si>
  <si>
    <t>PRJ00426</t>
  </si>
  <si>
    <t>CL00426</t>
  </si>
  <si>
    <t>PRJ00427</t>
  </si>
  <si>
    <t>CL00427</t>
  </si>
  <si>
    <t>PRJ00428</t>
  </si>
  <si>
    <t>CL00428</t>
  </si>
  <si>
    <t>PRJ00429</t>
  </si>
  <si>
    <t>CL00429</t>
  </si>
  <si>
    <t>PRJ00430</t>
  </si>
  <si>
    <t>CL00430</t>
  </si>
  <si>
    <t>PRJ00431</t>
  </si>
  <si>
    <t>CL00431</t>
  </si>
  <si>
    <t>CL00432</t>
  </si>
  <si>
    <t>PRJ00433</t>
  </si>
  <si>
    <t>CL00433</t>
  </si>
  <si>
    <t>PRJ00434</t>
  </si>
  <si>
    <t>CL00434</t>
  </si>
  <si>
    <t>PRJ00435</t>
  </si>
  <si>
    <t>CL00435</t>
  </si>
  <si>
    <t>PRJ00436</t>
  </si>
  <si>
    <t>CL00436</t>
  </si>
  <si>
    <t>PRJ00437</t>
  </si>
  <si>
    <t>CL00437</t>
  </si>
  <si>
    <t>PRJ00438</t>
  </si>
  <si>
    <t>CL00438</t>
  </si>
  <si>
    <t>PRJ00439</t>
  </si>
  <si>
    <t>CL00439</t>
  </si>
  <si>
    <t>PRJ00440</t>
  </si>
  <si>
    <t>CL00440</t>
  </si>
  <si>
    <t>PRJ00441</t>
  </si>
  <si>
    <t>CL00441</t>
  </si>
  <si>
    <t>PRJ00442</t>
  </si>
  <si>
    <t>CL00442</t>
  </si>
  <si>
    <t>PRJ00443</t>
  </si>
  <si>
    <t>CL00443</t>
  </si>
  <si>
    <t>CL00444</t>
  </si>
  <si>
    <t>CL00445</t>
  </si>
  <si>
    <t>PRJ00446</t>
  </si>
  <si>
    <t>CL00446</t>
  </si>
  <si>
    <t>PRJ00447</t>
  </si>
  <si>
    <t>CL00447</t>
  </si>
  <si>
    <t>PRJ00448</t>
  </si>
  <si>
    <t>CL00448</t>
  </si>
  <si>
    <t>PRJ00449</t>
  </si>
  <si>
    <t>CL00449</t>
  </si>
  <si>
    <t>PRJ00450</t>
  </si>
  <si>
    <t>CL00450</t>
  </si>
  <si>
    <t>PRJ00451</t>
  </si>
  <si>
    <t>CL00451</t>
  </si>
  <si>
    <t>PRJ00452</t>
  </si>
  <si>
    <t>CL00452</t>
  </si>
  <si>
    <t>PRJ00453</t>
  </si>
  <si>
    <t>CL00453</t>
  </si>
  <si>
    <t>CL00454</t>
  </si>
  <si>
    <t>PRJ00455</t>
  </si>
  <si>
    <t>CL00455</t>
  </si>
  <si>
    <t>PRJ00456</t>
  </si>
  <si>
    <t>CL00456</t>
  </si>
  <si>
    <t>PRJ00457</t>
  </si>
  <si>
    <t>CL00457</t>
  </si>
  <si>
    <t>PRJ00458</t>
  </si>
  <si>
    <t>CL00458</t>
  </si>
  <si>
    <t>CL00459</t>
  </si>
  <si>
    <t>PRJ00460</t>
  </si>
  <si>
    <t>CL00460</t>
  </si>
  <si>
    <t>PRJ00461</t>
  </si>
  <si>
    <t>CL00461</t>
  </si>
  <si>
    <t>PRJ00462</t>
  </si>
  <si>
    <t>CL00462</t>
  </si>
  <si>
    <t>PRJ00463</t>
  </si>
  <si>
    <t>CL00463</t>
  </si>
  <si>
    <t>PRJ00464</t>
  </si>
  <si>
    <t>CL00464</t>
  </si>
  <si>
    <t>PRJ00465</t>
  </si>
  <si>
    <t>CL00465</t>
  </si>
  <si>
    <t>PRJ00466</t>
  </si>
  <si>
    <t>CL00466</t>
  </si>
  <si>
    <t>CL00467</t>
  </si>
  <si>
    <t>PRJ00468</t>
  </si>
  <si>
    <t>CL00468</t>
  </si>
  <si>
    <t>PRJ00469</t>
  </si>
  <si>
    <t>CL00469</t>
  </si>
  <si>
    <t>PRJ00470</t>
  </si>
  <si>
    <t>CL00470</t>
  </si>
  <si>
    <t>PRJ00471</t>
  </si>
  <si>
    <t>CL00471</t>
  </si>
  <si>
    <t>PRJ00472</t>
  </si>
  <si>
    <t>CL00472</t>
  </si>
  <si>
    <t>PRJ00473</t>
  </si>
  <si>
    <t>CL00473</t>
  </si>
  <si>
    <t>PRJ00474</t>
  </si>
  <si>
    <t>CL00474</t>
  </si>
  <si>
    <t>PRJ00475</t>
  </si>
  <si>
    <t>CL00475</t>
  </si>
  <si>
    <t>PRJ00476</t>
  </si>
  <si>
    <t>CL00476</t>
  </si>
  <si>
    <t>PRJ00477</t>
  </si>
  <si>
    <t>CL00477</t>
  </si>
  <si>
    <t>PRJ00478</t>
  </si>
  <si>
    <t>CL00478</t>
  </si>
  <si>
    <t>CL00479</t>
  </si>
  <si>
    <t>PRJ00480</t>
  </si>
  <si>
    <t>CL00480</t>
  </si>
  <si>
    <t>CL00481</t>
  </si>
  <si>
    <t>PRJ00482</t>
  </si>
  <si>
    <t>CL00482</t>
  </si>
  <si>
    <t>PRJ00483</t>
  </si>
  <si>
    <t>CL00483</t>
  </si>
  <si>
    <t>CL00484</t>
  </si>
  <si>
    <t>PRJ00485</t>
  </si>
  <si>
    <t>CL00485</t>
  </si>
  <si>
    <t>PRJ00486</t>
  </si>
  <si>
    <t>CL00486</t>
  </si>
  <si>
    <t>CL00487</t>
  </si>
  <si>
    <t>PRJ00488</t>
  </si>
  <si>
    <t>CL00488</t>
  </si>
  <si>
    <t>PRJ00489</t>
  </si>
  <si>
    <t>CL00489</t>
  </si>
  <si>
    <t>PRJ00490</t>
  </si>
  <si>
    <t>CL00490</t>
  </si>
  <si>
    <t>PRJ00491</t>
  </si>
  <si>
    <t>CL00491</t>
  </si>
  <si>
    <t>PRJ00492</t>
  </si>
  <si>
    <t>CL00492</t>
  </si>
  <si>
    <t>PRJ00493</t>
  </si>
  <si>
    <t>CL00493</t>
  </si>
  <si>
    <t>PRJ00494</t>
  </si>
  <si>
    <t>CL00494</t>
  </si>
  <si>
    <t>PRJ00495</t>
  </si>
  <si>
    <t>CL00495</t>
  </si>
  <si>
    <t>PRJ00496</t>
  </si>
  <si>
    <t>CL00496</t>
  </si>
  <si>
    <t>PRJ00497</t>
  </si>
  <si>
    <t>CL00497</t>
  </si>
  <si>
    <t>PRJ00498</t>
  </si>
  <si>
    <t>CL00498</t>
  </si>
  <si>
    <t>PRJ00499</t>
  </si>
  <si>
    <t>CL00499</t>
  </si>
  <si>
    <t>PRJ00500</t>
  </si>
  <si>
    <t>CL00500</t>
  </si>
  <si>
    <t>PRJ00501</t>
  </si>
  <si>
    <t>CL00501</t>
  </si>
  <si>
    <t>CL00502</t>
  </si>
  <si>
    <t>PRJ00503</t>
  </si>
  <si>
    <t>CL00503</t>
  </si>
  <si>
    <t>PRJ00504</t>
  </si>
  <si>
    <t>CL00504</t>
  </si>
  <si>
    <t>PRJ00505</t>
  </si>
  <si>
    <t>CL00505</t>
  </si>
  <si>
    <t>PRJ00506</t>
  </si>
  <si>
    <t>CL00506</t>
  </si>
  <si>
    <t>PRJ00507</t>
  </si>
  <si>
    <t>CL00507</t>
  </si>
  <si>
    <t>CL00508</t>
  </si>
  <si>
    <t>CL00509</t>
  </si>
  <si>
    <t>PRJ00510</t>
  </si>
  <si>
    <t>CL00510</t>
  </si>
  <si>
    <t>PRJ00511</t>
  </si>
  <si>
    <t>CL00511</t>
  </si>
  <si>
    <t>PRJ00512</t>
  </si>
  <si>
    <t>CL00512</t>
  </si>
  <si>
    <t>PRJ00513</t>
  </si>
  <si>
    <t>CL00513</t>
  </si>
  <si>
    <t>CL00514</t>
  </si>
  <si>
    <t>PRJ00515</t>
  </si>
  <si>
    <t>CL00515</t>
  </si>
  <si>
    <t>PRJ00516</t>
  </si>
  <si>
    <t>CL00516</t>
  </si>
  <si>
    <t>PRJ00517</t>
  </si>
  <si>
    <t>CL00517</t>
  </si>
  <si>
    <t>PRJ00518</t>
  </si>
  <si>
    <t>CL00518</t>
  </si>
  <si>
    <t>PRJ00519</t>
  </si>
  <si>
    <t>CL00519</t>
  </si>
  <si>
    <t>PRJ00520</t>
  </si>
  <si>
    <t>CL00520</t>
  </si>
  <si>
    <t>CL00521</t>
  </si>
  <si>
    <t>CL00522</t>
  </si>
  <si>
    <t>PRJ00523</t>
  </si>
  <si>
    <t>CL00523</t>
  </si>
  <si>
    <t>CL00524</t>
  </si>
  <si>
    <t>PRJ00525</t>
  </si>
  <si>
    <t>CL00525</t>
  </si>
  <si>
    <t>PRJ00526</t>
  </si>
  <si>
    <t>CL00526</t>
  </si>
  <si>
    <t>PRJ00527</t>
  </si>
  <si>
    <t>CL00527</t>
  </si>
  <si>
    <t>PRJ00528</t>
  </si>
  <si>
    <t>CL00528</t>
  </si>
  <si>
    <t>PRJ00529</t>
  </si>
  <si>
    <t>CL00529</t>
  </si>
  <si>
    <t>PRJ00530</t>
  </si>
  <si>
    <t>CL00530</t>
  </si>
  <si>
    <t>PRJ00531</t>
  </si>
  <si>
    <t>CL00531</t>
  </si>
  <si>
    <t>PRJ00532</t>
  </si>
  <si>
    <t>CL00532</t>
  </si>
  <si>
    <t>PRJ00533</t>
  </si>
  <si>
    <t>CL00533</t>
  </si>
  <si>
    <t>PRJ00534</t>
  </si>
  <si>
    <t>CL00534</t>
  </si>
  <si>
    <t>PRJ00535</t>
  </si>
  <si>
    <t>CL00535</t>
  </si>
  <si>
    <t>PRJ00536</t>
  </si>
  <si>
    <t>CL00536</t>
  </si>
  <si>
    <t>PRJ00537</t>
  </si>
  <si>
    <t>CL00537</t>
  </si>
  <si>
    <t>PRJ00538</t>
  </si>
  <si>
    <t>CL00538</t>
  </si>
  <si>
    <t>PRJ00539</t>
  </si>
  <si>
    <t>CL00539</t>
  </si>
  <si>
    <t>CL00540</t>
  </si>
  <si>
    <t>PRJ00541</t>
  </si>
  <si>
    <t>CL00541</t>
  </si>
  <si>
    <t>CL00542</t>
  </si>
  <si>
    <t>PRJ00543</t>
  </si>
  <si>
    <t>CL00543</t>
  </si>
  <si>
    <t>PRJ00544</t>
  </si>
  <si>
    <t>CL00544</t>
  </si>
  <si>
    <t>PRJ00545</t>
  </si>
  <si>
    <t>CL00545</t>
  </si>
  <si>
    <t>PRJ00546</t>
  </si>
  <si>
    <t>CL00546</t>
  </si>
  <si>
    <t>PRJ00547</t>
  </si>
  <si>
    <t>CL00547</t>
  </si>
  <si>
    <t>PRJ00548</t>
  </si>
  <si>
    <t>CL00548</t>
  </si>
  <si>
    <t>PRJ00549</t>
  </si>
  <si>
    <t>CL00549</t>
  </si>
  <si>
    <t>PRJ00550</t>
  </si>
  <si>
    <t>CL00550</t>
  </si>
  <si>
    <t>PRJ00551</t>
  </si>
  <si>
    <t>CL00551</t>
  </si>
  <si>
    <t>PRJ00552</t>
  </si>
  <si>
    <t>CL00552</t>
  </si>
  <si>
    <t>PRJ00553</t>
  </si>
  <si>
    <t>CL00553</t>
  </si>
  <si>
    <t>PRJ00554</t>
  </si>
  <si>
    <t>CL00554</t>
  </si>
  <si>
    <t>PRJ00555</t>
  </si>
  <si>
    <t>CL00555</t>
  </si>
  <si>
    <t>PRJ00556</t>
  </si>
  <si>
    <t>CL00556</t>
  </si>
  <si>
    <t>PRJ00557</t>
  </si>
  <si>
    <t>CL00557</t>
  </si>
  <si>
    <t>PRJ00558</t>
  </si>
  <si>
    <t>CL00558</t>
  </si>
  <si>
    <t>PRJ00559</t>
  </si>
  <si>
    <t>CL00559</t>
  </si>
  <si>
    <t>PRJ00560</t>
  </si>
  <si>
    <t>CL00560</t>
  </si>
  <si>
    <t>PRJ00561</t>
  </si>
  <si>
    <t>CL00561</t>
  </si>
  <si>
    <t>PRJ00562</t>
  </si>
  <si>
    <t>CL00562</t>
  </si>
  <si>
    <t>PRJ00563</t>
  </si>
  <si>
    <t>CL00563</t>
  </si>
  <si>
    <t>PRJ00564</t>
  </si>
  <si>
    <t>CL00564</t>
  </si>
  <si>
    <t>PRJ00565</t>
  </si>
  <si>
    <t>CL00565</t>
  </si>
  <si>
    <t>PRJ00566</t>
  </si>
  <si>
    <t>CL00566</t>
  </si>
  <si>
    <t>CL00567</t>
  </si>
  <si>
    <t>CL00568</t>
  </si>
  <si>
    <t>CL00569</t>
  </si>
  <si>
    <t>PRJ00570</t>
  </si>
  <si>
    <t>CL00570</t>
  </si>
  <si>
    <t>PRJ00571</t>
  </si>
  <si>
    <t>CL00571</t>
  </si>
  <si>
    <t>PRJ00572</t>
  </si>
  <si>
    <t>CL00572</t>
  </si>
  <si>
    <t>PRJ00573</t>
  </si>
  <si>
    <t>CL00573</t>
  </si>
  <si>
    <t>PRJ00574</t>
  </si>
  <si>
    <t>CL00574</t>
  </si>
  <si>
    <t>PRJ00575</t>
  </si>
  <si>
    <t>CL00575</t>
  </si>
  <si>
    <t>PRJ00576</t>
  </si>
  <si>
    <t>CL00576</t>
  </si>
  <si>
    <t>PRJ00577</t>
  </si>
  <si>
    <t>CL00577</t>
  </si>
  <si>
    <t>PRJ00578</t>
  </si>
  <si>
    <t>CL00578</t>
  </si>
  <si>
    <t>PRJ00579</t>
  </si>
  <si>
    <t>CL00579</t>
  </si>
  <si>
    <t>PRJ00580</t>
  </si>
  <si>
    <t>CL00580</t>
  </si>
  <si>
    <t>PRJ00581</t>
  </si>
  <si>
    <t>CL00581</t>
  </si>
  <si>
    <t>PRJ00582</t>
  </si>
  <si>
    <t>CL00582</t>
  </si>
  <si>
    <t>PRJ00583</t>
  </si>
  <si>
    <t>CL00583</t>
  </si>
  <si>
    <t>CL00584</t>
  </si>
  <si>
    <t>CL00585</t>
  </si>
  <si>
    <t>PRJ00586</t>
  </si>
  <si>
    <t>CL00586</t>
  </si>
  <si>
    <t>CL00587</t>
  </si>
  <si>
    <t>PRJ00588</t>
  </si>
  <si>
    <t>CL00588</t>
  </si>
  <si>
    <t>PRJ00589</t>
  </si>
  <si>
    <t>CL00589</t>
  </si>
  <si>
    <t>CL00590</t>
  </si>
  <si>
    <t>CL00591</t>
  </si>
  <si>
    <t>PRJ00592</t>
  </si>
  <si>
    <t>CL00592</t>
  </si>
  <si>
    <t>PRJ00593</t>
  </si>
  <si>
    <t>CL00593</t>
  </si>
  <si>
    <t>PRJ00594</t>
  </si>
  <si>
    <t>CL00594</t>
  </si>
  <si>
    <t>PRJ00595</t>
  </si>
  <si>
    <t>CL00595</t>
  </si>
  <si>
    <t>PRJ00596</t>
  </si>
  <si>
    <t>CL00596</t>
  </si>
  <si>
    <t>PRJ00597</t>
  </si>
  <si>
    <t>CL00597</t>
  </si>
  <si>
    <t>PRJ00598</t>
  </si>
  <si>
    <t>CL00598</t>
  </si>
  <si>
    <t>PRJ00599</t>
  </si>
  <si>
    <t>CL00599</t>
  </si>
  <si>
    <t>PRJ00600</t>
  </si>
  <si>
    <t>CL00600</t>
  </si>
  <si>
    <t>PRJ00601</t>
  </si>
  <si>
    <t>CL00601</t>
  </si>
  <si>
    <t>PRJ00602</t>
  </si>
  <si>
    <t>CL00602</t>
  </si>
  <si>
    <t>PRJ00603</t>
  </si>
  <si>
    <t>CL00603</t>
  </si>
  <si>
    <t>PRJ00604</t>
  </si>
  <si>
    <t>CL00604</t>
  </si>
  <si>
    <t>CL00605</t>
  </si>
  <si>
    <t>PRJ00606</t>
  </si>
  <si>
    <t>CL00606</t>
  </si>
  <si>
    <t>PRJ00607</t>
  </si>
  <si>
    <t>CL00607</t>
  </si>
  <si>
    <t>PRJ00608</t>
  </si>
  <si>
    <t>CL00608</t>
  </si>
  <si>
    <t>PRJ00609</t>
  </si>
  <si>
    <t>CL00609</t>
  </si>
  <si>
    <t>PRJ00610</t>
  </si>
  <si>
    <t>CL00610</t>
  </si>
  <si>
    <t>PRJ00611</t>
  </si>
  <si>
    <t>CL00611</t>
  </si>
  <si>
    <t>PRJ00612</t>
  </si>
  <si>
    <t>CL00612</t>
  </si>
  <si>
    <t>PRJ00613</t>
  </si>
  <si>
    <t>CL00613</t>
  </si>
  <si>
    <t>PRJ00614</t>
  </si>
  <si>
    <t>CL00614</t>
  </si>
  <si>
    <t>CL00615</t>
  </si>
  <si>
    <t>PRJ00616</t>
  </si>
  <si>
    <t>CL00616</t>
  </si>
  <si>
    <t>PRJ00617</t>
  </si>
  <si>
    <t>CL00617</t>
  </si>
  <si>
    <t>PRJ00618</t>
  </si>
  <si>
    <t>CL00618</t>
  </si>
  <si>
    <t>PRJ00619</t>
  </si>
  <si>
    <t>CL00619</t>
  </si>
  <si>
    <t>CL00620</t>
  </si>
  <si>
    <t>PRJ00621</t>
  </si>
  <si>
    <t>CL00621</t>
  </si>
  <si>
    <t>PRJ00622</t>
  </si>
  <si>
    <t>CL00622</t>
  </si>
  <si>
    <t>PRJ00623</t>
  </si>
  <si>
    <t>CL00623</t>
  </si>
  <si>
    <t>PRJ00624</t>
  </si>
  <si>
    <t>CL00624</t>
  </si>
  <si>
    <t>PRJ00625</t>
  </si>
  <si>
    <t>CL00625</t>
  </si>
  <si>
    <t>PRJ00626</t>
  </si>
  <si>
    <t>CL00626</t>
  </si>
  <si>
    <t>PRJ00627</t>
  </si>
  <si>
    <t>CL00627</t>
  </si>
  <si>
    <t>PRJ00628</t>
  </si>
  <si>
    <t>CL00628</t>
  </si>
  <si>
    <t>PRJ00629</t>
  </si>
  <si>
    <t>CL00629</t>
  </si>
  <si>
    <t>PRJ00630</t>
  </si>
  <si>
    <t>CL00630</t>
  </si>
  <si>
    <t>PRJ00631</t>
  </si>
  <si>
    <t>CL00631</t>
  </si>
  <si>
    <t>PRJ00632</t>
  </si>
  <si>
    <t>CL00632</t>
  </si>
  <si>
    <t>PRJ00633</t>
  </si>
  <si>
    <t>CL00633</t>
  </si>
  <si>
    <t>CL00634</t>
  </si>
  <si>
    <t>PRJ00635</t>
  </si>
  <si>
    <t>CL00635</t>
  </si>
  <si>
    <t>PRJ00636</t>
  </si>
  <si>
    <t>CL00636</t>
  </si>
  <si>
    <t>PRJ00637</t>
  </si>
  <si>
    <t>CL00637</t>
  </si>
  <si>
    <t>PRJ00638</t>
  </si>
  <si>
    <t>CL00638</t>
  </si>
  <si>
    <t>PRJ00639</t>
  </si>
  <si>
    <t>CL00639</t>
  </si>
  <si>
    <t>PRJ00640</t>
  </si>
  <si>
    <t>CL00640</t>
  </si>
  <si>
    <t>PRJ00641</t>
  </si>
  <si>
    <t>CL00641</t>
  </si>
  <si>
    <t>PRJ00642</t>
  </si>
  <si>
    <t>CL00642</t>
  </si>
  <si>
    <t>PRJ00643</t>
  </si>
  <si>
    <t>CL00643</t>
  </si>
  <si>
    <t>PRJ00644</t>
  </si>
  <si>
    <t>CL00644</t>
  </si>
  <si>
    <t>PRJ00645</t>
  </si>
  <si>
    <t>CL00645</t>
  </si>
  <si>
    <t>CL00646</t>
  </si>
  <si>
    <t>PRJ00647</t>
  </si>
  <si>
    <t>CL00647</t>
  </si>
  <si>
    <t>PRJ00648</t>
  </si>
  <si>
    <t>CL00648</t>
  </si>
  <si>
    <t>PRJ00649</t>
  </si>
  <si>
    <t>CL00649</t>
  </si>
  <si>
    <t>PRJ00650</t>
  </si>
  <si>
    <t>CL00650</t>
  </si>
  <si>
    <t>PRJ00651</t>
  </si>
  <si>
    <t>CL00651</t>
  </si>
  <si>
    <t>PRJ00652</t>
  </si>
  <si>
    <t>CL00652</t>
  </si>
  <si>
    <t>PRJ00653</t>
  </si>
  <si>
    <t>CL00653</t>
  </si>
  <si>
    <t>PRJ00654</t>
  </si>
  <si>
    <t>CL00654</t>
  </si>
  <si>
    <t>PRJ00655</t>
  </si>
  <si>
    <t>CL00655</t>
  </si>
  <si>
    <t>PRJ00656</t>
  </si>
  <si>
    <t>CL00656</t>
  </si>
  <si>
    <t>PRJ00657</t>
  </si>
  <si>
    <t>CL00657</t>
  </si>
  <si>
    <t>PRJ00658</t>
  </si>
  <si>
    <t>CL00658</t>
  </si>
  <si>
    <t>PRJ00659</t>
  </si>
  <si>
    <t>CL00659</t>
  </si>
  <si>
    <t>PRJ00660</t>
  </si>
  <si>
    <t>CL00660</t>
  </si>
  <si>
    <t>PRJ00661</t>
  </si>
  <si>
    <t>CL00661</t>
  </si>
  <si>
    <t>PRJ00662</t>
  </si>
  <si>
    <t>CL00662</t>
  </si>
  <si>
    <t>PRJ00663</t>
  </si>
  <si>
    <t>CL00663</t>
  </si>
  <si>
    <t>PRJ00664</t>
  </si>
  <si>
    <t>CL00664</t>
  </si>
  <si>
    <t>PRJ00665</t>
  </si>
  <si>
    <t>CL00665</t>
  </si>
  <si>
    <t>PRJ00666</t>
  </si>
  <si>
    <t>CL00666</t>
  </si>
  <si>
    <t>PRJ00667</t>
  </si>
  <si>
    <t>CL00667</t>
  </si>
  <si>
    <t>PRJ00668</t>
  </si>
  <si>
    <t>CL00668</t>
  </si>
  <si>
    <t>CL00669</t>
  </si>
  <si>
    <t>PRJ00670</t>
  </si>
  <si>
    <t>CL00670</t>
  </si>
  <si>
    <t>PRJ00671</t>
  </si>
  <si>
    <t>CL00671</t>
  </si>
  <si>
    <t>PRJ00672</t>
  </si>
  <si>
    <t>CL00672</t>
  </si>
  <si>
    <t>CL00673</t>
  </si>
  <si>
    <t>PRJ00674</t>
  </si>
  <si>
    <t>CL00674</t>
  </si>
  <si>
    <t>CL00675</t>
  </si>
  <si>
    <t>PRJ00676</t>
  </si>
  <si>
    <t>CL00676</t>
  </si>
  <si>
    <t>PRJ00677</t>
  </si>
  <si>
    <t>CL00677</t>
  </si>
  <si>
    <t>PRJ00678</t>
  </si>
  <si>
    <t>CL00678</t>
  </si>
  <si>
    <t>PRJ00679</t>
  </si>
  <si>
    <t>CL00679</t>
  </si>
  <si>
    <t>CL00680</t>
  </si>
  <si>
    <t>PRJ00681</t>
  </si>
  <si>
    <t>CL00681</t>
  </si>
  <si>
    <t>PRJ00682</t>
  </si>
  <si>
    <t>CL00682</t>
  </si>
  <si>
    <t>PRJ00683</t>
  </si>
  <si>
    <t>CL00683</t>
  </si>
  <si>
    <t>CL00684</t>
  </si>
  <si>
    <t>PRJ00685</t>
  </si>
  <si>
    <t>CL00685</t>
  </si>
  <si>
    <t>PRJ00686</t>
  </si>
  <si>
    <t>CL00686</t>
  </si>
  <si>
    <t>CL00687</t>
  </si>
  <si>
    <t>PRJ00688</t>
  </si>
  <si>
    <t>CL00688</t>
  </si>
  <si>
    <t>PRJ00689</t>
  </si>
  <si>
    <t>CL00689</t>
  </si>
  <si>
    <t>PRJ00690</t>
  </si>
  <si>
    <t>CL00690</t>
  </si>
  <si>
    <t>CL00691</t>
  </si>
  <si>
    <t>PRJ00692</t>
  </si>
  <si>
    <t>CL00692</t>
  </si>
  <si>
    <t>PRJ00693</t>
  </si>
  <si>
    <t>CL00693</t>
  </si>
  <si>
    <t>PRJ00694</t>
  </si>
  <si>
    <t>CL00694</t>
  </si>
  <si>
    <t>CL00695</t>
  </si>
  <si>
    <t>PRJ00696</t>
  </si>
  <si>
    <t>CL00696</t>
  </si>
  <si>
    <t>PRJ00697</t>
  </si>
  <si>
    <t>CL00697</t>
  </si>
  <si>
    <t>PRJ00698</t>
  </si>
  <si>
    <t>CL00698</t>
  </si>
  <si>
    <t>PRJ00699</t>
  </si>
  <si>
    <t>CL00699</t>
  </si>
  <si>
    <t>PRJ00700</t>
  </si>
  <si>
    <t>CL00700</t>
  </si>
  <si>
    <t>PRJ00701</t>
  </si>
  <si>
    <t>CL00701</t>
  </si>
  <si>
    <t>PRJ00702</t>
  </si>
  <si>
    <t>CL00702</t>
  </si>
  <si>
    <t>CL00703</t>
  </si>
  <si>
    <t>PRJ00704</t>
  </si>
  <si>
    <t>CL00704</t>
  </si>
  <si>
    <t>PRJ00705</t>
  </si>
  <si>
    <t>CL00705</t>
  </si>
  <si>
    <t>PRJ00706</t>
  </si>
  <si>
    <t>CL00706</t>
  </si>
  <si>
    <t>PRJ00707</t>
  </si>
  <si>
    <t>CL00707</t>
  </si>
  <si>
    <t>CL00708</t>
  </si>
  <si>
    <t>PRJ00709</t>
  </si>
  <si>
    <t>CL00709</t>
  </si>
  <si>
    <t>PRJ00710</t>
  </si>
  <si>
    <t>CL00710</t>
  </si>
  <si>
    <t>PRJ00711</t>
  </si>
  <si>
    <t>CL00711</t>
  </si>
  <si>
    <t>PRJ00712</t>
  </si>
  <si>
    <t>CL00712</t>
  </si>
  <si>
    <t>PRJ00713</t>
  </si>
  <si>
    <t>CL00713</t>
  </si>
  <si>
    <t>CL00714</t>
  </si>
  <si>
    <t>PRJ00715</t>
  </si>
  <si>
    <t>CL00715</t>
  </si>
  <si>
    <t>PRJ00716</t>
  </si>
  <si>
    <t>CL00716</t>
  </si>
  <si>
    <t>PRJ00717</t>
  </si>
  <si>
    <t>CL00717</t>
  </si>
  <si>
    <t>PRJ00718</t>
  </si>
  <si>
    <t>CL00718</t>
  </si>
  <si>
    <t>PRJ00719</t>
  </si>
  <si>
    <t>CL00719</t>
  </si>
  <si>
    <t>PRJ00720</t>
  </si>
  <si>
    <t>CL00720</t>
  </si>
  <si>
    <t>PRJ00721</t>
  </si>
  <si>
    <t>CL00721</t>
  </si>
  <si>
    <t>PRJ00722</t>
  </si>
  <si>
    <t>CL00722</t>
  </si>
  <si>
    <t>CL00723</t>
  </si>
  <si>
    <t>PRJ00724</t>
  </si>
  <si>
    <t>CL00724</t>
  </si>
  <si>
    <t>PRJ00725</t>
  </si>
  <si>
    <t>CL00725</t>
  </si>
  <si>
    <t>CL00726</t>
  </si>
  <si>
    <t>PRJ00727</t>
  </si>
  <si>
    <t>CL00727</t>
  </si>
  <si>
    <t>PRJ00728</t>
  </si>
  <si>
    <t>CL00728</t>
  </si>
  <si>
    <t>PRJ00729</t>
  </si>
  <si>
    <t>CL00729</t>
  </si>
  <si>
    <t>PRJ00730</t>
  </si>
  <si>
    <t>CL00730</t>
  </si>
  <si>
    <t>PRJ00731</t>
  </si>
  <si>
    <t>CL00731</t>
  </si>
  <si>
    <t>PRJ00732</t>
  </si>
  <si>
    <t>CL00732</t>
  </si>
  <si>
    <t>CL00733</t>
  </si>
  <si>
    <t>PRJ00734</t>
  </si>
  <si>
    <t>CL00734</t>
  </si>
  <si>
    <t>PRJ00735</t>
  </si>
  <si>
    <t>CL00735</t>
  </si>
  <si>
    <t>PRJ00736</t>
  </si>
  <si>
    <t>CL00736</t>
  </si>
  <si>
    <t>PRJ00737</t>
  </si>
  <si>
    <t>CL00737</t>
  </si>
  <si>
    <t>PRJ00738</t>
  </si>
  <si>
    <t>CL00738</t>
  </si>
  <si>
    <t>PRJ00739</t>
  </si>
  <si>
    <t>CL00739</t>
  </si>
  <si>
    <t>PRJ00740</t>
  </si>
  <si>
    <t>CL00740</t>
  </si>
  <si>
    <t>PRJ00741</t>
  </si>
  <si>
    <t>CL00741</t>
  </si>
  <si>
    <t>PRJ00742</t>
  </si>
  <si>
    <t>CL00742</t>
  </si>
  <si>
    <t>PRJ00743</t>
  </si>
  <si>
    <t>CL00743</t>
  </si>
  <si>
    <t>PRJ00744</t>
  </si>
  <si>
    <t>CL00744</t>
  </si>
  <si>
    <t>PRJ00745</t>
  </si>
  <si>
    <t>CL00745</t>
  </si>
  <si>
    <t>PRJ00746</t>
  </si>
  <si>
    <t>CL00746</t>
  </si>
  <si>
    <t>PRJ00747</t>
  </si>
  <si>
    <t>CL00747</t>
  </si>
  <si>
    <t>PRJ00748</t>
  </si>
  <si>
    <t>CL00748</t>
  </si>
  <si>
    <t>PRJ00749</t>
  </si>
  <si>
    <t>CL00749</t>
  </si>
  <si>
    <t>PRJ00750</t>
  </si>
  <si>
    <t>CL00750</t>
  </si>
  <si>
    <t>PRJ00751</t>
  </si>
  <si>
    <t>CL00751</t>
  </si>
  <si>
    <t>PRJ00752</t>
  </si>
  <si>
    <t>CL00752</t>
  </si>
  <si>
    <t>PRJ00753</t>
  </si>
  <si>
    <t>CL00753</t>
  </si>
  <si>
    <t>PRJ00754</t>
  </si>
  <si>
    <t>CL00754</t>
  </si>
  <si>
    <t>PRJ00755</t>
  </si>
  <si>
    <t>CL00755</t>
  </si>
  <si>
    <t>PRJ00756</t>
  </si>
  <si>
    <t>CL00756</t>
  </si>
  <si>
    <t>CL00757</t>
  </si>
  <si>
    <t>PRJ00758</t>
  </si>
  <si>
    <t>CL00758</t>
  </si>
  <si>
    <t>PRJ00759</t>
  </si>
  <si>
    <t>CL00759</t>
  </si>
  <si>
    <t>PRJ00760</t>
  </si>
  <si>
    <t>CL00760</t>
  </si>
  <si>
    <t>PRJ00761</t>
  </si>
  <si>
    <t>CL00761</t>
  </si>
  <si>
    <t>PRJ00762</t>
  </si>
  <si>
    <t>CL00762</t>
  </si>
  <si>
    <t>PRJ00763</t>
  </si>
  <si>
    <t>CL00763</t>
  </si>
  <si>
    <t>PRJ00764</t>
  </si>
  <si>
    <t>CL00764</t>
  </si>
  <si>
    <t>PRJ00765</t>
  </si>
  <si>
    <t>CL00765</t>
  </si>
  <si>
    <t>CL00766</t>
  </si>
  <si>
    <t>PRJ00767</t>
  </si>
  <si>
    <t>CL00767</t>
  </si>
  <si>
    <t>CL00768</t>
  </si>
  <si>
    <t>PRJ00769</t>
  </si>
  <si>
    <t>CL00769</t>
  </si>
  <si>
    <t>CL00770</t>
  </si>
  <si>
    <t>PRJ00771</t>
  </si>
  <si>
    <t>CL00771</t>
  </si>
  <si>
    <t>PRJ00772</t>
  </si>
  <si>
    <t>CL00772</t>
  </si>
  <si>
    <t>PRJ00773</t>
  </si>
  <si>
    <t>CL00773</t>
  </si>
  <si>
    <t>PRJ00774</t>
  </si>
  <si>
    <t>CL00774</t>
  </si>
  <si>
    <t>PRJ00775</t>
  </si>
  <si>
    <t>CL00775</t>
  </si>
  <si>
    <t>PRJ00776</t>
  </si>
  <si>
    <t>CL00776</t>
  </si>
  <si>
    <t>PRJ00777</t>
  </si>
  <si>
    <t>CL00777</t>
  </si>
  <si>
    <t>PRJ00778</t>
  </si>
  <si>
    <t>CL00778</t>
  </si>
  <si>
    <t>PRJ00779</t>
  </si>
  <si>
    <t>CL00779</t>
  </si>
  <si>
    <t>PRJ00780</t>
  </si>
  <si>
    <t>CL00780</t>
  </si>
  <si>
    <t>PRJ00781</t>
  </si>
  <si>
    <t>CL00781</t>
  </si>
  <si>
    <t>PRJ00782</t>
  </si>
  <si>
    <t>CL00782</t>
  </si>
  <si>
    <t>PRJ00783</t>
  </si>
  <si>
    <t>CL00783</t>
  </si>
  <si>
    <t>PRJ00784</t>
  </si>
  <si>
    <t>CL00784</t>
  </si>
  <si>
    <t>PRJ00785</t>
  </si>
  <si>
    <t>CL00785</t>
  </si>
  <si>
    <t>PRJ00786</t>
  </si>
  <si>
    <t>CL00786</t>
  </si>
  <si>
    <t>PRJ00787</t>
  </si>
  <si>
    <t>CL00787</t>
  </si>
  <si>
    <t>PRJ00788</t>
  </si>
  <si>
    <t>CL00788</t>
  </si>
  <si>
    <t>PRJ00789</t>
  </si>
  <si>
    <t>CL00789</t>
  </si>
  <si>
    <t>PRJ00790</t>
  </si>
  <si>
    <t>CL00790</t>
  </si>
  <si>
    <t>PRJ00791</t>
  </si>
  <si>
    <t>CL00791</t>
  </si>
  <si>
    <t>PRJ00792</t>
  </si>
  <si>
    <t>CL00792</t>
  </si>
  <si>
    <t>PRJ00793</t>
  </si>
  <si>
    <t>CL00793</t>
  </si>
  <si>
    <t>PRJ00794</t>
  </si>
  <si>
    <t>CL00794</t>
  </si>
  <si>
    <t>PRJ00795</t>
  </si>
  <si>
    <t>CL00795</t>
  </si>
  <si>
    <t>PRJ00796</t>
  </si>
  <si>
    <t>CL00796</t>
  </si>
  <si>
    <t>PRJ00797</t>
  </si>
  <si>
    <t>CL00797</t>
  </si>
  <si>
    <t>PRJ00798</t>
  </si>
  <si>
    <t>CL00798</t>
  </si>
  <si>
    <t>PRJ00799</t>
  </si>
  <si>
    <t>CL00799</t>
  </si>
  <si>
    <t>PRJ00800</t>
  </si>
  <si>
    <t>CL00800</t>
  </si>
  <si>
    <t>PRJ00801</t>
  </si>
  <si>
    <t>CL00801</t>
  </si>
  <si>
    <t>PRJ00802</t>
  </si>
  <si>
    <t>CL00802</t>
  </si>
  <si>
    <t>PRJ00803</t>
  </si>
  <si>
    <t>CL00803</t>
  </si>
  <si>
    <t>PRJ00804</t>
  </si>
  <si>
    <t>CL00804</t>
  </si>
  <si>
    <t>PRJ00805</t>
  </si>
  <si>
    <t>CL00805</t>
  </si>
  <si>
    <t>PRJ00806</t>
  </si>
  <si>
    <t>CL00806</t>
  </si>
  <si>
    <t>PRJ00807</t>
  </si>
  <si>
    <t>CL00807</t>
  </si>
  <si>
    <t>PRJ00808</t>
  </si>
  <si>
    <t>CL00808</t>
  </si>
  <si>
    <t>PRJ00809</t>
  </si>
  <si>
    <t>CL00809</t>
  </si>
  <si>
    <t>PRJ00810</t>
  </si>
  <si>
    <t>CL00810</t>
  </si>
  <si>
    <t>PRJ00811</t>
  </si>
  <si>
    <t>CL00811</t>
  </si>
  <si>
    <t>PRJ00812</t>
  </si>
  <si>
    <t>CL00812</t>
  </si>
  <si>
    <t>PRJ00813</t>
  </si>
  <si>
    <t>CL00813</t>
  </si>
  <si>
    <t>PRJ00814</t>
  </si>
  <si>
    <t>CL00814</t>
  </si>
  <si>
    <t>PRJ00815</t>
  </si>
  <si>
    <t>CL00815</t>
  </si>
  <si>
    <t>CL00816</t>
  </si>
  <si>
    <t>PRJ00817</t>
  </si>
  <si>
    <t>CL00817</t>
  </si>
  <si>
    <t>PRJ00818</t>
  </si>
  <si>
    <t>CL00818</t>
  </si>
  <si>
    <t>CL00819</t>
  </si>
  <si>
    <t>PRJ00820</t>
  </si>
  <si>
    <t>CL00820</t>
  </si>
  <si>
    <t>PRJ00821</t>
  </si>
  <si>
    <t>CL00821</t>
  </si>
  <si>
    <t>PRJ00822</t>
  </si>
  <si>
    <t>CL00822</t>
  </si>
  <si>
    <t>PRJ00823</t>
  </si>
  <si>
    <t>CL00823</t>
  </si>
  <si>
    <t>CL00824</t>
  </si>
  <si>
    <t>PRJ00825</t>
  </si>
  <si>
    <t>CL00825</t>
  </si>
  <si>
    <t>PRJ00826</t>
  </si>
  <si>
    <t>CL00826</t>
  </si>
  <si>
    <t>PRJ00827</t>
  </si>
  <si>
    <t>CL00827</t>
  </si>
  <si>
    <t>PRJ00828</t>
  </si>
  <si>
    <t>CL00828</t>
  </si>
  <si>
    <t>CL00829</t>
  </si>
  <si>
    <t>PRJ00830</t>
  </si>
  <si>
    <t>CL00830</t>
  </si>
  <si>
    <t>PRJ00831</t>
  </si>
  <si>
    <t>CL00831</t>
  </si>
  <si>
    <t>PRJ00832</t>
  </si>
  <si>
    <t>CL00832</t>
  </si>
  <si>
    <t>PRJ00833</t>
  </si>
  <si>
    <t>CL00833</t>
  </si>
  <si>
    <t>PRJ00834</t>
  </si>
  <si>
    <t>CL00834</t>
  </si>
  <si>
    <t>PRJ00835</t>
  </si>
  <si>
    <t>CL00835</t>
  </si>
  <si>
    <t>PRJ00836</t>
  </si>
  <si>
    <t>CL00836</t>
  </si>
  <si>
    <t>PRJ00837</t>
  </si>
  <si>
    <t>CL00837</t>
  </si>
  <si>
    <t>PRJ00838</t>
  </si>
  <si>
    <t>CL00838</t>
  </si>
  <si>
    <t>PRJ00839</t>
  </si>
  <si>
    <t>CL00839</t>
  </si>
  <si>
    <t>PRJ00840</t>
  </si>
  <si>
    <t>CL00840</t>
  </si>
  <si>
    <t>PRJ00841</t>
  </si>
  <si>
    <t>CL00841</t>
  </si>
  <si>
    <t>PRJ00842</t>
  </si>
  <si>
    <t>CL00842</t>
  </si>
  <si>
    <t>PRJ00843</t>
  </si>
  <si>
    <t>CL00843</t>
  </si>
  <si>
    <t>CL00844</t>
  </si>
  <si>
    <t>PRJ00845</t>
  </si>
  <si>
    <t>CL00845</t>
  </si>
  <si>
    <t>CL00846</t>
  </si>
  <si>
    <t>PRJ00847</t>
  </si>
  <si>
    <t>CL00847</t>
  </si>
  <si>
    <t>PRJ00848</t>
  </si>
  <si>
    <t>CL00848</t>
  </si>
  <si>
    <t>PRJ00849</t>
  </si>
  <si>
    <t>CL00849</t>
  </si>
  <si>
    <t>PRJ00850</t>
  </si>
  <si>
    <t>CL00850</t>
  </si>
  <si>
    <t>PRJ00851</t>
  </si>
  <si>
    <t>CL00851</t>
  </si>
  <si>
    <t>PRJ00852</t>
  </si>
  <si>
    <t>CL00852</t>
  </si>
  <si>
    <t>PRJ00853</t>
  </si>
  <si>
    <t>CL00853</t>
  </si>
  <si>
    <t>PRJ00854</t>
  </si>
  <si>
    <t>CL00854</t>
  </si>
  <si>
    <t>PRJ00855</t>
  </si>
  <si>
    <t>CL00855</t>
  </si>
  <si>
    <t>PRJ00856</t>
  </si>
  <si>
    <t>CL00856</t>
  </si>
  <si>
    <t>PRJ00857</t>
  </si>
  <si>
    <t>CL00857</t>
  </si>
  <si>
    <t>PRJ00858</t>
  </si>
  <si>
    <t>CL00858</t>
  </si>
  <si>
    <t>PRJ00859</t>
  </si>
  <si>
    <t>CL00859</t>
  </si>
  <si>
    <t>PRJ00860</t>
  </si>
  <si>
    <t>CL00860</t>
  </si>
  <si>
    <t>PRJ00861</t>
  </si>
  <si>
    <t>CL00861</t>
  </si>
  <si>
    <t>PRJ00862</t>
  </si>
  <si>
    <t>CL00862</t>
  </si>
  <si>
    <t>PRJ00863</t>
  </si>
  <si>
    <t>CL00863</t>
  </si>
  <si>
    <t>PRJ00864</t>
  </si>
  <si>
    <t>CL00864</t>
  </si>
  <si>
    <t>PRJ00865</t>
  </si>
  <si>
    <t>CL00865</t>
  </si>
  <si>
    <t>PRJ00866</t>
  </si>
  <si>
    <t>CL00866</t>
  </si>
  <si>
    <t>PRJ00867</t>
  </si>
  <si>
    <t>CL00867</t>
  </si>
  <si>
    <t>PRJ00868</t>
  </si>
  <si>
    <t>CL00868</t>
  </si>
  <si>
    <t>PRJ00869</t>
  </si>
  <si>
    <t>CL00869</t>
  </si>
  <si>
    <t>PRJ00870</t>
  </si>
  <si>
    <t>CL00870</t>
  </si>
  <si>
    <t>CL00871</t>
  </si>
  <si>
    <t>PRJ00872</t>
  </si>
  <si>
    <t>CL00872</t>
  </si>
  <si>
    <t>PRJ00873</t>
  </si>
  <si>
    <t>CL00873</t>
  </si>
  <si>
    <t>PRJ00874</t>
  </si>
  <si>
    <t>CL00874</t>
  </si>
  <si>
    <t>PRJ00875</t>
  </si>
  <si>
    <t>CL00875</t>
  </si>
  <si>
    <t>PRJ00876</t>
  </si>
  <si>
    <t>CL00876</t>
  </si>
  <si>
    <t>CL00877</t>
  </si>
  <si>
    <t>CL00878</t>
  </si>
  <si>
    <t>PRJ00879</t>
  </si>
  <si>
    <t>CL00879</t>
  </si>
  <si>
    <t>PRJ00880</t>
  </si>
  <si>
    <t>CL00880</t>
  </si>
  <si>
    <t>PRJ00881</t>
  </si>
  <si>
    <t>CL00881</t>
  </si>
  <si>
    <t>PRJ00882</t>
  </si>
  <si>
    <t>CL00882</t>
  </si>
  <si>
    <t>PRJ00883</t>
  </si>
  <si>
    <t>CL00883</t>
  </si>
  <si>
    <t>CL00884</t>
  </si>
  <si>
    <t>PRJ00885</t>
  </si>
  <si>
    <t>CL00885</t>
  </si>
  <si>
    <t>CL00886</t>
  </si>
  <si>
    <t>PRJ00887</t>
  </si>
  <si>
    <t>CL00887</t>
  </si>
  <si>
    <t>PRJ00888</t>
  </si>
  <si>
    <t>CL00888</t>
  </si>
  <si>
    <t>CL00889</t>
  </si>
  <si>
    <t>PRJ00890</t>
  </si>
  <si>
    <t>CL00890</t>
  </si>
  <si>
    <t>PRJ00891</t>
  </si>
  <si>
    <t>CL00891</t>
  </si>
  <si>
    <t>PRJ00892</t>
  </si>
  <si>
    <t>CL00892</t>
  </si>
  <si>
    <t>PRJ00893</t>
  </si>
  <si>
    <t>CL00893</t>
  </si>
  <si>
    <t>PRJ00894</t>
  </si>
  <si>
    <t>CL00894</t>
  </si>
  <si>
    <t>PRJ00895</t>
  </si>
  <si>
    <t>CL00895</t>
  </si>
  <si>
    <t>PRJ00896</t>
  </si>
  <si>
    <t>CL00896</t>
  </si>
  <si>
    <t>PRJ00897</t>
  </si>
  <si>
    <t>CL00897</t>
  </si>
  <si>
    <t>PRJ00898</t>
  </si>
  <si>
    <t>CL00898</t>
  </si>
  <si>
    <t>PRJ00899</t>
  </si>
  <si>
    <t>CL00899</t>
  </si>
  <si>
    <t>PRJ00900</t>
  </si>
  <si>
    <t>CL00900</t>
  </si>
  <si>
    <t>PRJ00901</t>
  </si>
  <si>
    <t>CL00901</t>
  </si>
  <si>
    <t>CL00902</t>
  </si>
  <si>
    <t>PRJ00903</t>
  </si>
  <si>
    <t>CL00903</t>
  </si>
  <si>
    <t>PRJ00904</t>
  </si>
  <si>
    <t>CL00904</t>
  </si>
  <si>
    <t>PRJ00905</t>
  </si>
  <si>
    <t>CL00905</t>
  </si>
  <si>
    <t>PRJ00906</t>
  </si>
  <si>
    <t>CL00906</t>
  </si>
  <si>
    <t>PRJ00907</t>
  </si>
  <si>
    <t>CL00907</t>
  </si>
  <si>
    <t>PRJ00908</t>
  </si>
  <si>
    <t>CL00908</t>
  </si>
  <si>
    <t>PRJ00909</t>
  </si>
  <si>
    <t>CL00909</t>
  </si>
  <si>
    <t>CL00910</t>
  </si>
  <si>
    <t>PRJ00911</t>
  </si>
  <si>
    <t>CL00911</t>
  </si>
  <si>
    <t>PRJ00912</t>
  </si>
  <si>
    <t>CL00912</t>
  </si>
  <si>
    <t>PRJ00913</t>
  </si>
  <si>
    <t>CL00913</t>
  </si>
  <si>
    <t>PRJ00914</t>
  </si>
  <si>
    <t>CL00914</t>
  </si>
  <si>
    <t>PRJ00915</t>
  </si>
  <si>
    <t>CL00915</t>
  </si>
  <si>
    <t>PRJ00916</t>
  </si>
  <si>
    <t>CL00916</t>
  </si>
  <si>
    <t>PRJ00917</t>
  </si>
  <si>
    <t>CL00917</t>
  </si>
  <si>
    <t>PRJ00918</t>
  </si>
  <si>
    <t>CL00918</t>
  </si>
  <si>
    <t>PRJ00919</t>
  </si>
  <si>
    <t>CL00919</t>
  </si>
  <si>
    <t>PRJ00920</t>
  </si>
  <si>
    <t>CL00920</t>
  </si>
  <si>
    <t>PRJ00921</t>
  </si>
  <si>
    <t>CL00921</t>
  </si>
  <si>
    <t>PRJ00922</t>
  </si>
  <si>
    <t>CL00922</t>
  </si>
  <si>
    <t>PRJ00923</t>
  </si>
  <si>
    <t>CL00923</t>
  </si>
  <si>
    <t>PRJ00924</t>
  </si>
  <si>
    <t>CL00924</t>
  </si>
  <si>
    <t>CL00925</t>
  </si>
  <si>
    <t>PRJ00926</t>
  </si>
  <si>
    <t>CL00926</t>
  </si>
  <si>
    <t>PRJ00927</t>
  </si>
  <si>
    <t>CL00927</t>
  </si>
  <si>
    <t>PRJ00928</t>
  </si>
  <si>
    <t>CL00928</t>
  </si>
  <si>
    <t>PRJ00929</t>
  </si>
  <si>
    <t>CL00929</t>
  </si>
  <si>
    <t>CL00930</t>
  </si>
  <si>
    <t>PRJ00931</t>
  </si>
  <si>
    <t>CL00931</t>
  </si>
  <si>
    <t>CL00932</t>
  </si>
  <si>
    <t>PRJ00933</t>
  </si>
  <si>
    <t>CL00933</t>
  </si>
  <si>
    <t>PRJ00934</t>
  </si>
  <si>
    <t>CL00934</t>
  </si>
  <si>
    <t>PRJ00935</t>
  </si>
  <si>
    <t>CL00935</t>
  </si>
  <si>
    <t>PRJ00936</t>
  </si>
  <si>
    <t>CL00936</t>
  </si>
  <si>
    <t>PRJ00937</t>
  </si>
  <si>
    <t>CL00937</t>
  </si>
  <si>
    <t>PRJ00938</t>
  </si>
  <si>
    <t>CL00938</t>
  </si>
  <si>
    <t>PRJ00939</t>
  </si>
  <si>
    <t>CL00939</t>
  </si>
  <si>
    <t>PRJ00940</t>
  </si>
  <si>
    <t>CL00940</t>
  </si>
  <si>
    <t>PRJ00941</t>
  </si>
  <si>
    <t>CL00941</t>
  </si>
  <si>
    <t>PRJ00942</t>
  </si>
  <si>
    <t>CL00942</t>
  </si>
  <si>
    <t>PRJ00943</t>
  </si>
  <si>
    <t>CL00943</t>
  </si>
  <si>
    <t>PRJ00944</t>
  </si>
  <si>
    <t>CL00944</t>
  </si>
  <si>
    <t>CL00945</t>
  </si>
  <si>
    <t>PRJ00946</t>
  </si>
  <si>
    <t>CL00946</t>
  </si>
  <si>
    <t>PRJ00947</t>
  </si>
  <si>
    <t>CL00947</t>
  </si>
  <si>
    <t>PRJ00948</t>
  </si>
  <si>
    <t>CL00948</t>
  </si>
  <si>
    <t>CL00949</t>
  </si>
  <si>
    <t>PRJ00950</t>
  </si>
  <si>
    <t>CL00950</t>
  </si>
  <si>
    <t>PRJ00951</t>
  </si>
  <si>
    <t>CL00951</t>
  </si>
  <si>
    <t>PRJ00952</t>
  </si>
  <si>
    <t>CL00952</t>
  </si>
  <si>
    <t>PRJ00953</t>
  </si>
  <si>
    <t>CL00953</t>
  </si>
  <si>
    <t>PRJ00954</t>
  </si>
  <si>
    <t>CL00954</t>
  </si>
  <si>
    <t>PRJ00955</t>
  </si>
  <si>
    <t>CL00955</t>
  </si>
  <si>
    <t>PRJ00956</t>
  </si>
  <si>
    <t>CL00956</t>
  </si>
  <si>
    <t>CL00957</t>
  </si>
  <si>
    <t>PRJ00958</t>
  </si>
  <si>
    <t>CL00958</t>
  </si>
  <si>
    <t>PRJ00959</t>
  </si>
  <si>
    <t>CL00959</t>
  </si>
  <si>
    <t>CL00960</t>
  </si>
  <si>
    <t>CL00961</t>
  </si>
  <si>
    <t>PRJ00962</t>
  </si>
  <si>
    <t>CL00962</t>
  </si>
  <si>
    <t>PRJ00963</t>
  </si>
  <si>
    <t>CL00963</t>
  </si>
  <si>
    <t>PRJ00964</t>
  </si>
  <si>
    <t>CL00964</t>
  </si>
  <si>
    <t>PRJ00965</t>
  </si>
  <si>
    <t>CL00965</t>
  </si>
  <si>
    <t>PRJ00966</t>
  </si>
  <si>
    <t>CL00966</t>
  </si>
  <si>
    <t>PRJ00967</t>
  </si>
  <si>
    <t>CL00967</t>
  </si>
  <si>
    <t>CL00968</t>
  </si>
  <si>
    <t>PRJ00969</t>
  </si>
  <si>
    <t>CL00969</t>
  </si>
  <si>
    <t>PRJ00970</t>
  </si>
  <si>
    <t>CL00970</t>
  </si>
  <si>
    <t>PRJ00971</t>
  </si>
  <si>
    <t>CL00971</t>
  </si>
  <si>
    <t>PRJ00972</t>
  </si>
  <si>
    <t>CL00972</t>
  </si>
  <si>
    <t>PRJ00973</t>
  </si>
  <si>
    <t>CL00973</t>
  </si>
  <si>
    <t>CL00974</t>
  </si>
  <si>
    <t>PRJ00975</t>
  </si>
  <si>
    <t>CL00975</t>
  </si>
  <si>
    <t>PRJ00976</t>
  </si>
  <si>
    <t>CL00976</t>
  </si>
  <si>
    <t>PRJ00977</t>
  </si>
  <si>
    <t>CL00977</t>
  </si>
  <si>
    <t>PRJ00978</t>
  </si>
  <si>
    <t>CL00978</t>
  </si>
  <si>
    <t>PRJ00979</t>
  </si>
  <si>
    <t>CL00979</t>
  </si>
  <si>
    <t>PRJ00980</t>
  </si>
  <si>
    <t>CL00980</t>
  </si>
  <si>
    <t>PRJ00981</t>
  </si>
  <si>
    <t>CL00981</t>
  </si>
  <si>
    <t>PRJ00982</t>
  </si>
  <si>
    <t>CL00982</t>
  </si>
  <si>
    <t>PRJ00983</t>
  </si>
  <si>
    <t>CL00983</t>
  </si>
  <si>
    <t>PRJ00984</t>
  </si>
  <si>
    <t>CL00984</t>
  </si>
  <si>
    <t>PRJ00985</t>
  </si>
  <si>
    <t>CL00985</t>
  </si>
  <si>
    <t>CL00986</t>
  </si>
  <si>
    <t>PRJ00987</t>
  </si>
  <si>
    <t>CL00987</t>
  </si>
  <si>
    <t>PRJ00988</t>
  </si>
  <si>
    <t>CL00988</t>
  </si>
  <si>
    <t>PRJ00989</t>
  </si>
  <si>
    <t>CL00989</t>
  </si>
  <si>
    <t>PRJ00990</t>
  </si>
  <si>
    <t>CL00990</t>
  </si>
  <si>
    <t>PRJ00991</t>
  </si>
  <si>
    <t>CL00991</t>
  </si>
  <si>
    <t>PRJ00992</t>
  </si>
  <si>
    <t>CL00992</t>
  </si>
  <si>
    <t>PRJ00993</t>
  </si>
  <si>
    <t>CL00993</t>
  </si>
  <si>
    <t>PRJ00994</t>
  </si>
  <si>
    <t>CL00994</t>
  </si>
  <si>
    <t>PRJ00995</t>
  </si>
  <si>
    <t>CL00995</t>
  </si>
  <si>
    <t>PRJ00996</t>
  </si>
  <si>
    <t>CL00996</t>
  </si>
  <si>
    <t>PRJ00997</t>
  </si>
  <si>
    <t>CL00997</t>
  </si>
  <si>
    <t>PRJ00998</t>
  </si>
  <si>
    <t>CL00998</t>
  </si>
  <si>
    <t>PRJ00999</t>
  </si>
  <si>
    <t>CL00999</t>
  </si>
  <si>
    <t>CL01000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</si>
</sst>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
    <numFmt numFmtId="165" formatCode="yyyy/m"/>
  </numFmts>
  <fonts count="19">
    <font>
      <sz val="10.0"/>
      <color rgb="FF000000"/>
      <name val="Arial"/>
      <scheme val="minor"/>
    </font>
    <font>
      <color theme="1"/>
      <name val="Arial"/>
      <scheme val="minor"/>
    </font>
    <font>
      <color rgb="FF1F1F1F"/>
      <name val="Arial"/>
      <scheme val="minor"/>
    </font>
    <font>
      <b/>
      <color rgb="FFFFFFFF"/>
      <name val="Arial"/>
      <scheme val="minor"/>
    </font>
    <font>
      <b/>
      <color rgb="FFFFFFFF"/>
      <name val="Arial"/>
    </font>
    <font>
      <b/>
      <color rgb="FF000000"/>
      <name val="Arial"/>
    </font>
    <font>
      <sz val="11.0"/>
      <color rgb="FF000000"/>
      <name val="Calibri"/>
    </font>
    <font>
      <color rgb="FF000000"/>
      <name val="Arial"/>
    </font>
    <font>
      <b/>
      <sz val="10.0"/>
      <color theme="1"/>
      <name val="Arial"/>
    </font>
    <font>
      <b/>
      <color theme="1"/>
      <name val="Arial"/>
      <scheme val="minor"/>
    </font>
    <font>
      <b/>
      <sz val="10.0"/>
      <color rgb="FFFFFFFF"/>
      <name val="Arial"/>
      <scheme val="minor"/>
    </font>
    <font>
      <b/>
      <color rgb="FF000000"/>
      <name val="Arial"/>
      <scheme val="minor"/>
    </font>
    <font/>
    <font>
      <sz val="10.0"/>
      <color theme="1"/>
      <name val="Arial"/>
      <scheme val="minor"/>
    </font>
    <font>
      <b/>
      <sz val="11.0"/>
      <color rgb="FFFFFFFF"/>
      <name val="Calibri"/>
    </font>
    <font>
      <b/>
      <color rgb="FF1F1F1F"/>
      <name val="Arial"/>
    </font>
    <font>
      <b/>
      <sz val="11.0"/>
      <color rgb="FFFFFFFF"/>
      <name val="Arial"/>
      <scheme val="minor"/>
    </font>
    <font>
      <color rgb="FFFFFFFF"/>
      <name val="Arial"/>
      <scheme val="minor"/>
    </font>
    <font>
      <color theme="1"/>
      <name val="Arial"/>
    </font>
  </fonts>
  <fills count="15">
    <fill>
      <patternFill patternType="none"/>
    </fill>
    <fill>
      <patternFill patternType="lightGray"/>
    </fill>
    <fill>
      <patternFill patternType="solid">
        <fgColor rgb="FFFF9900"/>
        <bgColor rgb="FFFF9900"/>
      </patternFill>
    </fill>
    <fill>
      <patternFill patternType="solid">
        <fgColor rgb="FF274E13"/>
        <bgColor rgb="FF274E13"/>
      </patternFill>
    </fill>
    <fill>
      <patternFill patternType="solid">
        <fgColor rgb="FF002060"/>
        <bgColor rgb="FF002060"/>
      </patternFill>
    </fill>
    <fill>
      <patternFill patternType="solid">
        <fgColor rgb="FFFFFF00"/>
        <bgColor rgb="FFFFFF00"/>
      </patternFill>
    </fill>
    <fill>
      <patternFill patternType="solid">
        <fgColor rgb="FFFFE599"/>
        <bgColor rgb="FFFFE599"/>
      </patternFill>
    </fill>
    <fill>
      <patternFill patternType="solid">
        <fgColor rgb="FF00FFFF"/>
        <bgColor rgb="FF00FFFF"/>
      </patternFill>
    </fill>
    <fill>
      <patternFill patternType="solid">
        <fgColor rgb="FF4A86E8"/>
        <bgColor rgb="FF4A86E8"/>
      </patternFill>
    </fill>
    <fill>
      <patternFill patternType="solid">
        <fgColor rgb="FF6FA8DC"/>
        <bgColor rgb="FF6FA8DC"/>
      </patternFill>
    </fill>
    <fill>
      <patternFill patternType="solid">
        <fgColor rgb="FF7F6000"/>
        <bgColor rgb="FF7F6000"/>
      </patternFill>
    </fill>
    <fill>
      <patternFill patternType="solid">
        <fgColor rgb="FFFFF2CC"/>
        <bgColor rgb="FFFFF2CC"/>
      </patternFill>
    </fill>
    <fill>
      <patternFill patternType="solid">
        <fgColor rgb="FF1155CC"/>
        <bgColor rgb="FF1155CC"/>
      </patternFill>
    </fill>
    <fill>
      <patternFill patternType="solid">
        <fgColor rgb="FFA64D79"/>
        <bgColor rgb="FFA64D79"/>
      </patternFill>
    </fill>
    <fill>
      <patternFill patternType="solid">
        <fgColor rgb="FF5B9BD5"/>
        <bgColor rgb="FF5B9BD5"/>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86">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readingOrder="0"/>
    </xf>
    <xf borderId="0" fillId="0" fontId="1" numFmtId="0" xfId="0" applyAlignment="1" applyFont="1">
      <alignment readingOrder="0"/>
    </xf>
    <xf borderId="1" fillId="0" fontId="1" numFmtId="0" xfId="0" applyAlignment="1" applyBorder="1" applyFont="1">
      <alignment readingOrder="0"/>
    </xf>
    <xf borderId="0" fillId="2" fontId="3" numFmtId="0" xfId="0" applyAlignment="1" applyFont="1">
      <alignment horizontal="center" readingOrder="0"/>
    </xf>
    <xf borderId="1" fillId="0" fontId="1" numFmtId="0" xfId="0" applyBorder="1" applyFont="1"/>
    <xf borderId="0" fillId="3" fontId="1" numFmtId="0" xfId="0" applyAlignment="1" applyFill="1" applyFont="1">
      <alignment horizontal="center" readingOrder="0"/>
    </xf>
    <xf borderId="0" fillId="3" fontId="3" numFmtId="0" xfId="0" applyAlignment="1" applyFont="1">
      <alignment horizontal="center" readingOrder="0"/>
    </xf>
    <xf borderId="0" fillId="4" fontId="4" numFmtId="0" xfId="0" applyAlignment="1" applyFill="1" applyFont="1">
      <alignment horizontal="center" readingOrder="0" shrinkToFit="0" vertical="bottom" wrapText="0"/>
    </xf>
    <xf borderId="0" fillId="5" fontId="5" numFmtId="0" xfId="0" applyAlignment="1" applyFill="1" applyFont="1">
      <alignment horizontal="center" readingOrder="0" shrinkToFit="0" vertical="bottom" wrapText="0"/>
    </xf>
    <xf borderId="0" fillId="0" fontId="1" numFmtId="0" xfId="0" applyFont="1"/>
    <xf borderId="0" fillId="0" fontId="1" numFmtId="3" xfId="0" applyAlignment="1" applyFont="1" applyNumberFormat="1">
      <alignment horizontal="center" readingOrder="0"/>
    </xf>
    <xf borderId="0" fillId="0" fontId="6" numFmtId="0" xfId="0" applyAlignment="1" applyFont="1">
      <alignment horizontal="right" readingOrder="0" shrinkToFit="0" vertical="bottom" wrapText="0"/>
    </xf>
    <xf borderId="0" fillId="0" fontId="1" numFmtId="3" xfId="0" applyAlignment="1" applyFont="1" applyNumberFormat="1">
      <alignment horizontal="center"/>
    </xf>
    <xf borderId="0" fillId="0" fontId="6" numFmtId="3" xfId="0" applyAlignment="1" applyFont="1" applyNumberFormat="1">
      <alignment horizontal="right" readingOrder="0" shrinkToFit="0" vertical="bottom" wrapText="0"/>
    </xf>
    <xf borderId="0" fillId="0" fontId="1" numFmtId="3" xfId="0" applyAlignment="1" applyFont="1" applyNumberFormat="1">
      <alignment readingOrder="0"/>
    </xf>
    <xf borderId="0" fillId="5" fontId="1" numFmtId="3" xfId="0" applyFont="1" applyNumberFormat="1"/>
    <xf borderId="0" fillId="0" fontId="1" numFmtId="3" xfId="0" applyAlignment="1" applyFont="1" applyNumberFormat="1">
      <alignment readingOrder="0" shrinkToFit="0" wrapText="1"/>
    </xf>
    <xf borderId="0" fillId="0" fontId="1" numFmtId="3" xfId="0" applyAlignment="1" applyFont="1" applyNumberFormat="1">
      <alignment shrinkToFit="0" wrapText="1"/>
    </xf>
    <xf borderId="0" fillId="6" fontId="1" numFmtId="3" xfId="0" applyFill="1" applyFont="1" applyNumberFormat="1"/>
    <xf borderId="0" fillId="0" fontId="1" numFmtId="0" xfId="0" applyAlignment="1" applyFont="1">
      <alignment shrinkToFit="0" wrapText="1"/>
    </xf>
    <xf borderId="0" fillId="0" fontId="1" numFmtId="3" xfId="0" applyFont="1" applyNumberFormat="1"/>
    <xf borderId="0" fillId="0" fontId="7" numFmtId="3" xfId="0" applyAlignment="1" applyFont="1" applyNumberFormat="1">
      <alignment horizontal="center" readingOrder="0" shrinkToFit="0" vertical="bottom" wrapText="0"/>
    </xf>
    <xf borderId="0" fillId="0" fontId="7" numFmtId="3" xfId="0" applyAlignment="1" applyFont="1" applyNumberFormat="1">
      <alignment horizontal="center" shrinkToFit="0" vertical="bottom" wrapText="0"/>
    </xf>
    <xf borderId="0" fillId="7" fontId="8" numFmtId="3" xfId="0" applyAlignment="1" applyFill="1" applyFont="1" applyNumberFormat="1">
      <alignment horizontal="center"/>
    </xf>
    <xf borderId="0" fillId="0" fontId="1" numFmtId="0" xfId="0" applyAlignment="1" applyFont="1">
      <alignment shrinkToFit="0" wrapText="1"/>
    </xf>
    <xf borderId="0" fillId="0" fontId="1" numFmtId="0" xfId="0" applyAlignment="1" applyFont="1">
      <alignment readingOrder="0" shrinkToFit="0" wrapText="1"/>
    </xf>
    <xf borderId="0" fillId="5" fontId="9" numFmtId="3" xfId="0" applyFont="1" applyNumberFormat="1"/>
    <xf borderId="0" fillId="8" fontId="3" numFmtId="3" xfId="0" applyFill="1" applyFont="1" applyNumberFormat="1"/>
    <xf borderId="0" fillId="7" fontId="10" numFmtId="3" xfId="0" applyFont="1" applyNumberFormat="1"/>
    <xf borderId="0" fillId="9" fontId="3" numFmtId="4" xfId="0" applyFill="1" applyFont="1" applyNumberFormat="1"/>
    <xf borderId="0" fillId="5" fontId="1" numFmtId="0" xfId="0" applyAlignment="1" applyFont="1">
      <alignment readingOrder="0"/>
    </xf>
    <xf borderId="0" fillId="5" fontId="11" numFmtId="4" xfId="0" applyFont="1" applyNumberFormat="1"/>
    <xf borderId="0" fillId="5" fontId="1" numFmtId="0" xfId="0" applyAlignment="1" applyFont="1">
      <alignment shrinkToFit="0" wrapText="1"/>
    </xf>
    <xf borderId="0" fillId="5" fontId="1" numFmtId="0" xfId="0" applyFont="1"/>
    <xf borderId="0" fillId="2" fontId="9" numFmtId="0" xfId="0" applyAlignment="1" applyFont="1">
      <alignment horizontal="center" readingOrder="0"/>
    </xf>
    <xf borderId="0" fillId="2" fontId="11" numFmtId="0" xfId="0" applyAlignment="1" applyFont="1">
      <alignment horizontal="center" readingOrder="0"/>
    </xf>
    <xf borderId="0" fillId="10" fontId="3" numFmtId="3" xfId="0" applyAlignment="1" applyFill="1" applyFont="1" applyNumberFormat="1">
      <alignment readingOrder="0"/>
    </xf>
    <xf borderId="0" fillId="2" fontId="9" numFmtId="3" xfId="0" applyAlignment="1" applyFont="1" applyNumberFormat="1">
      <alignment horizontal="center" readingOrder="0"/>
    </xf>
    <xf borderId="0" fillId="2" fontId="11" numFmtId="3" xfId="0" applyAlignment="1" applyFont="1" applyNumberFormat="1">
      <alignment horizontal="center" readingOrder="0"/>
    </xf>
    <xf borderId="2" fillId="4" fontId="4" numFmtId="0" xfId="0" applyAlignment="1" applyBorder="1" applyFont="1">
      <alignment horizontal="center" readingOrder="0" shrinkToFit="0" vertical="bottom" wrapText="0"/>
    </xf>
    <xf borderId="0" fillId="11" fontId="9" numFmtId="0" xfId="0" applyFill="1" applyFont="1"/>
    <xf borderId="3" fillId="0" fontId="12" numFmtId="0" xfId="0" applyBorder="1" applyFont="1"/>
    <xf borderId="4" fillId="0" fontId="12" numFmtId="0" xfId="0" applyBorder="1" applyFont="1"/>
    <xf borderId="0" fillId="0" fontId="5" numFmtId="9" xfId="0" applyAlignment="1" applyFont="1" applyNumberFormat="1">
      <alignment horizontal="center" readingOrder="0" shrinkToFit="0" vertical="bottom" wrapText="0"/>
    </xf>
    <xf borderId="0" fillId="0" fontId="5" numFmtId="10" xfId="0" applyAlignment="1" applyFont="1" applyNumberFormat="1">
      <alignment horizontal="center" readingOrder="0" shrinkToFit="0" vertical="bottom" wrapText="0"/>
    </xf>
    <xf borderId="1" fillId="2" fontId="9" numFmtId="0" xfId="0" applyAlignment="1" applyBorder="1" applyFont="1">
      <alignment horizontal="center" readingOrder="0"/>
    </xf>
    <xf borderId="1" fillId="0" fontId="1" numFmtId="3" xfId="0" applyBorder="1" applyFont="1" applyNumberFormat="1"/>
    <xf borderId="1" fillId="0" fontId="1" numFmtId="9" xfId="0" applyAlignment="1" applyBorder="1" applyFont="1" applyNumberFormat="1">
      <alignment readingOrder="0"/>
    </xf>
    <xf borderId="1" fillId="4" fontId="4" numFmtId="0" xfId="0" applyAlignment="1" applyBorder="1" applyFont="1">
      <alignment horizontal="center" readingOrder="0" shrinkToFit="0" vertical="bottom" wrapText="0"/>
    </xf>
    <xf borderId="1" fillId="4" fontId="4" numFmtId="3" xfId="0" applyAlignment="1" applyBorder="1" applyFont="1" applyNumberFormat="1">
      <alignment horizontal="center" readingOrder="0" shrinkToFit="0" vertical="bottom" wrapText="0"/>
    </xf>
    <xf borderId="0" fillId="0" fontId="1" numFmtId="9" xfId="0" applyAlignment="1" applyFont="1" applyNumberFormat="1">
      <alignment readingOrder="0"/>
    </xf>
    <xf borderId="0" fillId="0" fontId="9" numFmtId="3" xfId="0" applyFont="1" applyNumberFormat="1"/>
    <xf borderId="0" fillId="0" fontId="1" numFmtId="9" xfId="0" applyFont="1" applyNumberFormat="1"/>
    <xf borderId="0" fillId="0" fontId="1" numFmtId="0" xfId="0" applyAlignment="1" applyFont="1">
      <alignment shrinkToFit="0" wrapText="1"/>
    </xf>
    <xf borderId="0" fillId="2" fontId="9" numFmtId="9" xfId="0" applyAlignment="1" applyFont="1" applyNumberFormat="1">
      <alignment horizontal="center" readingOrder="0"/>
    </xf>
    <xf borderId="0" fillId="0" fontId="1" numFmtId="0" xfId="0" applyAlignment="1" applyFont="1">
      <alignment shrinkToFit="0" wrapText="1"/>
    </xf>
    <xf borderId="0" fillId="12" fontId="3" numFmtId="0" xfId="0" applyAlignment="1" applyFill="1" applyFont="1">
      <alignment readingOrder="0"/>
    </xf>
    <xf borderId="0" fillId="13" fontId="4" numFmtId="0" xfId="0" applyAlignment="1" applyFill="1" applyFont="1">
      <alignment horizontal="center" readingOrder="0" vertical="bottom"/>
    </xf>
    <xf borderId="0" fillId="0" fontId="1" numFmtId="164" xfId="0" applyAlignment="1" applyFont="1" applyNumberFormat="1">
      <alignment horizontal="center" readingOrder="0"/>
    </xf>
    <xf borderId="0" fillId="12" fontId="3" numFmtId="3" xfId="0" applyAlignment="1" applyFont="1" applyNumberFormat="1">
      <alignment horizontal="center"/>
    </xf>
    <xf borderId="0" fillId="13" fontId="3" numFmtId="0" xfId="0" applyAlignment="1" applyFont="1">
      <alignment horizontal="center"/>
    </xf>
    <xf borderId="0" fillId="0" fontId="1" numFmtId="165" xfId="0" applyAlignment="1" applyFont="1" applyNumberFormat="1">
      <alignment horizontal="center" readingOrder="0"/>
    </xf>
    <xf borderId="0" fillId="0" fontId="1" numFmtId="0" xfId="0" applyAlignment="1" applyFont="1">
      <alignment horizontal="center"/>
    </xf>
    <xf borderId="0" fillId="0" fontId="13" numFmtId="0" xfId="0" applyFont="1"/>
    <xf borderId="0" fillId="0" fontId="1" numFmtId="10" xfId="0" applyFont="1" applyNumberFormat="1"/>
    <xf borderId="0" fillId="14" fontId="14" numFmtId="0" xfId="0" applyAlignment="1" applyFill="1" applyFont="1">
      <alignment horizontal="center" readingOrder="0" shrinkToFit="0" wrapText="0"/>
    </xf>
    <xf borderId="0" fillId="5" fontId="7" numFmtId="0" xfId="0" applyAlignment="1" applyFont="1">
      <alignment horizontal="center" readingOrder="0" shrinkToFit="0" wrapText="0"/>
    </xf>
    <xf borderId="1" fillId="0" fontId="15" numFmtId="0" xfId="0" applyAlignment="1" applyBorder="1" applyFont="1">
      <alignment horizontal="center" readingOrder="0"/>
    </xf>
    <xf borderId="1" fillId="0" fontId="7" numFmtId="0" xfId="0" applyAlignment="1" applyBorder="1" applyFont="1">
      <alignment horizontal="center" readingOrder="0"/>
    </xf>
    <xf borderId="1" fillId="0" fontId="7" numFmtId="0" xfId="0" applyAlignment="1" applyBorder="1" applyFont="1">
      <alignment horizontal="center"/>
    </xf>
    <xf borderId="0" fillId="0" fontId="6" numFmtId="0" xfId="0" applyAlignment="1" applyFont="1">
      <alignment horizontal="center" shrinkToFit="0" wrapText="0"/>
    </xf>
    <xf borderId="0" fillId="0" fontId="7" numFmtId="0" xfId="0" applyAlignment="1" applyFont="1">
      <alignment horizontal="center"/>
    </xf>
    <xf borderId="0" fillId="14" fontId="14" numFmtId="0" xfId="0" applyAlignment="1" applyFont="1">
      <alignment horizontal="center" readingOrder="0" vertical="bottom"/>
    </xf>
    <xf borderId="0" fillId="4" fontId="16" numFmtId="0" xfId="0" applyAlignment="1" applyFont="1">
      <alignment horizontal="center" readingOrder="0"/>
    </xf>
    <xf borderId="0" fillId="0" fontId="1" numFmtId="4" xfId="0" applyFont="1" applyNumberFormat="1"/>
    <xf borderId="0" fillId="4" fontId="17" numFmtId="0" xfId="0" applyAlignment="1" applyFont="1">
      <alignment horizontal="center" readingOrder="0"/>
    </xf>
    <xf borderId="0" fillId="5" fontId="11" numFmtId="0" xfId="0" applyAlignment="1" applyFont="1">
      <alignment horizontal="center" readingOrder="0"/>
    </xf>
    <xf borderId="1" fillId="0" fontId="1" numFmtId="10" xfId="0" applyBorder="1" applyFont="1" applyNumberFormat="1"/>
    <xf borderId="1" fillId="0" fontId="1" numFmtId="4" xfId="0" applyBorder="1" applyFont="1" applyNumberFormat="1"/>
    <xf borderId="1" fillId="0" fontId="18" numFmtId="0" xfId="0" applyAlignment="1" applyBorder="1" applyFont="1">
      <alignment horizontal="center" readingOrder="0" vertical="bottom"/>
    </xf>
    <xf borderId="5" fillId="0" fontId="18" numFmtId="0" xfId="0" applyAlignment="1" applyBorder="1" applyFont="1">
      <alignment horizontal="center" readingOrder="0" vertical="bottom"/>
    </xf>
    <xf borderId="0" fillId="5" fontId="6" numFmtId="3" xfId="0" applyAlignment="1" applyFont="1" applyNumberFormat="1">
      <alignment horizontal="right" readingOrder="0" shrinkToFit="0" vertical="bottom" wrapText="0"/>
    </xf>
    <xf borderId="0" fillId="5" fontId="1" numFmtId="3" xfId="0" applyAlignment="1" applyFont="1" applyNumberFormat="1">
      <alignment readingOrder="0"/>
    </xf>
    <xf borderId="0" fillId="0" fontId="1" numFmtId="0" xfId="0" applyFont="1"/>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12">
    <tableStyle count="2" pivot="0" name="Raw Revenue-style">
      <tableStyleElement dxfId="1" type="firstRowStripe"/>
      <tableStyleElement dxfId="2" type="secondRowStripe"/>
    </tableStyle>
    <tableStyle count="2" pivot="0" name="Raw Revenue-style 2">
      <tableStyleElement dxfId="1" type="firstRowStripe"/>
      <tableStyleElement dxfId="2" type="secondRowStripe"/>
    </tableStyle>
    <tableStyle count="2" pivot="0" name="Raw Revenue-style 3">
      <tableStyleElement dxfId="1" type="firstRowStripe"/>
      <tableStyleElement dxfId="2" type="secondRowStripe"/>
    </tableStyle>
    <tableStyle count="2" pivot="0" name="Raw Revenue-style 4">
      <tableStyleElement dxfId="1" type="firstRowStripe"/>
      <tableStyleElement dxfId="2" type="secondRowStripe"/>
    </tableStyle>
    <tableStyle count="2" pivot="0" name="Raw Revenue-style 5">
      <tableStyleElement dxfId="1" type="firstRowStripe"/>
      <tableStyleElement dxfId="2" type="secondRowStripe"/>
    </tableStyle>
    <tableStyle count="2" pivot="0" name="Raw Revenue-style 6">
      <tableStyleElement dxfId="1" type="firstRowStripe"/>
      <tableStyleElement dxfId="2" type="secondRowStripe"/>
    </tableStyle>
    <tableStyle count="2" pivot="0" name="Raw Revenue-style 7">
      <tableStyleElement dxfId="1" type="firstRowStripe"/>
      <tableStyleElement dxfId="2" type="secondRowStripe"/>
    </tableStyle>
    <tableStyle count="2" pivot="0" name="Raw Revenue-style 8">
      <tableStyleElement dxfId="1" type="firstRowStripe"/>
      <tableStyleElement dxfId="2" type="secondRowStripe"/>
    </tableStyle>
    <tableStyle count="2" pivot="0" name="Raw Revenue-style 9">
      <tableStyleElement dxfId="1" type="firstRowStripe"/>
      <tableStyleElement dxfId="2" type="secondRowStripe"/>
    </tableStyle>
    <tableStyle count="2" pivot="0" name="Raw Revenue-style 10">
      <tableStyleElement dxfId="1" type="firstRowStripe"/>
      <tableStyleElement dxfId="2" type="secondRowStripe"/>
    </tableStyle>
    <tableStyle count="2" pivot="0" name="Raw Revenue-style 11">
      <tableStyleElement dxfId="1" type="firstRowStripe"/>
      <tableStyleElement dxfId="2" type="secondRowStripe"/>
    </tableStyle>
    <tableStyle count="2" pivot="0" name="Raw Revenue-style 12">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2:B54" displayName="Table_1" name="Table_1" id="1">
  <tableColumns count="1">
    <tableColumn name="Column1" id="1"/>
  </tableColumns>
  <tableStyleInfo name="Raw Revenue-style" showColumnStripes="0" showFirstColumn="1" showLastColumn="1" showRowStripes="1"/>
</table>
</file>

<file path=xl/tables/table2.xml><?xml version="1.0" encoding="utf-8"?>
<table xmlns="http://schemas.openxmlformats.org/spreadsheetml/2006/main" headerRowCount="0" ref="D2:D41" displayName="Table_2" name="Table_2" id="2">
  <tableColumns count="1">
    <tableColumn name="Column1" id="1"/>
  </tableColumns>
  <tableStyleInfo name="Raw Revenue-style 2" showColumnStripes="0" showFirstColumn="1" showLastColumn="1" showRowStripes="1"/>
</table>
</file>

<file path=xl/tables/table3.xml><?xml version="1.0" encoding="utf-8"?>
<table xmlns="http://schemas.openxmlformats.org/spreadsheetml/2006/main" headerRowCount="0" ref="J2:J154" displayName="Table_3" name="Table_3" id="3">
  <tableColumns count="1">
    <tableColumn name="Column1" id="1"/>
  </tableColumns>
  <tableStyleInfo name="Raw Revenue-style 3" showColumnStripes="0" showFirstColumn="1" showLastColumn="1" showRowStripes="1"/>
</table>
</file>

<file path=xl/tables/table4.xml><?xml version="1.0" encoding="utf-8"?>
<table xmlns="http://schemas.openxmlformats.org/spreadsheetml/2006/main" headerRowCount="0" ref="L2:L154" displayName="Table_4" name="Table_4" id="4">
  <tableColumns count="1">
    <tableColumn name="Column1" id="1"/>
  </tableColumns>
  <tableStyleInfo name="Raw Revenue-style 4" showColumnStripes="0" showFirstColumn="1" showLastColumn="1" showRowStripes="1"/>
</table>
</file>

<file path=xl/tables/table5.xml><?xml version="1.0" encoding="utf-8"?>
<table xmlns="http://schemas.openxmlformats.org/spreadsheetml/2006/main" headerRowCount="0" ref="N2:N154" displayName="Table_5" name="Table_5" id="5">
  <tableColumns count="1">
    <tableColumn name="Column1" id="1"/>
  </tableColumns>
  <tableStyleInfo name="Raw Revenue-style 5" showColumnStripes="0" showFirstColumn="1" showLastColumn="1" showRowStripes="1"/>
</table>
</file>

<file path=xl/tables/table6.xml><?xml version="1.0" encoding="utf-8"?>
<table xmlns="http://schemas.openxmlformats.org/spreadsheetml/2006/main" headerRowCount="0" ref="P2:P41" displayName="Table_6" name="Table_6" id="6">
  <tableColumns count="1">
    <tableColumn name="Column1" id="1"/>
  </tableColumns>
  <tableStyleInfo name="Raw Revenue-style 6" showColumnStripes="0" showFirstColumn="1" showLastColumn="1" showRowStripes="1"/>
</table>
</file>

<file path=xl/tables/table7.xml><?xml version="1.0" encoding="utf-8"?>
<table xmlns="http://schemas.openxmlformats.org/spreadsheetml/2006/main" headerRowCount="0" ref="R2:R41" displayName="Table_7" name="Table_7" id="7">
  <tableColumns count="1">
    <tableColumn name="Column1" id="1"/>
  </tableColumns>
  <tableStyleInfo name="Raw Revenue-style 7" showColumnStripes="0" showFirstColumn="1" showLastColumn="1" showRowStripes="1"/>
</table>
</file>

<file path=xl/tables/table8.xml><?xml version="1.0" encoding="utf-8"?>
<table xmlns="http://schemas.openxmlformats.org/spreadsheetml/2006/main" headerRowCount="0" ref="T2:T41" displayName="Table_8" name="Table_8" id="8">
  <tableColumns count="1">
    <tableColumn name="Column1" id="1"/>
  </tableColumns>
  <tableStyleInfo name="Raw Revenue-style 8" showColumnStripes="0" showFirstColumn="1" showLastColumn="1" showRowStripes="1"/>
</table>
</file>

<file path=xl/tables/table9.xml><?xml version="1.0" encoding="utf-8"?>
<table xmlns="http://schemas.openxmlformats.org/spreadsheetml/2006/main" headerRowCount="0" ref="V2:V41" displayName="Table_9" name="Table_9" id="9">
  <tableColumns count="1">
    <tableColumn name="Column1" id="1"/>
  </tableColumns>
  <tableStyleInfo name="Raw Revenue-style 9" showColumnStripes="0" showFirstColumn="1" showLastColumn="1" showRowStripes="1"/>
</table>
</file>

<file path=xl/tables/table10.xml><?xml version="1.0" encoding="utf-8"?>
<table xmlns="http://schemas.openxmlformats.org/spreadsheetml/2006/main" headerRowCount="0" ref="X2:X41" displayName="Table_10" name="Table_10" id="10">
  <tableColumns count="1">
    <tableColumn name="Column1" id="1"/>
  </tableColumns>
  <tableStyleInfo name="Raw Revenue-style 10" showColumnStripes="0" showFirstColumn="1" showLastColumn="1" showRowStripes="1"/>
</table>
</file>

<file path=xl/tables/table11.xml><?xml version="1.0" encoding="utf-8"?>
<table xmlns="http://schemas.openxmlformats.org/spreadsheetml/2006/main" headerRowCount="0" ref="F15:F41" displayName="Table_11" name="Table_11" id="11">
  <tableColumns count="1">
    <tableColumn name="Column1" id="1"/>
  </tableColumns>
  <tableStyleInfo name="Raw Revenue-style 11" showColumnStripes="0" showFirstColumn="1" showLastColumn="1" showRowStripes="1"/>
</table>
</file>

<file path=xl/tables/table12.xml><?xml version="1.0" encoding="utf-8"?>
<table xmlns="http://schemas.openxmlformats.org/spreadsheetml/2006/main" headerRowCount="0" ref="H15:H41" displayName="Table_12" name="Table_12" id="12">
  <tableColumns count="1">
    <tableColumn name="Column1" id="1"/>
  </tableColumns>
  <tableStyleInfo name="Raw Revenue-style 1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table" Target="../tables/table7.xml"/><Relationship Id="rId22" Type="http://schemas.openxmlformats.org/officeDocument/2006/relationships/table" Target="../tables/table9.xml"/><Relationship Id="rId21" Type="http://schemas.openxmlformats.org/officeDocument/2006/relationships/table" Target="../tables/table8.xml"/><Relationship Id="rId24" Type="http://schemas.openxmlformats.org/officeDocument/2006/relationships/table" Target="../tables/table11.xml"/><Relationship Id="rId23" Type="http://schemas.openxmlformats.org/officeDocument/2006/relationships/table" Target="../tables/table10.xml"/><Relationship Id="rId1" Type="http://schemas.openxmlformats.org/officeDocument/2006/relationships/drawing" Target="../drawings/drawing3.xml"/><Relationship Id="rId15" Type="http://schemas.openxmlformats.org/officeDocument/2006/relationships/table" Target="../tables/table2.xml"/><Relationship Id="rId14" Type="http://schemas.openxmlformats.org/officeDocument/2006/relationships/table" Target="../tables/table1.xml"/><Relationship Id="rId25" Type="http://schemas.openxmlformats.org/officeDocument/2006/relationships/table" Target="../tables/table12.xml"/><Relationship Id="rId17" Type="http://schemas.openxmlformats.org/officeDocument/2006/relationships/table" Target="../tables/table4.xml"/><Relationship Id="rId16" Type="http://schemas.openxmlformats.org/officeDocument/2006/relationships/table" Target="../tables/table3.xml"/><Relationship Id="rId19" Type="http://schemas.openxmlformats.org/officeDocument/2006/relationships/table" Target="../tables/table6.xml"/><Relationship Id="rId18"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4" t="s">
        <v>1</v>
      </c>
      <c r="B1" s="4" t="s">
        <v>7</v>
      </c>
      <c r="C1" s="4" t="s">
        <v>10</v>
      </c>
      <c r="D1" s="4" t="s">
        <v>12</v>
      </c>
    </row>
    <row r="2">
      <c r="A2" s="6" t="s">
        <v>15</v>
      </c>
      <c r="B2" s="4" t="s">
        <v>20</v>
      </c>
      <c r="C2" s="4" t="s">
        <v>22</v>
      </c>
      <c r="D2" s="4">
        <v>1.0</v>
      </c>
    </row>
    <row r="3">
      <c r="A3" s="6" t="s">
        <v>27</v>
      </c>
      <c r="B3" s="4" t="s">
        <v>29</v>
      </c>
      <c r="C3" s="4" t="s">
        <v>31</v>
      </c>
      <c r="D3" s="4">
        <v>1.0</v>
      </c>
    </row>
    <row r="4">
      <c r="A4" s="6" t="s">
        <v>35</v>
      </c>
      <c r="B4" s="4" t="s">
        <v>37</v>
      </c>
      <c r="C4" s="4" t="s">
        <v>39</v>
      </c>
      <c r="D4" s="4">
        <v>1.0</v>
      </c>
    </row>
    <row r="5">
      <c r="A5" s="6" t="s">
        <v>43</v>
      </c>
      <c r="B5" s="4" t="s">
        <v>46</v>
      </c>
      <c r="C5" s="4" t="s">
        <v>48</v>
      </c>
      <c r="D5" s="4">
        <v>1.0</v>
      </c>
    </row>
    <row r="6">
      <c r="A6" s="6" t="s">
        <v>53</v>
      </c>
      <c r="B6" s="4" t="s">
        <v>57</v>
      </c>
      <c r="C6" s="4" t="s">
        <v>59</v>
      </c>
      <c r="D6" s="4">
        <v>1.0</v>
      </c>
    </row>
    <row r="7">
      <c r="A7" s="6" t="s">
        <v>63</v>
      </c>
      <c r="B7" s="4" t="s">
        <v>65</v>
      </c>
      <c r="C7" s="4" t="s">
        <v>31</v>
      </c>
      <c r="D7" s="4">
        <v>1.0</v>
      </c>
    </row>
    <row r="8">
      <c r="A8" s="6" t="s">
        <v>70</v>
      </c>
      <c r="B8" s="4" t="s">
        <v>72</v>
      </c>
      <c r="C8" s="4" t="s">
        <v>39</v>
      </c>
      <c r="D8" s="4">
        <v>2.0</v>
      </c>
    </row>
    <row r="9">
      <c r="A9" s="6" t="s">
        <v>74</v>
      </c>
      <c r="B9" s="4" t="s">
        <v>75</v>
      </c>
      <c r="C9" s="4" t="s">
        <v>48</v>
      </c>
      <c r="D9" s="4">
        <v>2.0</v>
      </c>
    </row>
    <row r="10">
      <c r="A10" s="6" t="s">
        <v>76</v>
      </c>
      <c r="B10" s="4" t="s">
        <v>77</v>
      </c>
      <c r="C10" s="4" t="s">
        <v>59</v>
      </c>
      <c r="D10" s="4">
        <v>2.0</v>
      </c>
    </row>
    <row r="11">
      <c r="A11" s="6" t="s">
        <v>78</v>
      </c>
      <c r="B11" s="4" t="s">
        <v>79</v>
      </c>
      <c r="C11" s="4" t="s">
        <v>22</v>
      </c>
      <c r="D11" s="4">
        <v>2.0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2.13"/>
    <col customWidth="1" min="2" max="2" width="6.38"/>
    <col customWidth="1" min="3" max="3" width="14.0"/>
    <col customWidth="1" min="4" max="4" width="13.13"/>
    <col customWidth="1" min="5" max="5" width="14.0"/>
    <col customWidth="1" min="6" max="8" width="10.25"/>
    <col customWidth="1" min="9" max="9" width="13.88"/>
    <col customWidth="1" min="10" max="11" width="10.25"/>
    <col customWidth="1" min="12" max="15" width="11.63"/>
    <col customWidth="1" min="16" max="16" width="13.38"/>
    <col customWidth="1" min="29" max="29" width="17.0"/>
  </cols>
  <sheetData>
    <row r="1">
      <c r="A1" s="1"/>
      <c r="B1" s="1"/>
      <c r="C1" s="1"/>
      <c r="D1" s="1"/>
      <c r="E1" s="1"/>
      <c r="F1" s="1"/>
      <c r="G1" s="1"/>
      <c r="H1" s="1"/>
      <c r="I1" s="5" t="s">
        <v>8</v>
      </c>
      <c r="J1" s="1"/>
      <c r="K1" s="1"/>
      <c r="L1" s="1"/>
      <c r="M1" s="1"/>
      <c r="N1" s="1"/>
      <c r="O1" s="1"/>
      <c r="P1" s="1"/>
      <c r="Q1" s="7"/>
      <c r="R1" s="7"/>
      <c r="S1" s="7"/>
      <c r="T1" s="7"/>
      <c r="U1" s="7"/>
      <c r="V1" s="7"/>
      <c r="W1" s="7"/>
      <c r="X1" s="8" t="s">
        <v>33</v>
      </c>
      <c r="Y1" s="7"/>
      <c r="Z1" s="7"/>
      <c r="AA1" s="7"/>
      <c r="AB1" s="7"/>
      <c r="AC1" s="7"/>
    </row>
    <row r="2">
      <c r="A2" s="9" t="s">
        <v>45</v>
      </c>
      <c r="B2" s="9" t="s">
        <v>50</v>
      </c>
      <c r="C2" s="9" t="s">
        <v>1</v>
      </c>
      <c r="D2" s="9" t="s">
        <v>54</v>
      </c>
      <c r="E2" s="9" t="s">
        <v>56</v>
      </c>
      <c r="F2" s="9" t="s">
        <v>58</v>
      </c>
      <c r="G2" s="9" t="s">
        <v>60</v>
      </c>
      <c r="H2" s="9" t="s">
        <v>61</v>
      </c>
      <c r="I2" s="9" t="s">
        <v>62</v>
      </c>
      <c r="J2" s="9" t="s">
        <v>64</v>
      </c>
      <c r="K2" s="9" t="s">
        <v>66</v>
      </c>
      <c r="L2" s="9" t="s">
        <v>67</v>
      </c>
      <c r="M2" s="9" t="s">
        <v>68</v>
      </c>
      <c r="N2" s="9" t="s">
        <v>69</v>
      </c>
      <c r="O2" s="9" t="s">
        <v>71</v>
      </c>
      <c r="P2" s="9" t="s">
        <v>73</v>
      </c>
      <c r="Q2" s="10" t="s">
        <v>54</v>
      </c>
      <c r="R2" s="10" t="s">
        <v>56</v>
      </c>
      <c r="S2" s="10" t="s">
        <v>58</v>
      </c>
      <c r="T2" s="10" t="s">
        <v>60</v>
      </c>
      <c r="U2" s="10" t="s">
        <v>61</v>
      </c>
      <c r="V2" s="10" t="s">
        <v>62</v>
      </c>
      <c r="W2" s="10" t="s">
        <v>64</v>
      </c>
      <c r="X2" s="10" t="s">
        <v>66</v>
      </c>
      <c r="Y2" s="10" t="s">
        <v>67</v>
      </c>
      <c r="Z2" s="10" t="s">
        <v>68</v>
      </c>
      <c r="AA2" s="10" t="s">
        <v>69</v>
      </c>
      <c r="AB2" s="10" t="s">
        <v>71</v>
      </c>
      <c r="AC2" s="10" t="s">
        <v>73</v>
      </c>
    </row>
    <row r="3">
      <c r="A3" s="11" t="str">
        <f t="array" ref="A3">XLOOKUP(C:C,'Account Manager Data'!B:B,'Account Manager Data'!C:C)</f>
        <v>Jawa</v>
      </c>
      <c r="B3" s="11">
        <f t="array" ref="B3">XLOOKUP(C3,'Account Manager Data'!$B:$B,'Account Manager Data'!$D:$D)</f>
        <v>1</v>
      </c>
      <c r="C3" s="11" t="str">
        <f>'Account Manager Data'!B2</f>
        <v>Rizky Maulana</v>
      </c>
      <c r="D3" s="12">
        <v>8.0E7</v>
      </c>
      <c r="E3" s="14">
        <v>8.24E7</v>
      </c>
      <c r="F3" s="14">
        <v>9.1464E7</v>
      </c>
      <c r="G3" s="14">
        <v>1.051836E8</v>
      </c>
      <c r="H3" s="14">
        <v>1.22012976E8</v>
      </c>
      <c r="I3" s="14">
        <v>1.4519544144E8</v>
      </c>
      <c r="J3" s="14">
        <v>1.735085525208E8</v>
      </c>
      <c r="K3" s="14">
        <v>2.11680434075376E8</v>
      </c>
      <c r="L3" s="14">
        <v>2.6460054259422E8</v>
      </c>
      <c r="M3" s="14">
        <v>3.3154447987055767E8</v>
      </c>
      <c r="N3" s="14">
        <v>4.641622718187807E8</v>
      </c>
      <c r="O3" s="14">
        <v>5.802028397734759E8</v>
      </c>
      <c r="P3" s="20">
        <f t="shared" ref="P3:P12" si="1">SUM(D3:O3)</f>
        <v>2651955138</v>
      </c>
      <c r="Q3" s="22">
        <f>SUMIFS(D29:D30,$B$29:$B$30,$B$3)</f>
        <v>55696074.24</v>
      </c>
      <c r="R3" s="22">
        <f t="shared" ref="R3:R12" si="2">SUMIFS($E$29:$E$30,$B$29:$B$30,B3)</f>
        <v>69620092.79</v>
      </c>
      <c r="S3" s="22">
        <f t="shared" ref="S3:S12" si="3">SUMIFS($F$29:$F$30,$B$29:$B$30,B3)</f>
        <v>83544111.35</v>
      </c>
      <c r="T3" s="22">
        <f t="shared" ref="T3:T12" si="4">SUMIFS($G$29:$G$30,$B$29:$B$30,B3)</f>
        <v>97468129.91</v>
      </c>
      <c r="U3" s="22">
        <f t="shared" ref="U3:U12" si="5">SUMIFS($H$29:$H$30,$B$29:$B$30,B3)</f>
        <v>111392148.5</v>
      </c>
      <c r="V3" s="22">
        <f t="shared" ref="V3:V12" si="6">SUMIFS($I$29:$I$30,$B$29:$B$30,B3)</f>
        <v>125316167</v>
      </c>
      <c r="W3" s="22">
        <f t="shared" ref="W3:W12" si="7">SUMIFS($J$29:$J$30,$B$29:$B$30,B3)</f>
        <v>125316167</v>
      </c>
      <c r="X3" s="22">
        <f t="shared" ref="X3:X12" si="8">SUMIFS($K$29:$K$30,$B$29:$B$30,B3)</f>
        <v>125316167</v>
      </c>
      <c r="Y3" s="22">
        <f t="shared" ref="Y3:Y12" si="9">SUMIFS($L$29:$L$30,$B$29:$B$30,B3)</f>
        <v>139240185.6</v>
      </c>
      <c r="Z3" s="22">
        <f t="shared" ref="Z3:Z12" si="10">SUMIFS($M$29:$M$30,$B$29:$B$30,B3)</f>
        <v>139240185.6</v>
      </c>
      <c r="AA3" s="22">
        <f t="shared" ref="AA3:AA12" si="11">SUMIFS($N$29:$N$30,$B$29:$B$30,B3)</f>
        <v>153164204.1</v>
      </c>
      <c r="AB3" s="22">
        <f t="shared" ref="AB3:AB12" si="12">SUMIFS($O$29:$O$30,$B$29:$B$30,B3)</f>
        <v>167088222.7</v>
      </c>
      <c r="AC3" s="22">
        <f t="shared" ref="AC3:AC12" si="13">SUM(Q3:AB3)</f>
        <v>1392401856</v>
      </c>
    </row>
    <row r="4">
      <c r="A4" s="11" t="str">
        <f t="array" ref="A4">XLOOKUP(C:C,'Account Manager Data'!B:B,'Account Manager Data'!C:C)</f>
        <v>Kalimantan</v>
      </c>
      <c r="B4" s="11">
        <f t="array" ref="B4">XLOOKUP(C4,'Account Manager Data'!$B:$B,'Account Manager Data'!$D:$D)</f>
        <v>1</v>
      </c>
      <c r="C4" s="11" t="str">
        <f>'Account Manager Data'!B3</f>
        <v>Dedi Kurniawan</v>
      </c>
      <c r="D4" s="23">
        <v>5.0E7</v>
      </c>
      <c r="E4" s="24">
        <v>5.15E7</v>
      </c>
      <c r="F4" s="24">
        <v>5.562E7</v>
      </c>
      <c r="G4" s="24">
        <v>6.1182E7</v>
      </c>
      <c r="H4" s="24">
        <v>6.852384E7</v>
      </c>
      <c r="I4" s="24">
        <v>7.8802416E7</v>
      </c>
      <c r="J4" s="24">
        <v>9.416888712E7</v>
      </c>
      <c r="K4" s="24">
        <v>1.1394435341520001E8</v>
      </c>
      <c r="L4" s="24">
        <v>1.3901211116654402E8</v>
      </c>
      <c r="M4" s="24">
        <v>1.7237501784651458E8</v>
      </c>
      <c r="N4" s="24">
        <v>2.1495164725460368E8</v>
      </c>
      <c r="O4" s="24">
        <v>2.686895590682546E8</v>
      </c>
      <c r="P4" s="20">
        <f t="shared" si="1"/>
        <v>1368769832</v>
      </c>
      <c r="Q4" s="22">
        <f t="shared" ref="Q4:Q12" si="14">SUMIFS($D$29:$D$30,$B$29:$B$30,B4)</f>
        <v>55696074.24</v>
      </c>
      <c r="R4" s="22">
        <f t="shared" si="2"/>
        <v>69620092.79</v>
      </c>
      <c r="S4" s="22">
        <f t="shared" si="3"/>
        <v>83544111.35</v>
      </c>
      <c r="T4" s="22">
        <f t="shared" si="4"/>
        <v>97468129.91</v>
      </c>
      <c r="U4" s="22">
        <f t="shared" si="5"/>
        <v>111392148.5</v>
      </c>
      <c r="V4" s="22">
        <f t="shared" si="6"/>
        <v>125316167</v>
      </c>
      <c r="W4" s="22">
        <f t="shared" si="7"/>
        <v>125316167</v>
      </c>
      <c r="X4" s="22">
        <f t="shared" si="8"/>
        <v>125316167</v>
      </c>
      <c r="Y4" s="22">
        <f t="shared" si="9"/>
        <v>139240185.6</v>
      </c>
      <c r="Z4" s="22">
        <f t="shared" si="10"/>
        <v>139240185.6</v>
      </c>
      <c r="AA4" s="22">
        <f t="shared" si="11"/>
        <v>153164204.1</v>
      </c>
      <c r="AB4" s="22">
        <f t="shared" si="12"/>
        <v>167088222.7</v>
      </c>
      <c r="AC4" s="22">
        <f t="shared" si="13"/>
        <v>1392401856</v>
      </c>
    </row>
    <row r="5">
      <c r="A5" s="11" t="str">
        <f t="array" ref="A5">XLOOKUP(C:C,'Account Manager Data'!B:B,'Account Manager Data'!C:C)</f>
        <v>Sumatera</v>
      </c>
      <c r="B5" s="11">
        <f t="array" ref="B5">XLOOKUP(C5,'Account Manager Data'!$B:$B,'Account Manager Data'!$D:$D)</f>
        <v>1</v>
      </c>
      <c r="C5" s="11" t="str">
        <f>'Account Manager Data'!B4</f>
        <v>Ahmad Fauzi</v>
      </c>
      <c r="D5" s="23">
        <v>4.5E7</v>
      </c>
      <c r="E5" s="24">
        <v>4.635E7</v>
      </c>
      <c r="F5" s="24">
        <v>4.86675E7</v>
      </c>
      <c r="G5" s="24">
        <v>5.2074225E7</v>
      </c>
      <c r="H5" s="24">
        <v>5.6240163E7</v>
      </c>
      <c r="I5" s="24">
        <v>6.18641793E7</v>
      </c>
      <c r="J5" s="24">
        <v>6.89785599195E7</v>
      </c>
      <c r="K5" s="24">
        <v>7.725598710983999E7</v>
      </c>
      <c r="L5" s="24">
        <v>8.8844385176316E7</v>
      </c>
      <c r="M5" s="24">
        <v>1.0305948680452655E8</v>
      </c>
      <c r="N5" s="24">
        <v>1.210948969953187E8</v>
      </c>
      <c r="O5" s="24">
        <v>1.4410292742442924E8</v>
      </c>
      <c r="P5" s="20">
        <f t="shared" si="1"/>
        <v>913532310.7</v>
      </c>
      <c r="Q5" s="22">
        <f t="shared" si="14"/>
        <v>55696074.24</v>
      </c>
      <c r="R5" s="22">
        <f t="shared" si="2"/>
        <v>69620092.79</v>
      </c>
      <c r="S5" s="22">
        <f t="shared" si="3"/>
        <v>83544111.35</v>
      </c>
      <c r="T5" s="22">
        <f t="shared" si="4"/>
        <v>97468129.91</v>
      </c>
      <c r="U5" s="22">
        <f t="shared" si="5"/>
        <v>111392148.5</v>
      </c>
      <c r="V5" s="22">
        <f t="shared" si="6"/>
        <v>125316167</v>
      </c>
      <c r="W5" s="22">
        <f t="shared" si="7"/>
        <v>125316167</v>
      </c>
      <c r="X5" s="22">
        <f t="shared" si="8"/>
        <v>125316167</v>
      </c>
      <c r="Y5" s="22">
        <f t="shared" si="9"/>
        <v>139240185.6</v>
      </c>
      <c r="Z5" s="22">
        <f t="shared" si="10"/>
        <v>139240185.6</v>
      </c>
      <c r="AA5" s="22">
        <f t="shared" si="11"/>
        <v>153164204.1</v>
      </c>
      <c r="AB5" s="22">
        <f t="shared" si="12"/>
        <v>167088222.7</v>
      </c>
      <c r="AC5" s="22">
        <f t="shared" si="13"/>
        <v>1392401856</v>
      </c>
    </row>
    <row r="6">
      <c r="A6" s="11" t="str">
        <f t="array" ref="A6">XLOOKUP(C:C,'Account Manager Data'!B:B,'Account Manager Data'!C:C)</f>
        <v>Papua</v>
      </c>
      <c r="B6" s="11">
        <f t="array" ref="B6">XLOOKUP(C6,'Account Manager Data'!$B:$B,'Account Manager Data'!$D:$D)</f>
        <v>1</v>
      </c>
      <c r="C6" s="11" t="str">
        <f>'Account Manager Data'!B5</f>
        <v>Eko Prasetyo</v>
      </c>
      <c r="D6" s="23">
        <v>6.0E7</v>
      </c>
      <c r="E6" s="24">
        <v>6.6E7</v>
      </c>
      <c r="F6" s="24">
        <v>7.656E7</v>
      </c>
      <c r="G6" s="24">
        <v>8.95752E7</v>
      </c>
      <c r="H6" s="24">
        <v>1.04355108E8</v>
      </c>
      <c r="I6" s="24">
        <v>1.2418257852E8</v>
      </c>
      <c r="J6" s="24">
        <v>1.4653544265359998E8</v>
      </c>
      <c r="K6" s="24">
        <v>1.7510985397105196E8</v>
      </c>
      <c r="L6" s="24">
        <v>2.1013182476526237E8</v>
      </c>
      <c r="M6" s="24">
        <v>2.563608262136201E8</v>
      </c>
      <c r="N6" s="24">
        <v>2.858423212281864E8</v>
      </c>
      <c r="O6" s="24">
        <v>3.715950175966424E8</v>
      </c>
      <c r="P6" s="20">
        <f t="shared" si="1"/>
        <v>1966248173</v>
      </c>
      <c r="Q6" s="22">
        <f t="shared" si="14"/>
        <v>55696074.24</v>
      </c>
      <c r="R6" s="22">
        <f t="shared" si="2"/>
        <v>69620092.79</v>
      </c>
      <c r="S6" s="22">
        <f t="shared" si="3"/>
        <v>83544111.35</v>
      </c>
      <c r="T6" s="22">
        <f t="shared" si="4"/>
        <v>97468129.91</v>
      </c>
      <c r="U6" s="22">
        <f t="shared" si="5"/>
        <v>111392148.5</v>
      </c>
      <c r="V6" s="22">
        <f t="shared" si="6"/>
        <v>125316167</v>
      </c>
      <c r="W6" s="22">
        <f t="shared" si="7"/>
        <v>125316167</v>
      </c>
      <c r="X6" s="22">
        <f t="shared" si="8"/>
        <v>125316167</v>
      </c>
      <c r="Y6" s="22">
        <f t="shared" si="9"/>
        <v>139240185.6</v>
      </c>
      <c r="Z6" s="22">
        <f t="shared" si="10"/>
        <v>139240185.6</v>
      </c>
      <c r="AA6" s="22">
        <f t="shared" si="11"/>
        <v>153164204.1</v>
      </c>
      <c r="AB6" s="22">
        <f t="shared" si="12"/>
        <v>167088222.7</v>
      </c>
      <c r="AC6" s="22">
        <f t="shared" si="13"/>
        <v>1392401856</v>
      </c>
    </row>
    <row r="7">
      <c r="A7" s="11" t="str">
        <f t="array" ref="A7">XLOOKUP(C:C,'Account Manager Data'!B:B,'Account Manager Data'!C:C)</f>
        <v>Sulawesi</v>
      </c>
      <c r="B7" s="11">
        <f t="array" ref="B7">XLOOKUP(C7,'Account Manager Data'!$B:$B,'Account Manager Data'!$D:$D)</f>
        <v>1</v>
      </c>
      <c r="C7" s="11" t="str">
        <f>'Account Manager Data'!B6</f>
        <v>Fajar Ramadhan</v>
      </c>
      <c r="D7" s="23">
        <v>4.0E7</v>
      </c>
      <c r="E7" s="24">
        <v>4.36E7</v>
      </c>
      <c r="F7" s="24">
        <v>4.8396E7</v>
      </c>
      <c r="G7" s="24">
        <v>5.420352E7</v>
      </c>
      <c r="H7" s="24">
        <v>6.12499776E7</v>
      </c>
      <c r="I7" s="24">
        <v>6.9824974464E7</v>
      </c>
      <c r="J7" s="24">
        <v>8.02987206336E7</v>
      </c>
      <c r="K7" s="24">
        <v>9.3146515934976E7</v>
      </c>
      <c r="L7" s="24">
        <v>1.0991288880327168E8</v>
      </c>
      <c r="M7" s="24">
        <v>1.3189546656392601E8</v>
      </c>
      <c r="N7" s="24">
        <v>1.5893403720953083E8</v>
      </c>
      <c r="O7" s="24">
        <v>1.9072084465143698E8</v>
      </c>
      <c r="P7" s="20">
        <f t="shared" si="1"/>
        <v>1082182946</v>
      </c>
      <c r="Q7" s="22">
        <f t="shared" si="14"/>
        <v>55696074.24</v>
      </c>
      <c r="R7" s="22">
        <f t="shared" si="2"/>
        <v>69620092.79</v>
      </c>
      <c r="S7" s="22">
        <f t="shared" si="3"/>
        <v>83544111.35</v>
      </c>
      <c r="T7" s="22">
        <f t="shared" si="4"/>
        <v>97468129.91</v>
      </c>
      <c r="U7" s="22">
        <f t="shared" si="5"/>
        <v>111392148.5</v>
      </c>
      <c r="V7" s="22">
        <f t="shared" si="6"/>
        <v>125316167</v>
      </c>
      <c r="W7" s="22">
        <f t="shared" si="7"/>
        <v>125316167</v>
      </c>
      <c r="X7" s="22">
        <f t="shared" si="8"/>
        <v>125316167</v>
      </c>
      <c r="Y7" s="22">
        <f t="shared" si="9"/>
        <v>139240185.6</v>
      </c>
      <c r="Z7" s="22">
        <f t="shared" si="10"/>
        <v>139240185.6</v>
      </c>
      <c r="AA7" s="22">
        <f t="shared" si="11"/>
        <v>153164204.1</v>
      </c>
      <c r="AB7" s="22">
        <f t="shared" si="12"/>
        <v>167088222.7</v>
      </c>
      <c r="AC7" s="22">
        <f t="shared" si="13"/>
        <v>1392401856</v>
      </c>
    </row>
    <row r="8">
      <c r="A8" s="11" t="str">
        <f t="array" ref="A8">XLOOKUP(C:C,'Account Manager Data'!B:B,'Account Manager Data'!C:C)</f>
        <v>Kalimantan</v>
      </c>
      <c r="B8" s="11">
        <f t="array" ref="B8">XLOOKUP(C8,'Account Manager Data'!$B:$B,'Account Manager Data'!$D:$D)</f>
        <v>1</v>
      </c>
      <c r="C8" s="11" t="str">
        <f>'Account Manager Data'!B7</f>
        <v>Hendra Gunawan</v>
      </c>
      <c r="D8" s="23">
        <v>2.5E7</v>
      </c>
      <c r="E8" s="24">
        <v>2.55E7</v>
      </c>
      <c r="F8" s="24">
        <v>2.6265E7</v>
      </c>
      <c r="G8" s="24">
        <v>2.705295E7</v>
      </c>
      <c r="H8" s="24">
        <v>2.827033275E7</v>
      </c>
      <c r="I8" s="24">
        <v>2.96838493875E7</v>
      </c>
      <c r="J8" s="24">
        <v>3.10196226099375E7</v>
      </c>
      <c r="K8" s="24">
        <v>3.288079996653375E7</v>
      </c>
      <c r="L8" s="24">
        <v>3.5840071963521786E7</v>
      </c>
      <c r="M8" s="24">
        <v>3.763207556169788E7</v>
      </c>
      <c r="N8" s="24">
        <v>3.876103782854881E7</v>
      </c>
      <c r="O8" s="24">
        <v>3.9536258585119784E7</v>
      </c>
      <c r="P8" s="20">
        <f t="shared" si="1"/>
        <v>377441998.7</v>
      </c>
      <c r="Q8" s="22">
        <f t="shared" si="14"/>
        <v>55696074.24</v>
      </c>
      <c r="R8" s="22">
        <f t="shared" si="2"/>
        <v>69620092.79</v>
      </c>
      <c r="S8" s="22">
        <f t="shared" si="3"/>
        <v>83544111.35</v>
      </c>
      <c r="T8" s="22">
        <f t="shared" si="4"/>
        <v>97468129.91</v>
      </c>
      <c r="U8" s="22">
        <f t="shared" si="5"/>
        <v>111392148.5</v>
      </c>
      <c r="V8" s="22">
        <f t="shared" si="6"/>
        <v>125316167</v>
      </c>
      <c r="W8" s="22">
        <f t="shared" si="7"/>
        <v>125316167</v>
      </c>
      <c r="X8" s="22">
        <f t="shared" si="8"/>
        <v>125316167</v>
      </c>
      <c r="Y8" s="22">
        <f t="shared" si="9"/>
        <v>139240185.6</v>
      </c>
      <c r="Z8" s="22">
        <f t="shared" si="10"/>
        <v>139240185.6</v>
      </c>
      <c r="AA8" s="22">
        <f t="shared" si="11"/>
        <v>153164204.1</v>
      </c>
      <c r="AB8" s="22">
        <f t="shared" si="12"/>
        <v>167088222.7</v>
      </c>
      <c r="AC8" s="22">
        <f t="shared" si="13"/>
        <v>1392401856</v>
      </c>
    </row>
    <row r="9">
      <c r="A9" s="11" t="str">
        <f t="array" ref="A9">XLOOKUP(C:C,'Account Manager Data'!B:B,'Account Manager Data'!C:C)</f>
        <v>Sumatera</v>
      </c>
      <c r="B9" s="11">
        <f t="array" ref="B9">XLOOKUP(C9,'Account Manager Data'!$B:$B,'Account Manager Data'!$D:$D)</f>
        <v>2</v>
      </c>
      <c r="C9" s="11" t="str">
        <f>'Account Manager Data'!B8</f>
        <v>Yusuf Hidayat</v>
      </c>
      <c r="D9" s="23">
        <v>2.7E7</v>
      </c>
      <c r="E9" s="24">
        <v>2.754E7</v>
      </c>
      <c r="F9" s="24">
        <v>2.83662E7</v>
      </c>
      <c r="G9" s="24">
        <v>2.9217186E7</v>
      </c>
      <c r="H9" s="24">
        <v>3.053195937E7</v>
      </c>
      <c r="I9" s="24">
        <v>3.20585573385E7</v>
      </c>
      <c r="J9" s="24">
        <v>3.35011924187325E7</v>
      </c>
      <c r="K9" s="24">
        <v>3.551126396385645E7</v>
      </c>
      <c r="L9" s="24">
        <v>3.870727772060353E7</v>
      </c>
      <c r="M9" s="24">
        <v>4.064264160663371E7</v>
      </c>
      <c r="N9" s="24">
        <v>4.186192085483272E7</v>
      </c>
      <c r="O9" s="24">
        <v>4.269915927192937E7</v>
      </c>
      <c r="P9" s="20">
        <f t="shared" si="1"/>
        <v>407637358.5</v>
      </c>
      <c r="Q9" s="22">
        <f t="shared" si="14"/>
        <v>27848037.12</v>
      </c>
      <c r="R9" s="22">
        <f t="shared" si="2"/>
        <v>34810046.4</v>
      </c>
      <c r="S9" s="22">
        <f t="shared" si="3"/>
        <v>41772055.68</v>
      </c>
      <c r="T9" s="22">
        <f t="shared" si="4"/>
        <v>48734064.96</v>
      </c>
      <c r="U9" s="22">
        <f t="shared" si="5"/>
        <v>55696074.24</v>
      </c>
      <c r="V9" s="22">
        <f t="shared" si="6"/>
        <v>62658083.51</v>
      </c>
      <c r="W9" s="22">
        <f t="shared" si="7"/>
        <v>62658083.51</v>
      </c>
      <c r="X9" s="22">
        <f t="shared" si="8"/>
        <v>62658083.51</v>
      </c>
      <c r="Y9" s="22">
        <f t="shared" si="9"/>
        <v>69620092.79</v>
      </c>
      <c r="Z9" s="22">
        <f t="shared" si="10"/>
        <v>69620092.79</v>
      </c>
      <c r="AA9" s="22">
        <f t="shared" si="11"/>
        <v>76582102.07</v>
      </c>
      <c r="AB9" s="22">
        <f t="shared" si="12"/>
        <v>83544111.35</v>
      </c>
      <c r="AC9" s="22">
        <f t="shared" si="13"/>
        <v>696200927.9</v>
      </c>
    </row>
    <row r="10">
      <c r="A10" s="11" t="str">
        <f t="array" ref="A10">XLOOKUP(C:C,'Account Manager Data'!B:B,'Account Manager Data'!C:C)</f>
        <v>Papua</v>
      </c>
      <c r="B10" s="11">
        <f t="array" ref="B10">XLOOKUP(C10,'Account Manager Data'!$B:$B,'Account Manager Data'!$D:$D)</f>
        <v>2</v>
      </c>
      <c r="C10" s="11" t="str">
        <f>'Account Manager Data'!B9</f>
        <v>Budi Santoso</v>
      </c>
      <c r="D10" s="23">
        <v>3.0E7</v>
      </c>
      <c r="E10" s="24">
        <v>3.06E7</v>
      </c>
      <c r="F10" s="24">
        <v>3.1518E7</v>
      </c>
      <c r="G10" s="24">
        <v>3.246354E7</v>
      </c>
      <c r="H10" s="24">
        <v>3.39243993E7</v>
      </c>
      <c r="I10" s="24">
        <v>3.5620619265E7</v>
      </c>
      <c r="J10" s="24">
        <v>3.7223547131925E7</v>
      </c>
      <c r="K10" s="24">
        <v>3.94569599598405E7</v>
      </c>
      <c r="L10" s="24">
        <v>4.3008086356226146E7</v>
      </c>
      <c r="M10" s="24">
        <v>4.515849067403746E7</v>
      </c>
      <c r="N10" s="24">
        <v>4.651324539425858E7</v>
      </c>
      <c r="O10" s="24">
        <v>4.744351030214375E7</v>
      </c>
      <c r="P10" s="20">
        <f t="shared" si="1"/>
        <v>452930398.4</v>
      </c>
      <c r="Q10" s="22">
        <f t="shared" si="14"/>
        <v>27848037.12</v>
      </c>
      <c r="R10" s="22">
        <f t="shared" si="2"/>
        <v>34810046.4</v>
      </c>
      <c r="S10" s="22">
        <f t="shared" si="3"/>
        <v>41772055.68</v>
      </c>
      <c r="T10" s="22">
        <f t="shared" si="4"/>
        <v>48734064.96</v>
      </c>
      <c r="U10" s="22">
        <f t="shared" si="5"/>
        <v>55696074.24</v>
      </c>
      <c r="V10" s="22">
        <f t="shared" si="6"/>
        <v>62658083.51</v>
      </c>
      <c r="W10" s="22">
        <f t="shared" si="7"/>
        <v>62658083.51</v>
      </c>
      <c r="X10" s="22">
        <f t="shared" si="8"/>
        <v>62658083.51</v>
      </c>
      <c r="Y10" s="22">
        <f t="shared" si="9"/>
        <v>69620092.79</v>
      </c>
      <c r="Z10" s="22">
        <f t="shared" si="10"/>
        <v>69620092.79</v>
      </c>
      <c r="AA10" s="22">
        <f t="shared" si="11"/>
        <v>76582102.07</v>
      </c>
      <c r="AB10" s="22">
        <f t="shared" si="12"/>
        <v>83544111.35</v>
      </c>
      <c r="AC10" s="22">
        <f t="shared" si="13"/>
        <v>696200927.9</v>
      </c>
    </row>
    <row r="11">
      <c r="A11" s="11" t="str">
        <f t="array" ref="A11">XLOOKUP(C:C,'Account Manager Data'!B:B,'Account Manager Data'!C:C)</f>
        <v>Sulawesi</v>
      </c>
      <c r="B11" s="11">
        <f t="array" ref="B11">XLOOKUP(C11,'Account Manager Data'!$B:$B,'Account Manager Data'!$D:$D)</f>
        <v>2</v>
      </c>
      <c r="C11" s="11" t="str">
        <f>'Account Manager Data'!B10</f>
        <v>Teguh Wijaya</v>
      </c>
      <c r="D11" s="23">
        <v>2.0E7</v>
      </c>
      <c r="E11" s="14">
        <v>2.04E7</v>
      </c>
      <c r="F11" s="24">
        <v>2.1012E7</v>
      </c>
      <c r="G11" s="24">
        <v>2.164236E7</v>
      </c>
      <c r="H11" s="24">
        <v>2.26162662E7</v>
      </c>
      <c r="I11" s="24">
        <v>2.3747079509999998E7</v>
      </c>
      <c r="J11" s="24">
        <v>2.481569808795E7</v>
      </c>
      <c r="K11" s="24">
        <v>2.6304639973226998E7</v>
      </c>
      <c r="L11" s="24">
        <v>2.8672057570817426E7</v>
      </c>
      <c r="M11" s="24">
        <v>3.0105660449358296E7</v>
      </c>
      <c r="N11" s="24">
        <v>3.1008830262839045E7</v>
      </c>
      <c r="O11" s="24">
        <v>3.1629006868095826E7</v>
      </c>
      <c r="P11" s="20">
        <f t="shared" si="1"/>
        <v>301953598.9</v>
      </c>
      <c r="Q11" s="22">
        <f t="shared" si="14"/>
        <v>27848037.12</v>
      </c>
      <c r="R11" s="22">
        <f t="shared" si="2"/>
        <v>34810046.4</v>
      </c>
      <c r="S11" s="22">
        <f t="shared" si="3"/>
        <v>41772055.68</v>
      </c>
      <c r="T11" s="22">
        <f t="shared" si="4"/>
        <v>48734064.96</v>
      </c>
      <c r="U11" s="22">
        <f t="shared" si="5"/>
        <v>55696074.24</v>
      </c>
      <c r="V11" s="22">
        <f t="shared" si="6"/>
        <v>62658083.51</v>
      </c>
      <c r="W11" s="22">
        <f t="shared" si="7"/>
        <v>62658083.51</v>
      </c>
      <c r="X11" s="22">
        <f t="shared" si="8"/>
        <v>62658083.51</v>
      </c>
      <c r="Y11" s="22">
        <f t="shared" si="9"/>
        <v>69620092.79</v>
      </c>
      <c r="Z11" s="22">
        <f t="shared" si="10"/>
        <v>69620092.79</v>
      </c>
      <c r="AA11" s="22">
        <f t="shared" si="11"/>
        <v>76582102.07</v>
      </c>
      <c r="AB11" s="22">
        <f t="shared" si="12"/>
        <v>83544111.35</v>
      </c>
      <c r="AC11" s="22">
        <f t="shared" si="13"/>
        <v>696200927.9</v>
      </c>
    </row>
    <row r="12" ht="16.5" customHeight="1">
      <c r="A12" s="11" t="str">
        <f t="array" ref="A12">XLOOKUP(C:C,'Account Manager Data'!B:B,'Account Manager Data'!C:C)</f>
        <v>Jawa</v>
      </c>
      <c r="B12" s="11">
        <f t="array" ref="B12">XLOOKUP(C12,'Account Manager Data'!$B:$B,'Account Manager Data'!$D:$D)</f>
        <v>2</v>
      </c>
      <c r="C12" s="11" t="str">
        <f>'Account Manager Data'!B11</f>
        <v>Ilham Saputra</v>
      </c>
      <c r="D12" s="12">
        <v>4.0E7</v>
      </c>
      <c r="E12" s="14">
        <v>4.08E7</v>
      </c>
      <c r="F12" s="14">
        <v>4.2024E7</v>
      </c>
      <c r="G12" s="14">
        <v>4.328472E7</v>
      </c>
      <c r="H12" s="14">
        <v>4.52325324E7</v>
      </c>
      <c r="I12" s="14">
        <v>4.7494159019999996E7</v>
      </c>
      <c r="J12" s="14">
        <v>4.96313961759E7</v>
      </c>
      <c r="K12" s="14">
        <v>5.2609279946453996E7</v>
      </c>
      <c r="L12" s="14">
        <v>5.734411514163485E7</v>
      </c>
      <c r="M12" s="14">
        <v>6.021132089871659E7</v>
      </c>
      <c r="N12" s="14">
        <v>6.201766052567809E7</v>
      </c>
      <c r="O12" s="14">
        <v>6.325801373619165E7</v>
      </c>
      <c r="P12" s="20">
        <f t="shared" si="1"/>
        <v>603907197.8</v>
      </c>
      <c r="Q12" s="22">
        <f t="shared" si="14"/>
        <v>27848037.12</v>
      </c>
      <c r="R12" s="22">
        <f t="shared" si="2"/>
        <v>34810046.4</v>
      </c>
      <c r="S12" s="22">
        <f t="shared" si="3"/>
        <v>41772055.68</v>
      </c>
      <c r="T12" s="22">
        <f t="shared" si="4"/>
        <v>48734064.96</v>
      </c>
      <c r="U12" s="22">
        <f t="shared" si="5"/>
        <v>55696074.24</v>
      </c>
      <c r="V12" s="22">
        <f t="shared" si="6"/>
        <v>62658083.51</v>
      </c>
      <c r="W12" s="22">
        <f t="shared" si="7"/>
        <v>62658083.51</v>
      </c>
      <c r="X12" s="22">
        <f t="shared" si="8"/>
        <v>62658083.51</v>
      </c>
      <c r="Y12" s="22">
        <f t="shared" si="9"/>
        <v>69620092.79</v>
      </c>
      <c r="Z12" s="22">
        <f t="shared" si="10"/>
        <v>69620092.79</v>
      </c>
      <c r="AA12" s="22">
        <f t="shared" si="11"/>
        <v>76582102.07</v>
      </c>
      <c r="AB12" s="22">
        <f t="shared" si="12"/>
        <v>83544111.35</v>
      </c>
      <c r="AC12" s="22">
        <f t="shared" si="13"/>
        <v>696200927.9</v>
      </c>
    </row>
    <row r="13">
      <c r="A13" s="9" t="s">
        <v>205</v>
      </c>
      <c r="D13" s="36">
        <f t="shared" ref="D13:O13" si="15">SUM(D1:D12)</f>
        <v>417000000</v>
      </c>
      <c r="E13" s="36">
        <f t="shared" si="15"/>
        <v>434690000</v>
      </c>
      <c r="F13" s="36">
        <f t="shared" si="15"/>
        <v>469892700</v>
      </c>
      <c r="G13" s="36">
        <f t="shared" si="15"/>
        <v>515879301</v>
      </c>
      <c r="H13" s="36">
        <f t="shared" si="15"/>
        <v>572957554.6</v>
      </c>
      <c r="I13" s="37">
        <f t="shared" si="15"/>
        <v>648473854.2</v>
      </c>
      <c r="J13" s="36">
        <f t="shared" si="15"/>
        <v>739681619.3</v>
      </c>
      <c r="K13" s="36">
        <f t="shared" si="15"/>
        <v>857900088.3</v>
      </c>
      <c r="L13" s="36">
        <f t="shared" si="15"/>
        <v>1016073361</v>
      </c>
      <c r="M13" s="36">
        <f t="shared" si="15"/>
        <v>1208985466</v>
      </c>
      <c r="N13" s="36">
        <f t="shared" si="15"/>
        <v>1465147869</v>
      </c>
      <c r="O13" s="36">
        <f t="shared" si="15"/>
        <v>1779877137</v>
      </c>
      <c r="P13" s="38">
        <f t="shared" ref="P13:AB13" si="16">SUM(P3:P12)</f>
        <v>10126558952</v>
      </c>
      <c r="Q13" s="39">
        <f t="shared" si="16"/>
        <v>445568593.9</v>
      </c>
      <c r="R13" s="39">
        <f t="shared" si="16"/>
        <v>556960742.4</v>
      </c>
      <c r="S13" s="39">
        <f t="shared" si="16"/>
        <v>668352890.8</v>
      </c>
      <c r="T13" s="39">
        <f t="shared" si="16"/>
        <v>779745039.3</v>
      </c>
      <c r="U13" s="39">
        <f t="shared" si="16"/>
        <v>891137187.8</v>
      </c>
      <c r="V13" s="40">
        <f t="shared" si="16"/>
        <v>1002529336</v>
      </c>
      <c r="W13" s="39">
        <f t="shared" si="16"/>
        <v>1002529336</v>
      </c>
      <c r="X13" s="39">
        <f t="shared" si="16"/>
        <v>1002529336</v>
      </c>
      <c r="Y13" s="39">
        <f t="shared" si="16"/>
        <v>1113921485</v>
      </c>
      <c r="Z13" s="39">
        <f t="shared" si="16"/>
        <v>1113921485</v>
      </c>
      <c r="AA13" s="39">
        <f t="shared" si="16"/>
        <v>1225313633</v>
      </c>
      <c r="AB13" s="39">
        <f t="shared" si="16"/>
        <v>1336705782</v>
      </c>
      <c r="AC13" s="38">
        <v>1.1139214847036764E10</v>
      </c>
    </row>
    <row r="16">
      <c r="A16" s="41" t="s">
        <v>33</v>
      </c>
      <c r="B16" s="43"/>
      <c r="C16" s="44"/>
      <c r="D16" s="45"/>
      <c r="F16" s="46"/>
      <c r="G16" s="46"/>
      <c r="H16" s="46"/>
      <c r="I16" s="46"/>
      <c r="J16" s="46"/>
      <c r="K16" s="46"/>
      <c r="L16" s="46"/>
      <c r="M16" s="46"/>
      <c r="N16" s="46"/>
      <c r="O16" s="46"/>
    </row>
    <row r="17">
      <c r="A17" s="47" t="s">
        <v>220</v>
      </c>
      <c r="B17" s="6"/>
      <c r="C17" s="48">
        <f>P13</f>
        <v>10126558952</v>
      </c>
    </row>
    <row r="18">
      <c r="A18" s="47" t="s">
        <v>221</v>
      </c>
      <c r="B18" s="49"/>
      <c r="C18" s="49">
        <v>0.1</v>
      </c>
      <c r="D18" s="22">
        <f>C17*C18</f>
        <v>1012655895</v>
      </c>
      <c r="P18" s="3" t="s">
        <v>224</v>
      </c>
    </row>
    <row r="19">
      <c r="A19" s="47" t="s">
        <v>226</v>
      </c>
      <c r="B19" s="50"/>
      <c r="C19" s="51">
        <f>D18+C17</f>
        <v>11139214847</v>
      </c>
    </row>
    <row r="21">
      <c r="A21" s="41" t="s">
        <v>33</v>
      </c>
      <c r="B21" s="43"/>
      <c r="C21" s="44"/>
      <c r="D21" s="9" t="s">
        <v>54</v>
      </c>
      <c r="E21" s="9" t="s">
        <v>56</v>
      </c>
      <c r="F21" s="9" t="s">
        <v>58</v>
      </c>
      <c r="G21" s="9" t="s">
        <v>60</v>
      </c>
      <c r="H21" s="9" t="s">
        <v>61</v>
      </c>
      <c r="I21" s="9" t="s">
        <v>62</v>
      </c>
      <c r="J21" s="9" t="s">
        <v>64</v>
      </c>
      <c r="K21" s="9" t="s">
        <v>66</v>
      </c>
      <c r="L21" s="9" t="s">
        <v>67</v>
      </c>
      <c r="M21" s="9" t="s">
        <v>68</v>
      </c>
      <c r="N21" s="9" t="s">
        <v>69</v>
      </c>
      <c r="O21" s="9" t="s">
        <v>71</v>
      </c>
      <c r="P21" s="9" t="s">
        <v>73</v>
      </c>
    </row>
    <row r="22">
      <c r="A22" s="3" t="s">
        <v>12</v>
      </c>
      <c r="B22" s="3" t="s">
        <v>229</v>
      </c>
      <c r="C22" s="3" t="s">
        <v>230</v>
      </c>
      <c r="D22" s="52">
        <v>0.04</v>
      </c>
      <c r="E22" s="52">
        <v>0.05</v>
      </c>
      <c r="F22" s="52">
        <v>0.06</v>
      </c>
      <c r="G22" s="52">
        <v>0.07</v>
      </c>
      <c r="H22" s="52">
        <v>0.08</v>
      </c>
      <c r="I22" s="52">
        <v>0.09</v>
      </c>
      <c r="J22" s="52">
        <v>0.09</v>
      </c>
      <c r="K22" s="52">
        <v>0.09</v>
      </c>
      <c r="L22" s="52">
        <v>0.1</v>
      </c>
      <c r="M22" s="52">
        <v>0.1</v>
      </c>
      <c r="N22" s="52">
        <v>0.11</v>
      </c>
      <c r="O22" s="52">
        <v>0.12</v>
      </c>
      <c r="P22" s="54">
        <f>SUM(D22:O22)</f>
        <v>1</v>
      </c>
    </row>
    <row r="23">
      <c r="A23" s="3" t="s">
        <v>232</v>
      </c>
      <c r="B23" s="3">
        <v>1.0</v>
      </c>
      <c r="C23" s="52">
        <v>0.75</v>
      </c>
      <c r="D23" s="22">
        <f t="shared" ref="D23:O23" si="17">$C$23*D25</f>
        <v>334176445.4</v>
      </c>
      <c r="E23" s="22">
        <f t="shared" si="17"/>
        <v>417720556.8</v>
      </c>
      <c r="F23" s="22">
        <f t="shared" si="17"/>
        <v>501264668.1</v>
      </c>
      <c r="G23" s="22">
        <f t="shared" si="17"/>
        <v>584808779.5</v>
      </c>
      <c r="H23" s="22">
        <f t="shared" si="17"/>
        <v>668352890.8</v>
      </c>
      <c r="I23" s="22">
        <f t="shared" si="17"/>
        <v>751897002.2</v>
      </c>
      <c r="J23" s="22">
        <f t="shared" si="17"/>
        <v>751897002.2</v>
      </c>
      <c r="K23" s="22">
        <f t="shared" si="17"/>
        <v>751897002.2</v>
      </c>
      <c r="L23" s="22">
        <f t="shared" si="17"/>
        <v>835441113.5</v>
      </c>
      <c r="M23" s="22">
        <f t="shared" si="17"/>
        <v>835441113.5</v>
      </c>
      <c r="N23" s="22">
        <f t="shared" si="17"/>
        <v>918985224.9</v>
      </c>
      <c r="O23" s="22">
        <f t="shared" si="17"/>
        <v>1002529336</v>
      </c>
      <c r="P23" s="22">
        <f t="shared" ref="P23:P24" si="19">SUM(B23:O23)</f>
        <v>8354411137</v>
      </c>
    </row>
    <row r="24">
      <c r="A24" s="3" t="s">
        <v>235</v>
      </c>
      <c r="B24" s="3">
        <v>2.0</v>
      </c>
      <c r="C24" s="52">
        <v>0.25</v>
      </c>
      <c r="D24" s="22">
        <f t="shared" ref="D24:O24" si="18">$C$24*D25</f>
        <v>111392148.5</v>
      </c>
      <c r="E24" s="22">
        <f t="shared" si="18"/>
        <v>139240185.6</v>
      </c>
      <c r="F24" s="22">
        <f t="shared" si="18"/>
        <v>167088222.7</v>
      </c>
      <c r="G24" s="22">
        <f t="shared" si="18"/>
        <v>194936259.8</v>
      </c>
      <c r="H24" s="22">
        <f t="shared" si="18"/>
        <v>222784296.9</v>
      </c>
      <c r="I24" s="22">
        <f t="shared" si="18"/>
        <v>250632334.1</v>
      </c>
      <c r="J24" s="22">
        <f t="shared" si="18"/>
        <v>250632334.1</v>
      </c>
      <c r="K24" s="22">
        <f t="shared" si="18"/>
        <v>250632334.1</v>
      </c>
      <c r="L24" s="22">
        <f t="shared" si="18"/>
        <v>278480371.2</v>
      </c>
      <c r="M24" s="22">
        <f t="shared" si="18"/>
        <v>278480371.2</v>
      </c>
      <c r="N24" s="22">
        <f t="shared" si="18"/>
        <v>306328408.3</v>
      </c>
      <c r="O24" s="22">
        <f t="shared" si="18"/>
        <v>334176445.4</v>
      </c>
      <c r="P24" s="22">
        <f t="shared" si="19"/>
        <v>2784803714</v>
      </c>
    </row>
    <row r="25">
      <c r="A25" s="9" t="s">
        <v>205</v>
      </c>
      <c r="B25" s="9"/>
      <c r="C25" s="56">
        <f>C23+C24</f>
        <v>1</v>
      </c>
      <c r="D25" s="36">
        <f t="shared" ref="D25:O25" si="20">$AC$13*D22</f>
        <v>445568593.9</v>
      </c>
      <c r="E25" s="36">
        <f t="shared" si="20"/>
        <v>556960742.4</v>
      </c>
      <c r="F25" s="36">
        <f t="shared" si="20"/>
        <v>668352890.8</v>
      </c>
      <c r="G25" s="36">
        <f t="shared" si="20"/>
        <v>779745039.3</v>
      </c>
      <c r="H25" s="37">
        <f t="shared" si="20"/>
        <v>891137187.8</v>
      </c>
      <c r="I25" s="36">
        <f t="shared" si="20"/>
        <v>1002529336</v>
      </c>
      <c r="J25" s="36">
        <f t="shared" si="20"/>
        <v>1002529336</v>
      </c>
      <c r="K25" s="36">
        <f t="shared" si="20"/>
        <v>1002529336</v>
      </c>
      <c r="L25" s="36">
        <f t="shared" si="20"/>
        <v>1113921485</v>
      </c>
      <c r="M25" s="36">
        <f t="shared" si="20"/>
        <v>1113921485</v>
      </c>
      <c r="N25" s="36">
        <f t="shared" si="20"/>
        <v>1225313633</v>
      </c>
      <c r="O25" s="39">
        <f t="shared" si="20"/>
        <v>1336705782</v>
      </c>
      <c r="P25" s="39">
        <f>SUM(D25:O25)</f>
        <v>11139214847</v>
      </c>
    </row>
    <row r="26">
      <c r="D26" s="52"/>
      <c r="E26" s="22"/>
      <c r="F26" s="22"/>
      <c r="G26" s="22"/>
      <c r="H26" s="22"/>
      <c r="I26" s="22"/>
      <c r="J26" s="22"/>
      <c r="K26" s="22"/>
      <c r="L26" s="22"/>
      <c r="M26" s="22"/>
      <c r="N26" s="22"/>
      <c r="O26" s="22"/>
      <c r="P26" s="22"/>
      <c r="Q26" s="22"/>
    </row>
    <row r="27">
      <c r="D27" s="22"/>
    </row>
    <row r="28">
      <c r="A28" s="41" t="s">
        <v>33</v>
      </c>
      <c r="B28" s="9" t="s">
        <v>229</v>
      </c>
      <c r="C28" s="9" t="s">
        <v>242</v>
      </c>
      <c r="D28" s="9" t="s">
        <v>54</v>
      </c>
      <c r="E28" s="9" t="s">
        <v>56</v>
      </c>
      <c r="F28" s="9" t="s">
        <v>58</v>
      </c>
      <c r="G28" s="9" t="s">
        <v>60</v>
      </c>
      <c r="H28" s="9" t="s">
        <v>61</v>
      </c>
      <c r="I28" s="9" t="s">
        <v>62</v>
      </c>
      <c r="J28" s="9" t="s">
        <v>64</v>
      </c>
      <c r="K28" s="9" t="s">
        <v>66</v>
      </c>
      <c r="L28" s="9" t="s">
        <v>67</v>
      </c>
      <c r="M28" s="9" t="s">
        <v>68</v>
      </c>
      <c r="N28" s="9" t="s">
        <v>69</v>
      </c>
      <c r="O28" s="9" t="s">
        <v>71</v>
      </c>
      <c r="P28" s="9" t="s">
        <v>73</v>
      </c>
    </row>
    <row r="29">
      <c r="A29" s="3" t="s">
        <v>232</v>
      </c>
      <c r="B29" s="3">
        <v>1.0</v>
      </c>
      <c r="C29" s="3">
        <v>6.0</v>
      </c>
      <c r="D29" s="22">
        <f t="shared" ref="D29:O29" si="21">D23/6</f>
        <v>55696074.24</v>
      </c>
      <c r="E29" s="22">
        <f t="shared" si="21"/>
        <v>69620092.79</v>
      </c>
      <c r="F29" s="22">
        <f t="shared" si="21"/>
        <v>83544111.35</v>
      </c>
      <c r="G29" s="22">
        <f t="shared" si="21"/>
        <v>97468129.91</v>
      </c>
      <c r="H29" s="22">
        <f t="shared" si="21"/>
        <v>111392148.5</v>
      </c>
      <c r="I29" s="22">
        <f t="shared" si="21"/>
        <v>125316167</v>
      </c>
      <c r="J29" s="22">
        <f t="shared" si="21"/>
        <v>125316167</v>
      </c>
      <c r="K29" s="22">
        <f t="shared" si="21"/>
        <v>125316167</v>
      </c>
      <c r="L29" s="22">
        <f t="shared" si="21"/>
        <v>139240185.6</v>
      </c>
      <c r="M29" s="22">
        <f t="shared" si="21"/>
        <v>139240185.6</v>
      </c>
      <c r="N29" s="22">
        <f t="shared" si="21"/>
        <v>153164204.1</v>
      </c>
      <c r="O29" s="22">
        <f t="shared" si="21"/>
        <v>167088222.7</v>
      </c>
      <c r="P29" s="22">
        <f t="shared" ref="P29:P30" si="23">SUM(B29:O29)</f>
        <v>1392401863</v>
      </c>
    </row>
    <row r="30">
      <c r="A30" s="3" t="s">
        <v>235</v>
      </c>
      <c r="B30" s="3">
        <v>2.0</v>
      </c>
      <c r="C30" s="3">
        <v>4.0</v>
      </c>
      <c r="D30" s="22">
        <f t="shared" ref="D30:O30" si="22">D24/4</f>
        <v>27848037.12</v>
      </c>
      <c r="E30" s="22">
        <f t="shared" si="22"/>
        <v>34810046.4</v>
      </c>
      <c r="F30" s="22">
        <f t="shared" si="22"/>
        <v>41772055.68</v>
      </c>
      <c r="G30" s="22">
        <f t="shared" si="22"/>
        <v>48734064.96</v>
      </c>
      <c r="H30" s="22">
        <f t="shared" si="22"/>
        <v>55696074.24</v>
      </c>
      <c r="I30" s="22">
        <f t="shared" si="22"/>
        <v>62658083.51</v>
      </c>
      <c r="J30" s="22">
        <f t="shared" si="22"/>
        <v>62658083.51</v>
      </c>
      <c r="K30" s="22">
        <f t="shared" si="22"/>
        <v>62658083.51</v>
      </c>
      <c r="L30" s="22">
        <f t="shared" si="22"/>
        <v>69620092.79</v>
      </c>
      <c r="M30" s="22">
        <f t="shared" si="22"/>
        <v>69620092.79</v>
      </c>
      <c r="N30" s="22">
        <f t="shared" si="22"/>
        <v>76582102.07</v>
      </c>
      <c r="O30" s="22">
        <f t="shared" si="22"/>
        <v>83544111.35</v>
      </c>
      <c r="P30" s="22">
        <f t="shared" si="23"/>
        <v>696200933.9</v>
      </c>
    </row>
    <row r="31">
      <c r="A31" s="9" t="s">
        <v>205</v>
      </c>
      <c r="B31" s="9"/>
      <c r="C31" s="36">
        <f>C29+C30</f>
        <v>10</v>
      </c>
      <c r="D31" s="36"/>
      <c r="E31" s="36"/>
      <c r="F31" s="36"/>
      <c r="G31" s="36"/>
      <c r="H31" s="36"/>
      <c r="I31" s="36"/>
      <c r="J31" s="36"/>
      <c r="K31" s="36"/>
      <c r="L31" s="36"/>
      <c r="M31" s="36"/>
      <c r="N31" s="36"/>
      <c r="O31" s="36"/>
      <c r="P31" s="39">
        <f>SUM(D31:O31)</f>
        <v>0</v>
      </c>
    </row>
  </sheetData>
  <mergeCells count="3">
    <mergeCell ref="A13:C13"/>
    <mergeCell ref="A16:C16"/>
    <mergeCell ref="A21:C2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11.25"/>
  </cols>
  <sheetData>
    <row r="1">
      <c r="A1" s="3" t="s">
        <v>80</v>
      </c>
      <c r="B1" s="3" t="s">
        <v>30</v>
      </c>
      <c r="C1" s="3" t="s">
        <v>81</v>
      </c>
      <c r="D1" s="3" t="s">
        <v>32</v>
      </c>
      <c r="E1" s="3" t="s">
        <v>82</v>
      </c>
      <c r="F1" s="3" t="s">
        <v>34</v>
      </c>
      <c r="G1" s="3" t="s">
        <v>83</v>
      </c>
      <c r="H1" s="3" t="s">
        <v>36</v>
      </c>
      <c r="I1" s="3" t="s">
        <v>87</v>
      </c>
      <c r="J1" s="3" t="s">
        <v>38</v>
      </c>
      <c r="K1" s="3" t="s">
        <v>88</v>
      </c>
      <c r="L1" s="3" t="s">
        <v>40</v>
      </c>
      <c r="M1" s="3" t="s">
        <v>89</v>
      </c>
      <c r="N1" s="3" t="s">
        <v>41</v>
      </c>
      <c r="O1" s="3" t="s">
        <v>90</v>
      </c>
      <c r="P1" s="3" t="s">
        <v>42</v>
      </c>
      <c r="Q1" s="3" t="s">
        <v>91</v>
      </c>
      <c r="R1" s="3" t="s">
        <v>44</v>
      </c>
      <c r="S1" s="3" t="s">
        <v>92</v>
      </c>
      <c r="T1" s="3" t="s">
        <v>47</v>
      </c>
      <c r="U1" s="3" t="s">
        <v>93</v>
      </c>
      <c r="V1" s="3" t="s">
        <v>49</v>
      </c>
      <c r="W1" s="3" t="s">
        <v>94</v>
      </c>
      <c r="X1" s="3" t="s">
        <v>51</v>
      </c>
    </row>
    <row r="2">
      <c r="A2" s="3" t="s">
        <v>95</v>
      </c>
      <c r="B2" s="13">
        <v>7000000.0</v>
      </c>
      <c r="C2" s="3" t="s">
        <v>95</v>
      </c>
      <c r="D2" s="15">
        <v>8470588.0</v>
      </c>
      <c r="E2" s="3" t="s">
        <v>95</v>
      </c>
      <c r="F2" s="16">
        <v>3036145.0</v>
      </c>
      <c r="G2" s="3" t="s">
        <v>95</v>
      </c>
      <c r="H2" s="16">
        <v>1714286.0</v>
      </c>
      <c r="I2" s="3" t="s">
        <v>95</v>
      </c>
      <c r="J2" s="18">
        <v>1281690.0</v>
      </c>
      <c r="K2" s="3" t="s">
        <v>95</v>
      </c>
      <c r="L2" s="19">
        <v>4290650.0</v>
      </c>
      <c r="M2" s="3" t="s">
        <v>95</v>
      </c>
      <c r="N2" s="18">
        <v>3.0172414E7</v>
      </c>
      <c r="O2" s="3" t="s">
        <v>95</v>
      </c>
      <c r="P2" s="18"/>
      <c r="Q2" s="3" t="s">
        <v>95</v>
      </c>
      <c r="R2" s="21"/>
      <c r="S2" s="3" t="s">
        <v>95</v>
      </c>
      <c r="T2" s="21"/>
      <c r="U2" s="3" t="s">
        <v>95</v>
      </c>
      <c r="V2" s="21"/>
      <c r="W2" s="3" t="s">
        <v>95</v>
      </c>
      <c r="X2" s="21"/>
    </row>
    <row r="3">
      <c r="A3" s="3" t="s">
        <v>96</v>
      </c>
      <c r="B3" s="13">
        <v>2800000.0</v>
      </c>
      <c r="C3" s="3" t="s">
        <v>96</v>
      </c>
      <c r="D3" s="15">
        <v>5647059.0</v>
      </c>
      <c r="E3" s="3" t="s">
        <v>96</v>
      </c>
      <c r="F3" s="16">
        <v>6072289.0</v>
      </c>
      <c r="G3" s="3" t="s">
        <v>96</v>
      </c>
      <c r="H3" s="16">
        <v>1.0285714E7</v>
      </c>
      <c r="I3" s="3" t="s">
        <v>96</v>
      </c>
      <c r="J3" s="18">
        <v>6408451.0</v>
      </c>
      <c r="K3" s="3" t="s">
        <v>96</v>
      </c>
      <c r="L3" s="19">
        <v>1.4953236E7</v>
      </c>
      <c r="M3" s="3" t="s">
        <v>96</v>
      </c>
      <c r="N3" s="18">
        <v>8620690.0</v>
      </c>
      <c r="O3" s="3" t="s">
        <v>96</v>
      </c>
      <c r="P3" s="18"/>
      <c r="Q3" s="3" t="s">
        <v>96</v>
      </c>
      <c r="R3" s="21"/>
      <c r="S3" s="3" t="s">
        <v>96</v>
      </c>
      <c r="T3" s="21"/>
      <c r="U3" s="3" t="s">
        <v>96</v>
      </c>
      <c r="V3" s="21"/>
      <c r="W3" s="3" t="s">
        <v>96</v>
      </c>
      <c r="X3" s="21"/>
    </row>
    <row r="4">
      <c r="A4" s="3" t="s">
        <v>97</v>
      </c>
      <c r="B4" s="13">
        <v>6300000.0</v>
      </c>
      <c r="C4" s="3" t="s">
        <v>97</v>
      </c>
      <c r="D4" s="15">
        <v>8470588.0</v>
      </c>
      <c r="E4" s="3" t="s">
        <v>97</v>
      </c>
      <c r="F4" s="16">
        <v>9108434.0</v>
      </c>
      <c r="G4" s="3" t="s">
        <v>97</v>
      </c>
      <c r="H4" s="16">
        <v>5142857.0</v>
      </c>
      <c r="I4" s="3" t="s">
        <v>97</v>
      </c>
      <c r="J4" s="18">
        <v>7690141.0</v>
      </c>
      <c r="K4" s="3" t="s">
        <v>97</v>
      </c>
      <c r="L4" s="19">
        <v>3817905.0</v>
      </c>
      <c r="M4" s="3" t="s">
        <v>97</v>
      </c>
      <c r="N4" s="18">
        <v>3.8793103E7</v>
      </c>
      <c r="O4" s="3" t="s">
        <v>97</v>
      </c>
      <c r="P4" s="18"/>
      <c r="Q4" s="3" t="s">
        <v>97</v>
      </c>
      <c r="R4" s="21"/>
      <c r="S4" s="3" t="s">
        <v>97</v>
      </c>
      <c r="T4" s="21"/>
      <c r="U4" s="3" t="s">
        <v>97</v>
      </c>
      <c r="V4" s="21"/>
      <c r="W4" s="3" t="s">
        <v>97</v>
      </c>
      <c r="X4" s="21"/>
    </row>
    <row r="5">
      <c r="A5" s="3" t="s">
        <v>98</v>
      </c>
      <c r="B5" s="13">
        <v>700000.0</v>
      </c>
      <c r="C5" s="3" t="s">
        <v>98</v>
      </c>
      <c r="D5" s="15">
        <v>5647059.0</v>
      </c>
      <c r="E5" s="3" t="s">
        <v>98</v>
      </c>
      <c r="F5" s="16">
        <v>6072289.0</v>
      </c>
      <c r="G5" s="3" t="s">
        <v>98</v>
      </c>
      <c r="H5" s="16">
        <v>5142857.0</v>
      </c>
      <c r="I5" s="3" t="s">
        <v>98</v>
      </c>
      <c r="J5" s="18">
        <v>2563380.0</v>
      </c>
      <c r="K5" s="3" t="s">
        <v>98</v>
      </c>
      <c r="L5" s="19">
        <v>1214584.0</v>
      </c>
      <c r="M5" s="3" t="s">
        <v>98</v>
      </c>
      <c r="N5" s="18">
        <v>2.1551724E7</v>
      </c>
      <c r="O5" s="3" t="s">
        <v>98</v>
      </c>
      <c r="P5" s="18"/>
      <c r="Q5" s="3" t="s">
        <v>98</v>
      </c>
      <c r="R5" s="21"/>
      <c r="S5" s="3" t="s">
        <v>98</v>
      </c>
      <c r="T5" s="21"/>
      <c r="U5" s="3" t="s">
        <v>98</v>
      </c>
      <c r="V5" s="21"/>
      <c r="W5" s="3" t="s">
        <v>98</v>
      </c>
      <c r="X5" s="21"/>
    </row>
    <row r="6">
      <c r="A6" s="3" t="s">
        <v>99</v>
      </c>
      <c r="B6" s="13">
        <v>4200000.0</v>
      </c>
      <c r="C6" s="3" t="s">
        <v>99</v>
      </c>
      <c r="D6" s="15">
        <v>9411765.0</v>
      </c>
      <c r="E6" s="3" t="s">
        <v>99</v>
      </c>
      <c r="F6" s="16">
        <v>3036145.0</v>
      </c>
      <c r="G6" s="3" t="s">
        <v>99</v>
      </c>
      <c r="H6" s="16">
        <v>1714286.0</v>
      </c>
      <c r="I6" s="3" t="s">
        <v>99</v>
      </c>
      <c r="J6" s="18">
        <v>2563380.0</v>
      </c>
      <c r="K6" s="3" t="s">
        <v>99</v>
      </c>
      <c r="L6" s="19">
        <v>1453277.0</v>
      </c>
      <c r="M6" s="3" t="s">
        <v>99</v>
      </c>
      <c r="N6" s="18">
        <v>0.0</v>
      </c>
      <c r="O6" s="3" t="s">
        <v>99</v>
      </c>
      <c r="P6" s="18"/>
      <c r="Q6" s="3" t="s">
        <v>99</v>
      </c>
      <c r="R6" s="21"/>
      <c r="S6" s="3" t="s">
        <v>99</v>
      </c>
      <c r="T6" s="21"/>
      <c r="U6" s="3" t="s">
        <v>99</v>
      </c>
      <c r="V6" s="21"/>
      <c r="W6" s="3" t="s">
        <v>99</v>
      </c>
      <c r="X6" s="21"/>
    </row>
    <row r="7">
      <c r="A7" s="3" t="s">
        <v>101</v>
      </c>
      <c r="B7" s="13">
        <v>7000000.0</v>
      </c>
      <c r="C7" s="3" t="s">
        <v>101</v>
      </c>
      <c r="D7" s="15">
        <v>9411765.0</v>
      </c>
      <c r="E7" s="3" t="s">
        <v>101</v>
      </c>
      <c r="F7" s="16">
        <v>4048193.0</v>
      </c>
      <c r="G7" s="3" t="s">
        <v>101</v>
      </c>
      <c r="H7" s="16">
        <v>1714286.0</v>
      </c>
      <c r="I7" s="3" t="s">
        <v>101</v>
      </c>
      <c r="J7" s="18">
        <v>7690141.0</v>
      </c>
      <c r="K7" s="3" t="s">
        <v>101</v>
      </c>
      <c r="L7" s="19">
        <v>1.3499019E7</v>
      </c>
      <c r="M7" s="3" t="s">
        <v>101</v>
      </c>
      <c r="N7" s="18">
        <v>4310345.0</v>
      </c>
      <c r="O7" s="3" t="s">
        <v>101</v>
      </c>
      <c r="P7" s="18"/>
      <c r="Q7" s="3" t="s">
        <v>101</v>
      </c>
      <c r="R7" s="21"/>
      <c r="S7" s="3" t="s">
        <v>101</v>
      </c>
      <c r="T7" s="21"/>
      <c r="U7" s="3" t="s">
        <v>101</v>
      </c>
      <c r="V7" s="21"/>
      <c r="W7" s="3" t="s">
        <v>101</v>
      </c>
      <c r="X7" s="21"/>
    </row>
    <row r="8">
      <c r="A8" s="3" t="s">
        <v>106</v>
      </c>
      <c r="B8" s="13">
        <v>1400000.0</v>
      </c>
      <c r="C8" s="3" t="s">
        <v>106</v>
      </c>
      <c r="D8" s="15">
        <v>9411765.0</v>
      </c>
      <c r="E8" s="3" t="s">
        <v>106</v>
      </c>
      <c r="F8" s="16">
        <v>9108434.0</v>
      </c>
      <c r="G8" s="3" t="s">
        <v>106</v>
      </c>
      <c r="H8" s="16">
        <v>5142857.0</v>
      </c>
      <c r="I8" s="3" t="s">
        <v>106</v>
      </c>
      <c r="J8" s="18">
        <v>7690141.0</v>
      </c>
      <c r="K8" s="3" t="s">
        <v>106</v>
      </c>
      <c r="L8" s="19">
        <v>5193569.0</v>
      </c>
      <c r="M8" s="3" t="s">
        <v>106</v>
      </c>
      <c r="N8" s="18">
        <v>0.0</v>
      </c>
      <c r="O8" s="3" t="s">
        <v>106</v>
      </c>
      <c r="P8" s="18"/>
      <c r="Q8" s="3" t="s">
        <v>106</v>
      </c>
      <c r="R8" s="21"/>
      <c r="S8" s="3" t="s">
        <v>106</v>
      </c>
      <c r="T8" s="21"/>
      <c r="U8" s="3" t="s">
        <v>106</v>
      </c>
      <c r="V8" s="21"/>
      <c r="W8" s="3" t="s">
        <v>106</v>
      </c>
      <c r="X8" s="21"/>
    </row>
    <row r="9">
      <c r="A9" s="3" t="s">
        <v>107</v>
      </c>
      <c r="B9" s="13">
        <v>5600000.0</v>
      </c>
      <c r="C9" s="3" t="s">
        <v>107</v>
      </c>
      <c r="D9" s="15">
        <v>941176.0</v>
      </c>
      <c r="E9" s="3" t="s">
        <v>107</v>
      </c>
      <c r="F9" s="16">
        <v>4048193.0</v>
      </c>
      <c r="G9" s="3" t="s">
        <v>107</v>
      </c>
      <c r="H9" s="16">
        <v>1714286.0</v>
      </c>
      <c r="I9" s="3" t="s">
        <v>107</v>
      </c>
      <c r="J9" s="18">
        <v>1.0253521E7</v>
      </c>
      <c r="K9" s="3" t="s">
        <v>107</v>
      </c>
      <c r="L9" s="19">
        <v>2488250.0</v>
      </c>
      <c r="M9" s="3" t="s">
        <v>107</v>
      </c>
      <c r="N9" s="18">
        <v>4.3103448E7</v>
      </c>
      <c r="O9" s="3" t="s">
        <v>107</v>
      </c>
      <c r="P9" s="18"/>
      <c r="Q9" s="3" t="s">
        <v>107</v>
      </c>
      <c r="R9" s="21"/>
      <c r="S9" s="3" t="s">
        <v>107</v>
      </c>
      <c r="T9" s="21"/>
      <c r="U9" s="3" t="s">
        <v>107</v>
      </c>
      <c r="V9" s="21"/>
      <c r="W9" s="3" t="s">
        <v>107</v>
      </c>
      <c r="X9" s="21"/>
    </row>
    <row r="10">
      <c r="A10" s="3" t="s">
        <v>108</v>
      </c>
      <c r="B10" s="13">
        <v>4900000.0</v>
      </c>
      <c r="C10" s="3" t="s">
        <v>108</v>
      </c>
      <c r="D10" s="15">
        <v>7529412.0</v>
      </c>
      <c r="E10" s="3" t="s">
        <v>108</v>
      </c>
      <c r="F10" s="16">
        <v>6072289.0</v>
      </c>
      <c r="G10" s="3" t="s">
        <v>108</v>
      </c>
      <c r="H10" s="16">
        <v>3428571.0</v>
      </c>
      <c r="I10" s="3" t="s">
        <v>108</v>
      </c>
      <c r="J10" s="18">
        <v>1.2816901E7</v>
      </c>
      <c r="K10" s="3" t="s">
        <v>108</v>
      </c>
      <c r="L10" s="19">
        <v>1.1944937E7</v>
      </c>
      <c r="M10" s="3" t="s">
        <v>108</v>
      </c>
      <c r="N10" s="18">
        <v>3.0172414E7</v>
      </c>
      <c r="O10" s="3" t="s">
        <v>108</v>
      </c>
      <c r="P10" s="18"/>
      <c r="Q10" s="3" t="s">
        <v>108</v>
      </c>
      <c r="R10" s="21"/>
      <c r="S10" s="3" t="s">
        <v>108</v>
      </c>
      <c r="T10" s="21"/>
      <c r="U10" s="3" t="s">
        <v>108</v>
      </c>
      <c r="V10" s="21"/>
      <c r="W10" s="3" t="s">
        <v>108</v>
      </c>
      <c r="X10" s="21"/>
    </row>
    <row r="11">
      <c r="A11" s="3" t="s">
        <v>112</v>
      </c>
      <c r="B11" s="13">
        <v>4200000.0</v>
      </c>
      <c r="C11" s="3" t="s">
        <v>112</v>
      </c>
      <c r="D11" s="15">
        <v>5647059.0</v>
      </c>
      <c r="E11" s="3" t="s">
        <v>112</v>
      </c>
      <c r="F11" s="16">
        <v>9108434.0</v>
      </c>
      <c r="G11" s="3" t="s">
        <v>112</v>
      </c>
      <c r="H11" s="16">
        <v>1.2E7</v>
      </c>
      <c r="I11" s="3" t="s">
        <v>112</v>
      </c>
      <c r="J11" s="18">
        <v>1.1535211E7</v>
      </c>
      <c r="K11" s="3" t="s">
        <v>112</v>
      </c>
      <c r="L11" s="19">
        <v>1.3824614E7</v>
      </c>
      <c r="M11" s="3" t="s">
        <v>112</v>
      </c>
      <c r="N11" s="18">
        <v>4.3103448E7</v>
      </c>
      <c r="O11" s="3" t="s">
        <v>112</v>
      </c>
      <c r="P11" s="18"/>
      <c r="Q11" s="3" t="s">
        <v>112</v>
      </c>
      <c r="R11" s="21"/>
      <c r="S11" s="3" t="s">
        <v>112</v>
      </c>
      <c r="T11" s="21"/>
      <c r="U11" s="3" t="s">
        <v>112</v>
      </c>
      <c r="V11" s="21"/>
      <c r="W11" s="3" t="s">
        <v>112</v>
      </c>
      <c r="X11" s="21"/>
    </row>
    <row r="12">
      <c r="A12" s="3" t="s">
        <v>148</v>
      </c>
      <c r="B12" s="13">
        <v>4900000.0</v>
      </c>
      <c r="C12" s="3" t="s">
        <v>148</v>
      </c>
      <c r="D12" s="15">
        <v>941176.0</v>
      </c>
      <c r="E12" s="3" t="s">
        <v>148</v>
      </c>
      <c r="F12" s="16">
        <v>1.0120482E7</v>
      </c>
      <c r="G12" s="3" t="s">
        <v>148</v>
      </c>
      <c r="H12" s="16">
        <v>1.3714286E7</v>
      </c>
      <c r="I12" s="3" t="s">
        <v>148</v>
      </c>
      <c r="J12" s="18">
        <v>5126761.0</v>
      </c>
      <c r="K12" s="3" t="s">
        <v>148</v>
      </c>
      <c r="L12" s="19">
        <v>5768106.0</v>
      </c>
      <c r="M12" s="3" t="s">
        <v>148</v>
      </c>
      <c r="N12" s="18">
        <v>8620690.0</v>
      </c>
      <c r="O12" s="3" t="s">
        <v>148</v>
      </c>
      <c r="P12" s="18"/>
      <c r="Q12" s="3" t="s">
        <v>148</v>
      </c>
      <c r="R12" s="21"/>
      <c r="S12" s="3" t="s">
        <v>148</v>
      </c>
      <c r="T12" s="21"/>
      <c r="U12" s="3" t="s">
        <v>148</v>
      </c>
      <c r="V12" s="21"/>
      <c r="W12" s="3" t="s">
        <v>148</v>
      </c>
      <c r="X12" s="21"/>
    </row>
    <row r="13">
      <c r="A13" s="3" t="s">
        <v>163</v>
      </c>
      <c r="B13" s="13">
        <v>2800000.0</v>
      </c>
      <c r="C13" s="3" t="s">
        <v>163</v>
      </c>
      <c r="D13" s="15">
        <v>1882353.0</v>
      </c>
      <c r="E13" s="3" t="s">
        <v>163</v>
      </c>
      <c r="F13" s="16">
        <v>9108434.0</v>
      </c>
      <c r="G13" s="3" t="s">
        <v>163</v>
      </c>
      <c r="H13" s="16">
        <v>1.3714286E7</v>
      </c>
      <c r="I13" s="3" t="s">
        <v>163</v>
      </c>
      <c r="J13" s="18">
        <v>1.1535211E7</v>
      </c>
      <c r="K13" s="3" t="s">
        <v>163</v>
      </c>
      <c r="L13" s="19">
        <v>1.4061049E7</v>
      </c>
      <c r="M13" s="3" t="s">
        <v>163</v>
      </c>
      <c r="N13" s="18">
        <v>0.0</v>
      </c>
      <c r="O13" s="3" t="s">
        <v>163</v>
      </c>
      <c r="P13" s="18"/>
      <c r="Q13" s="3" t="s">
        <v>163</v>
      </c>
      <c r="R13" s="21"/>
      <c r="S13" s="3" t="s">
        <v>163</v>
      </c>
      <c r="T13" s="21"/>
      <c r="U13" s="3" t="s">
        <v>163</v>
      </c>
      <c r="V13" s="21"/>
      <c r="W13" s="3" t="s">
        <v>163</v>
      </c>
      <c r="X13" s="21"/>
    </row>
    <row r="14">
      <c r="A14" s="3" t="s">
        <v>176</v>
      </c>
      <c r="B14" s="13">
        <v>4200000.0</v>
      </c>
      <c r="C14" s="3" t="s">
        <v>176</v>
      </c>
      <c r="D14" s="15">
        <v>6588235.0</v>
      </c>
      <c r="E14" s="3" t="s">
        <v>176</v>
      </c>
      <c r="F14" s="16">
        <v>5060241.0</v>
      </c>
      <c r="G14" s="3" t="s">
        <v>176</v>
      </c>
      <c r="H14" s="16">
        <v>8571429.0</v>
      </c>
      <c r="I14" s="3" t="s">
        <v>176</v>
      </c>
      <c r="J14" s="18">
        <v>3845070.0</v>
      </c>
      <c r="K14" s="3" t="s">
        <v>176</v>
      </c>
      <c r="L14" s="19">
        <v>4295010.0</v>
      </c>
      <c r="M14" s="3" t="s">
        <v>176</v>
      </c>
      <c r="N14" s="18">
        <v>2.1551724E7</v>
      </c>
      <c r="O14" s="3" t="s">
        <v>176</v>
      </c>
      <c r="P14" s="18"/>
      <c r="Q14" s="3" t="s">
        <v>176</v>
      </c>
      <c r="R14" s="21"/>
      <c r="S14" s="3" t="s">
        <v>176</v>
      </c>
      <c r="T14" s="21"/>
      <c r="U14" s="3" t="s">
        <v>176</v>
      </c>
      <c r="V14" s="21"/>
      <c r="W14" s="3" t="s">
        <v>176</v>
      </c>
      <c r="X14" s="21"/>
    </row>
    <row r="15">
      <c r="A15" s="3" t="s">
        <v>177</v>
      </c>
      <c r="B15" s="26">
        <v>5569607.423518381</v>
      </c>
      <c r="C15" s="27" t="s">
        <v>177</v>
      </c>
      <c r="D15" s="26">
        <v>5569607.423518382</v>
      </c>
      <c r="E15" s="27" t="s">
        <v>177</v>
      </c>
      <c r="F15" s="26">
        <v>1.1139214847036762E7</v>
      </c>
      <c r="G15" s="27" t="s">
        <v>177</v>
      </c>
      <c r="H15" s="26">
        <v>9097025.458413359</v>
      </c>
      <c r="I15" s="27" t="s">
        <v>177</v>
      </c>
      <c r="J15" s="26">
        <v>8168757.554493627</v>
      </c>
      <c r="K15" s="27" t="s">
        <v>177</v>
      </c>
      <c r="L15" s="26">
        <v>2.0886027838193934E7</v>
      </c>
      <c r="M15" s="27" t="s">
        <v>177</v>
      </c>
      <c r="N15" s="26">
        <v>1.9215145611138415E7</v>
      </c>
      <c r="O15" s="27" t="s">
        <v>177</v>
      </c>
      <c r="P15" s="21"/>
      <c r="Q15" s="27" t="s">
        <v>177</v>
      </c>
      <c r="R15" s="21"/>
      <c r="S15" s="27" t="s">
        <v>177</v>
      </c>
      <c r="T15" s="21"/>
      <c r="U15" s="27" t="s">
        <v>177</v>
      </c>
      <c r="V15" s="21"/>
      <c r="W15" s="27" t="s">
        <v>177</v>
      </c>
      <c r="X15" s="21"/>
    </row>
    <row r="16">
      <c r="A16" s="3" t="s">
        <v>180</v>
      </c>
      <c r="B16" s="26">
        <v>1.3924018558795953E7</v>
      </c>
      <c r="C16" s="3" t="s">
        <v>180</v>
      </c>
      <c r="D16" s="26">
        <v>1.3924018558795955E7</v>
      </c>
      <c r="E16" s="3" t="s">
        <v>180</v>
      </c>
      <c r="F16" s="26">
        <v>2.7848037117591906E7</v>
      </c>
      <c r="G16" s="3" t="s">
        <v>180</v>
      </c>
      <c r="H16" s="26">
        <v>2.2742563646033395E7</v>
      </c>
      <c r="I16" s="3" t="s">
        <v>180</v>
      </c>
      <c r="J16" s="26">
        <v>2.0421893886234067E7</v>
      </c>
      <c r="K16" s="3" t="s">
        <v>180</v>
      </c>
      <c r="L16" s="26">
        <v>5.221506959548483E7</v>
      </c>
      <c r="M16" s="3" t="s">
        <v>180</v>
      </c>
      <c r="N16" s="26">
        <v>4.803786402784604E7</v>
      </c>
      <c r="O16" s="3" t="s">
        <v>180</v>
      </c>
      <c r="P16" s="21"/>
      <c r="Q16" s="3" t="s">
        <v>180</v>
      </c>
      <c r="R16" s="21"/>
      <c r="S16" s="3" t="s">
        <v>180</v>
      </c>
      <c r="T16" s="21"/>
      <c r="U16" s="3" t="s">
        <v>180</v>
      </c>
      <c r="V16" s="21"/>
      <c r="W16" s="3" t="s">
        <v>180</v>
      </c>
      <c r="X16" s="21"/>
    </row>
    <row r="17">
      <c r="A17" s="3" t="s">
        <v>181</v>
      </c>
      <c r="B17" s="26">
        <v>5569607.423518381</v>
      </c>
      <c r="C17" s="3" t="s">
        <v>181</v>
      </c>
      <c r="D17" s="26">
        <v>5569607.423518382</v>
      </c>
      <c r="E17" s="3" t="s">
        <v>181</v>
      </c>
      <c r="F17" s="26">
        <v>1.1139214847036762E7</v>
      </c>
      <c r="G17" s="3" t="s">
        <v>181</v>
      </c>
      <c r="H17" s="26">
        <v>9097025.458413359</v>
      </c>
      <c r="I17" s="3" t="s">
        <v>181</v>
      </c>
      <c r="J17" s="26">
        <v>8168757.554493627</v>
      </c>
      <c r="K17" s="3" t="s">
        <v>181</v>
      </c>
      <c r="L17" s="26">
        <v>2.0886027838193934E7</v>
      </c>
      <c r="M17" s="3" t="s">
        <v>181</v>
      </c>
      <c r="N17" s="26">
        <v>1.9215145611138415E7</v>
      </c>
      <c r="O17" s="3" t="s">
        <v>181</v>
      </c>
      <c r="P17" s="21"/>
      <c r="Q17" s="3" t="s">
        <v>181</v>
      </c>
      <c r="R17" s="21"/>
      <c r="S17" s="3" t="s">
        <v>181</v>
      </c>
      <c r="T17" s="21"/>
      <c r="U17" s="3" t="s">
        <v>181</v>
      </c>
      <c r="V17" s="21"/>
      <c r="W17" s="3" t="s">
        <v>181</v>
      </c>
      <c r="X17" s="21"/>
    </row>
    <row r="18">
      <c r="A18" s="3" t="s">
        <v>182</v>
      </c>
      <c r="B18" s="26">
        <v>1392401.8558795953</v>
      </c>
      <c r="C18" s="3" t="s">
        <v>182</v>
      </c>
      <c r="D18" s="26">
        <v>1392401.8558795955</v>
      </c>
      <c r="E18" s="3" t="s">
        <v>182</v>
      </c>
      <c r="F18" s="26">
        <v>2784803.7117591905</v>
      </c>
      <c r="G18" s="3" t="s">
        <v>182</v>
      </c>
      <c r="H18" s="26">
        <v>2274256.3646033397</v>
      </c>
      <c r="I18" s="3" t="s">
        <v>182</v>
      </c>
      <c r="J18" s="26">
        <v>2042189.3886234066</v>
      </c>
      <c r="K18" s="3" t="s">
        <v>182</v>
      </c>
      <c r="L18" s="26">
        <v>5221506.959548484</v>
      </c>
      <c r="M18" s="3" t="s">
        <v>182</v>
      </c>
      <c r="N18" s="26">
        <v>4803786.402784604</v>
      </c>
      <c r="O18" s="3" t="s">
        <v>182</v>
      </c>
      <c r="P18" s="21"/>
      <c r="Q18" s="3" t="s">
        <v>182</v>
      </c>
      <c r="R18" s="21"/>
      <c r="S18" s="3" t="s">
        <v>182</v>
      </c>
      <c r="T18" s="21"/>
      <c r="U18" s="3" t="s">
        <v>182</v>
      </c>
      <c r="V18" s="21"/>
      <c r="W18" s="3" t="s">
        <v>182</v>
      </c>
      <c r="X18" s="21"/>
    </row>
    <row r="19">
      <c r="A19" s="3" t="s">
        <v>183</v>
      </c>
      <c r="B19" s="26">
        <v>1.2531616702916358E7</v>
      </c>
      <c r="C19" s="3" t="s">
        <v>183</v>
      </c>
      <c r="D19" s="26">
        <v>1.253161670291636E7</v>
      </c>
      <c r="E19" s="3" t="s">
        <v>183</v>
      </c>
      <c r="F19" s="26">
        <v>2.5063233405832715E7</v>
      </c>
      <c r="G19" s="3" t="s">
        <v>183</v>
      </c>
      <c r="H19" s="26">
        <v>2.0468307281430054E7</v>
      </c>
      <c r="I19" s="3" t="s">
        <v>183</v>
      </c>
      <c r="J19" s="26">
        <v>1.837970449761066E7</v>
      </c>
      <c r="K19" s="3" t="s">
        <v>183</v>
      </c>
      <c r="L19" s="26">
        <v>4.699356263593635E7</v>
      </c>
      <c r="M19" s="3" t="s">
        <v>183</v>
      </c>
      <c r="N19" s="26">
        <v>4.323407762506143E7</v>
      </c>
      <c r="O19" s="3" t="s">
        <v>183</v>
      </c>
      <c r="P19" s="21"/>
      <c r="Q19" s="3" t="s">
        <v>183</v>
      </c>
      <c r="R19" s="21"/>
      <c r="S19" s="3" t="s">
        <v>183</v>
      </c>
      <c r="T19" s="21"/>
      <c r="U19" s="3" t="s">
        <v>183</v>
      </c>
      <c r="V19" s="21"/>
      <c r="W19" s="3" t="s">
        <v>183</v>
      </c>
      <c r="X19" s="21"/>
    </row>
    <row r="20">
      <c r="A20" s="3" t="s">
        <v>189</v>
      </c>
      <c r="B20" s="26">
        <v>1392401.8558795953</v>
      </c>
      <c r="C20" s="3" t="s">
        <v>189</v>
      </c>
      <c r="D20" s="26">
        <v>1392401.8558795955</v>
      </c>
      <c r="E20" s="3" t="s">
        <v>189</v>
      </c>
      <c r="F20" s="26">
        <v>2784803.7117591905</v>
      </c>
      <c r="G20" s="3" t="s">
        <v>189</v>
      </c>
      <c r="H20" s="26">
        <v>2274256.3646033397</v>
      </c>
      <c r="I20" s="3" t="s">
        <v>189</v>
      </c>
      <c r="J20" s="26">
        <v>2042189.3886234066</v>
      </c>
      <c r="K20" s="3" t="s">
        <v>189</v>
      </c>
      <c r="L20" s="26">
        <v>5221506.959548484</v>
      </c>
      <c r="M20" s="3" t="s">
        <v>189</v>
      </c>
      <c r="N20" s="26">
        <v>4803786.402784604</v>
      </c>
      <c r="O20" s="3" t="s">
        <v>189</v>
      </c>
      <c r="P20" s="21"/>
      <c r="Q20" s="3" t="s">
        <v>189</v>
      </c>
      <c r="R20" s="21"/>
      <c r="S20" s="3" t="s">
        <v>189</v>
      </c>
      <c r="T20" s="21"/>
      <c r="U20" s="3" t="s">
        <v>189</v>
      </c>
      <c r="V20" s="21"/>
      <c r="W20" s="3" t="s">
        <v>189</v>
      </c>
      <c r="X20" s="21"/>
    </row>
    <row r="21">
      <c r="A21" s="3" t="s">
        <v>190</v>
      </c>
      <c r="B21" s="26">
        <v>9746812.991157169</v>
      </c>
      <c r="C21" s="3" t="s">
        <v>190</v>
      </c>
      <c r="D21" s="26">
        <v>9746812.99115717</v>
      </c>
      <c r="E21" s="3" t="s">
        <v>190</v>
      </c>
      <c r="F21" s="26">
        <v>1.9493625982314337E7</v>
      </c>
      <c r="G21" s="3" t="s">
        <v>190</v>
      </c>
      <c r="H21" s="26">
        <v>1.5919794552223377E7</v>
      </c>
      <c r="I21" s="3" t="s">
        <v>190</v>
      </c>
      <c r="J21" s="26">
        <v>1.4295325720363848E7</v>
      </c>
      <c r="K21" s="3" t="s">
        <v>190</v>
      </c>
      <c r="L21" s="26">
        <v>3.655054871683938E7</v>
      </c>
      <c r="M21" s="3" t="s">
        <v>190</v>
      </c>
      <c r="N21" s="26">
        <v>3.362650481949223E7</v>
      </c>
      <c r="O21" s="3" t="s">
        <v>190</v>
      </c>
      <c r="P21" s="21"/>
      <c r="Q21" s="3" t="s">
        <v>190</v>
      </c>
      <c r="R21" s="21"/>
      <c r="S21" s="3" t="s">
        <v>190</v>
      </c>
      <c r="T21" s="21"/>
      <c r="U21" s="3" t="s">
        <v>190</v>
      </c>
      <c r="V21" s="21"/>
      <c r="W21" s="3" t="s">
        <v>190</v>
      </c>
      <c r="X21" s="21"/>
    </row>
    <row r="22">
      <c r="A22" s="3" t="s">
        <v>191</v>
      </c>
      <c r="B22" s="26">
        <v>8354411.135277573</v>
      </c>
      <c r="C22" s="3" t="s">
        <v>191</v>
      </c>
      <c r="D22" s="26">
        <v>8354411.135277574</v>
      </c>
      <c r="E22" s="3" t="s">
        <v>191</v>
      </c>
      <c r="F22" s="26">
        <v>1.6708822270555146E7</v>
      </c>
      <c r="G22" s="3" t="s">
        <v>191</v>
      </c>
      <c r="H22" s="26">
        <v>1.3645538187620038E7</v>
      </c>
      <c r="I22" s="3" t="s">
        <v>191</v>
      </c>
      <c r="J22" s="26">
        <v>1.225313633174044E7</v>
      </c>
      <c r="K22" s="3" t="s">
        <v>191</v>
      </c>
      <c r="L22" s="26">
        <v>3.13290417572909E7</v>
      </c>
      <c r="M22" s="3" t="s">
        <v>191</v>
      </c>
      <c r="N22" s="26">
        <v>2.8822718416707624E7</v>
      </c>
      <c r="O22" s="3" t="s">
        <v>191</v>
      </c>
      <c r="P22" s="21"/>
      <c r="Q22" s="3" t="s">
        <v>191</v>
      </c>
      <c r="R22" s="21"/>
      <c r="S22" s="3" t="s">
        <v>191</v>
      </c>
      <c r="T22" s="21"/>
      <c r="U22" s="3" t="s">
        <v>191</v>
      </c>
      <c r="V22" s="21"/>
      <c r="W22" s="3" t="s">
        <v>191</v>
      </c>
      <c r="X22" s="21"/>
    </row>
    <row r="23">
      <c r="A23" s="3" t="s">
        <v>194</v>
      </c>
      <c r="B23" s="26">
        <v>9746812.991157169</v>
      </c>
      <c r="C23" s="3" t="s">
        <v>194</v>
      </c>
      <c r="D23" s="26">
        <v>9746812.99115717</v>
      </c>
      <c r="E23" s="3" t="s">
        <v>194</v>
      </c>
      <c r="F23" s="26">
        <v>1.9493625982314337E7</v>
      </c>
      <c r="G23" s="3" t="s">
        <v>194</v>
      </c>
      <c r="H23" s="26">
        <v>1.5919794552223377E7</v>
      </c>
      <c r="I23" s="3" t="s">
        <v>194</v>
      </c>
      <c r="J23" s="26">
        <v>1.4295325720363848E7</v>
      </c>
      <c r="K23" s="3" t="s">
        <v>194</v>
      </c>
      <c r="L23" s="26">
        <v>3.655054871683938E7</v>
      </c>
      <c r="M23" s="3" t="s">
        <v>194</v>
      </c>
      <c r="N23" s="26">
        <v>3.362650481949223E7</v>
      </c>
      <c r="O23" s="3" t="s">
        <v>194</v>
      </c>
      <c r="P23" s="21"/>
      <c r="Q23" s="3" t="s">
        <v>194</v>
      </c>
      <c r="R23" s="21"/>
      <c r="S23" s="3" t="s">
        <v>194</v>
      </c>
      <c r="T23" s="21"/>
      <c r="U23" s="3" t="s">
        <v>194</v>
      </c>
      <c r="V23" s="21"/>
      <c r="W23" s="3" t="s">
        <v>194</v>
      </c>
      <c r="X23" s="21"/>
    </row>
    <row r="24">
      <c r="A24" s="3" t="s">
        <v>198</v>
      </c>
      <c r="B24" s="26">
        <v>0.0</v>
      </c>
      <c r="C24" s="3" t="s">
        <v>198</v>
      </c>
      <c r="D24" s="26">
        <v>0.0</v>
      </c>
      <c r="E24" s="3" t="s">
        <v>198</v>
      </c>
      <c r="F24" s="26">
        <v>0.0</v>
      </c>
      <c r="G24" s="3" t="s">
        <v>198</v>
      </c>
      <c r="H24" s="26">
        <v>0.0</v>
      </c>
      <c r="I24" s="3" t="s">
        <v>198</v>
      </c>
      <c r="J24" s="26">
        <v>0.0</v>
      </c>
      <c r="K24" s="3" t="s">
        <v>198</v>
      </c>
      <c r="L24" s="26">
        <v>0.0</v>
      </c>
      <c r="M24" s="3" t="s">
        <v>198</v>
      </c>
      <c r="N24" s="26">
        <v>0.0</v>
      </c>
      <c r="O24" s="3" t="s">
        <v>198</v>
      </c>
      <c r="P24" s="21"/>
      <c r="Q24" s="3" t="s">
        <v>198</v>
      </c>
      <c r="R24" s="21"/>
      <c r="S24" s="3" t="s">
        <v>198</v>
      </c>
      <c r="T24" s="21"/>
      <c r="U24" s="3" t="s">
        <v>198</v>
      </c>
      <c r="V24" s="21"/>
      <c r="W24" s="3" t="s">
        <v>198</v>
      </c>
      <c r="X24" s="21"/>
    </row>
    <row r="25">
      <c r="A25" s="3" t="s">
        <v>199</v>
      </c>
      <c r="B25" s="26">
        <v>1.2531616702916358E7</v>
      </c>
      <c r="C25" s="3" t="s">
        <v>199</v>
      </c>
      <c r="D25" s="26">
        <v>1.253161670291636E7</v>
      </c>
      <c r="E25" s="3" t="s">
        <v>199</v>
      </c>
      <c r="F25" s="26">
        <v>2.5063233405832715E7</v>
      </c>
      <c r="G25" s="3" t="s">
        <v>199</v>
      </c>
      <c r="H25" s="26">
        <v>2.0468307281430054E7</v>
      </c>
      <c r="I25" s="3" t="s">
        <v>199</v>
      </c>
      <c r="J25" s="26">
        <v>1.837970449761066E7</v>
      </c>
      <c r="K25" s="3" t="s">
        <v>199</v>
      </c>
      <c r="L25" s="26">
        <v>4.699356263593635E7</v>
      </c>
      <c r="M25" s="3" t="s">
        <v>199</v>
      </c>
      <c r="N25" s="26">
        <v>4.323407762506143E7</v>
      </c>
      <c r="O25" s="3" t="s">
        <v>199</v>
      </c>
      <c r="P25" s="21"/>
      <c r="Q25" s="3" t="s">
        <v>199</v>
      </c>
      <c r="R25" s="21"/>
      <c r="S25" s="3" t="s">
        <v>199</v>
      </c>
      <c r="T25" s="21"/>
      <c r="U25" s="3" t="s">
        <v>199</v>
      </c>
      <c r="V25" s="21"/>
      <c r="W25" s="3" t="s">
        <v>199</v>
      </c>
      <c r="X25" s="21"/>
    </row>
    <row r="26">
      <c r="A26" s="3" t="s">
        <v>200</v>
      </c>
      <c r="B26" s="26">
        <v>2784803.7117591905</v>
      </c>
      <c r="C26" s="3" t="s">
        <v>200</v>
      </c>
      <c r="D26" s="26">
        <v>2784803.711759191</v>
      </c>
      <c r="E26" s="3" t="s">
        <v>200</v>
      </c>
      <c r="F26" s="26">
        <v>5569607.423518381</v>
      </c>
      <c r="G26" s="3" t="s">
        <v>200</v>
      </c>
      <c r="H26" s="26">
        <v>4548512.729206679</v>
      </c>
      <c r="I26" s="3" t="s">
        <v>200</v>
      </c>
      <c r="J26" s="26">
        <v>4084378.7772468133</v>
      </c>
      <c r="K26" s="3" t="s">
        <v>200</v>
      </c>
      <c r="L26" s="26">
        <v>1.0443013919096967E7</v>
      </c>
      <c r="M26" s="3" t="s">
        <v>200</v>
      </c>
      <c r="N26" s="26">
        <v>9607572.805569207</v>
      </c>
      <c r="O26" s="3" t="s">
        <v>200</v>
      </c>
      <c r="P26" s="21"/>
      <c r="Q26" s="3" t="s">
        <v>200</v>
      </c>
      <c r="R26" s="21"/>
      <c r="S26" s="3" t="s">
        <v>200</v>
      </c>
      <c r="T26" s="21"/>
      <c r="U26" s="3" t="s">
        <v>200</v>
      </c>
      <c r="V26" s="21"/>
      <c r="W26" s="3" t="s">
        <v>200</v>
      </c>
      <c r="X26" s="21"/>
    </row>
    <row r="27">
      <c r="A27" s="3" t="s">
        <v>201</v>
      </c>
      <c r="B27" s="26">
        <v>0.0</v>
      </c>
      <c r="C27" s="3" t="s">
        <v>201</v>
      </c>
      <c r="D27" s="26">
        <v>0.0</v>
      </c>
      <c r="E27" s="3" t="s">
        <v>201</v>
      </c>
      <c r="F27" s="26">
        <v>0.0</v>
      </c>
      <c r="G27" s="3" t="s">
        <v>201</v>
      </c>
      <c r="H27" s="26">
        <v>0.0</v>
      </c>
      <c r="I27" s="3" t="s">
        <v>201</v>
      </c>
      <c r="J27" s="26">
        <v>0.0</v>
      </c>
      <c r="K27" s="3" t="s">
        <v>201</v>
      </c>
      <c r="L27" s="26">
        <v>0.0</v>
      </c>
      <c r="M27" s="3" t="s">
        <v>201</v>
      </c>
      <c r="N27" s="26">
        <v>0.0</v>
      </c>
      <c r="O27" s="3" t="s">
        <v>201</v>
      </c>
      <c r="P27" s="21"/>
      <c r="Q27" s="3" t="s">
        <v>201</v>
      </c>
      <c r="R27" s="21"/>
      <c r="S27" s="3" t="s">
        <v>201</v>
      </c>
      <c r="T27" s="21"/>
      <c r="U27" s="3" t="s">
        <v>201</v>
      </c>
      <c r="V27" s="21"/>
      <c r="W27" s="3" t="s">
        <v>201</v>
      </c>
      <c r="X27" s="21"/>
    </row>
    <row r="28">
      <c r="A28" s="32" t="s">
        <v>202</v>
      </c>
      <c r="B28" s="26">
        <v>6426470.104059671</v>
      </c>
      <c r="C28" s="32" t="s">
        <v>202</v>
      </c>
      <c r="D28" s="34">
        <v>6426470.104059673</v>
      </c>
      <c r="E28" s="32" t="s">
        <v>202</v>
      </c>
      <c r="F28" s="34">
        <v>1.2852940208119342E7</v>
      </c>
      <c r="G28" s="32" t="s">
        <v>202</v>
      </c>
      <c r="H28" s="26">
        <v>1.0496567836630799E7</v>
      </c>
      <c r="I28" s="32" t="s">
        <v>202</v>
      </c>
      <c r="J28" s="26">
        <v>9425489.485954186</v>
      </c>
      <c r="K28" s="32" t="s">
        <v>202</v>
      </c>
      <c r="L28" s="26">
        <v>2.409926289022377E7</v>
      </c>
      <c r="M28" s="32" t="s">
        <v>202</v>
      </c>
      <c r="N28" s="26">
        <v>2.2171321859005865E7</v>
      </c>
      <c r="O28" s="32" t="s">
        <v>202</v>
      </c>
      <c r="P28" s="21"/>
      <c r="Q28" s="32" t="s">
        <v>202</v>
      </c>
      <c r="R28" s="21"/>
      <c r="S28" s="32" t="s">
        <v>202</v>
      </c>
      <c r="T28" s="21"/>
      <c r="U28" s="32" t="s">
        <v>202</v>
      </c>
      <c r="V28" s="21"/>
      <c r="W28" s="32" t="s">
        <v>202</v>
      </c>
      <c r="X28" s="21"/>
      <c r="Y28" s="35"/>
      <c r="Z28" s="35"/>
    </row>
    <row r="29">
      <c r="A29" s="3" t="s">
        <v>206</v>
      </c>
      <c r="B29" s="26">
        <v>3855882.062435803</v>
      </c>
      <c r="C29" s="3" t="s">
        <v>206</v>
      </c>
      <c r="D29" s="26">
        <v>3855882.0624358035</v>
      </c>
      <c r="E29" s="3" t="s">
        <v>206</v>
      </c>
      <c r="F29" s="26">
        <v>7711764.124871606</v>
      </c>
      <c r="G29" s="3" t="s">
        <v>206</v>
      </c>
      <c r="H29" s="26">
        <v>6297940.7019784795</v>
      </c>
      <c r="I29" s="3" t="s">
        <v>206</v>
      </c>
      <c r="J29" s="26">
        <v>5655293.691572512</v>
      </c>
      <c r="K29" s="3" t="s">
        <v>206</v>
      </c>
      <c r="L29" s="26">
        <v>1.4459557734134262E7</v>
      </c>
      <c r="M29" s="3" t="s">
        <v>206</v>
      </c>
      <c r="N29" s="26">
        <v>1.330279311540352E7</v>
      </c>
      <c r="O29" s="3" t="s">
        <v>206</v>
      </c>
      <c r="P29" s="21"/>
      <c r="Q29" s="3" t="s">
        <v>206</v>
      </c>
      <c r="R29" s="21"/>
      <c r="S29" s="3" t="s">
        <v>206</v>
      </c>
      <c r="T29" s="21"/>
      <c r="U29" s="3" t="s">
        <v>206</v>
      </c>
      <c r="V29" s="21"/>
      <c r="W29" s="3" t="s">
        <v>206</v>
      </c>
      <c r="X29" s="21"/>
    </row>
    <row r="30">
      <c r="A30" s="3" t="s">
        <v>207</v>
      </c>
      <c r="B30" s="26">
        <v>7711764.124871606</v>
      </c>
      <c r="C30" s="3" t="s">
        <v>207</v>
      </c>
      <c r="D30" s="26">
        <v>7711764.124871607</v>
      </c>
      <c r="E30" s="3" t="s">
        <v>207</v>
      </c>
      <c r="F30" s="26">
        <v>1.5423528249743212E7</v>
      </c>
      <c r="G30" s="3" t="s">
        <v>207</v>
      </c>
      <c r="H30" s="26">
        <v>1.2595881403956959E7</v>
      </c>
      <c r="I30" s="3" t="s">
        <v>207</v>
      </c>
      <c r="J30" s="26">
        <v>1.1310587383145023E7</v>
      </c>
      <c r="K30" s="3" t="s">
        <v>207</v>
      </c>
      <c r="L30" s="26">
        <v>2.8919115468268525E7</v>
      </c>
      <c r="M30" s="3" t="s">
        <v>207</v>
      </c>
      <c r="N30" s="26">
        <v>2.660558623080704E7</v>
      </c>
      <c r="O30" s="3" t="s">
        <v>207</v>
      </c>
      <c r="P30" s="21"/>
      <c r="Q30" s="3" t="s">
        <v>207</v>
      </c>
      <c r="R30" s="21"/>
      <c r="S30" s="3" t="s">
        <v>207</v>
      </c>
      <c r="T30" s="21"/>
      <c r="U30" s="3" t="s">
        <v>207</v>
      </c>
      <c r="V30" s="21"/>
      <c r="W30" s="3" t="s">
        <v>207</v>
      </c>
      <c r="X30" s="21"/>
    </row>
    <row r="31">
      <c r="A31" s="3" t="s">
        <v>208</v>
      </c>
      <c r="B31" s="26">
        <v>3855882.062435803</v>
      </c>
      <c r="C31" s="3" t="s">
        <v>208</v>
      </c>
      <c r="D31" s="26">
        <v>3855882.0624358035</v>
      </c>
      <c r="E31" s="3" t="s">
        <v>208</v>
      </c>
      <c r="F31" s="26">
        <v>7711764.124871606</v>
      </c>
      <c r="G31" s="3" t="s">
        <v>208</v>
      </c>
      <c r="H31" s="26">
        <v>6297940.7019784795</v>
      </c>
      <c r="I31" s="3" t="s">
        <v>208</v>
      </c>
      <c r="J31" s="26">
        <v>5655293.691572512</v>
      </c>
      <c r="K31" s="3" t="s">
        <v>208</v>
      </c>
      <c r="L31" s="26">
        <v>1.4459557734134262E7</v>
      </c>
      <c r="M31" s="3" t="s">
        <v>208</v>
      </c>
      <c r="N31" s="26">
        <v>1.330279311540352E7</v>
      </c>
      <c r="O31" s="3" t="s">
        <v>208</v>
      </c>
      <c r="P31" s="21"/>
      <c r="Q31" s="3" t="s">
        <v>208</v>
      </c>
      <c r="R31" s="21"/>
      <c r="S31" s="3" t="s">
        <v>208</v>
      </c>
      <c r="T31" s="21"/>
      <c r="U31" s="3" t="s">
        <v>208</v>
      </c>
      <c r="V31" s="21"/>
      <c r="W31" s="3" t="s">
        <v>208</v>
      </c>
      <c r="X31" s="21"/>
    </row>
    <row r="32">
      <c r="A32" s="3" t="s">
        <v>209</v>
      </c>
      <c r="B32" s="26">
        <v>1.2852940208119342E7</v>
      </c>
      <c r="C32" s="3" t="s">
        <v>209</v>
      </c>
      <c r="D32" s="26">
        <v>1.2852940208119346E7</v>
      </c>
      <c r="E32" s="3" t="s">
        <v>209</v>
      </c>
      <c r="F32" s="26">
        <v>2.5705880416238684E7</v>
      </c>
      <c r="G32" s="3" t="s">
        <v>209</v>
      </c>
      <c r="H32" s="26">
        <v>2.0993135673261598E7</v>
      </c>
      <c r="I32" s="3" t="s">
        <v>209</v>
      </c>
      <c r="J32" s="26">
        <v>1.8850978971908372E7</v>
      </c>
      <c r="K32" s="3" t="s">
        <v>209</v>
      </c>
      <c r="L32" s="26">
        <v>4.819852578044754E7</v>
      </c>
      <c r="M32" s="3" t="s">
        <v>209</v>
      </c>
      <c r="N32" s="26">
        <v>4.434264371801173E7</v>
      </c>
      <c r="O32" s="3" t="s">
        <v>209</v>
      </c>
      <c r="P32" s="21"/>
      <c r="Q32" s="3" t="s">
        <v>209</v>
      </c>
      <c r="R32" s="21"/>
      <c r="S32" s="3" t="s">
        <v>209</v>
      </c>
      <c r="T32" s="21"/>
      <c r="U32" s="3" t="s">
        <v>209</v>
      </c>
      <c r="V32" s="21"/>
      <c r="W32" s="3" t="s">
        <v>209</v>
      </c>
      <c r="X32" s="21"/>
    </row>
    <row r="33">
      <c r="A33" s="3" t="s">
        <v>210</v>
      </c>
      <c r="B33" s="26">
        <v>5141176.083247737</v>
      </c>
      <c r="C33" s="3" t="s">
        <v>210</v>
      </c>
      <c r="D33" s="26">
        <v>5141176.083247738</v>
      </c>
      <c r="E33" s="3" t="s">
        <v>210</v>
      </c>
      <c r="F33" s="26">
        <v>1.0282352166495474E7</v>
      </c>
      <c r="G33" s="3" t="s">
        <v>210</v>
      </c>
      <c r="H33" s="26">
        <v>8397254.269304639</v>
      </c>
      <c r="I33" s="3" t="s">
        <v>210</v>
      </c>
      <c r="J33" s="26">
        <v>7540391.588763349</v>
      </c>
      <c r="K33" s="3" t="s">
        <v>210</v>
      </c>
      <c r="L33" s="26">
        <v>1.9279410312179018E7</v>
      </c>
      <c r="M33" s="3" t="s">
        <v>210</v>
      </c>
      <c r="N33" s="26">
        <v>1.7737057487204693E7</v>
      </c>
      <c r="O33" s="3" t="s">
        <v>210</v>
      </c>
      <c r="P33" s="21"/>
      <c r="Q33" s="3" t="s">
        <v>210</v>
      </c>
      <c r="R33" s="21"/>
      <c r="S33" s="3" t="s">
        <v>210</v>
      </c>
      <c r="T33" s="21"/>
      <c r="U33" s="3" t="s">
        <v>210</v>
      </c>
      <c r="V33" s="21"/>
      <c r="W33" s="3" t="s">
        <v>210</v>
      </c>
      <c r="X33" s="21"/>
    </row>
    <row r="34">
      <c r="A34" s="3" t="s">
        <v>213</v>
      </c>
      <c r="B34" s="26">
        <v>6426470.104059671</v>
      </c>
      <c r="C34" s="3" t="s">
        <v>213</v>
      </c>
      <c r="D34" s="26">
        <v>6426470.104059673</v>
      </c>
      <c r="E34" s="3" t="s">
        <v>213</v>
      </c>
      <c r="F34" s="26">
        <v>1.2852940208119342E7</v>
      </c>
      <c r="G34" s="3" t="s">
        <v>213</v>
      </c>
      <c r="H34" s="26">
        <v>1.0496567836630799E7</v>
      </c>
      <c r="I34" s="3" t="s">
        <v>213</v>
      </c>
      <c r="J34" s="26">
        <v>9425489.485954186</v>
      </c>
      <c r="K34" s="3" t="s">
        <v>213</v>
      </c>
      <c r="L34" s="26">
        <v>2.409926289022377E7</v>
      </c>
      <c r="M34" s="3" t="s">
        <v>213</v>
      </c>
      <c r="N34" s="26">
        <v>2.2171321859005865E7</v>
      </c>
      <c r="O34" s="3" t="s">
        <v>213</v>
      </c>
      <c r="P34" s="21"/>
      <c r="Q34" s="3" t="s">
        <v>213</v>
      </c>
      <c r="R34" s="21"/>
      <c r="S34" s="3" t="s">
        <v>213</v>
      </c>
      <c r="T34" s="21"/>
      <c r="U34" s="3" t="s">
        <v>213</v>
      </c>
      <c r="V34" s="21"/>
      <c r="W34" s="3" t="s">
        <v>213</v>
      </c>
      <c r="X34" s="21"/>
    </row>
    <row r="35">
      <c r="A35" s="3" t="s">
        <v>217</v>
      </c>
      <c r="B35" s="26">
        <v>6426470.104059671</v>
      </c>
      <c r="C35" s="3" t="s">
        <v>217</v>
      </c>
      <c r="D35" s="26">
        <v>6426470.104059673</v>
      </c>
      <c r="E35" s="3" t="s">
        <v>217</v>
      </c>
      <c r="F35" s="26">
        <v>1.2852940208119342E7</v>
      </c>
      <c r="G35" s="3" t="s">
        <v>217</v>
      </c>
      <c r="H35" s="26">
        <v>1.0496567836630799E7</v>
      </c>
      <c r="I35" s="3" t="s">
        <v>217</v>
      </c>
      <c r="J35" s="26">
        <v>9425489.485954186</v>
      </c>
      <c r="K35" s="3" t="s">
        <v>217</v>
      </c>
      <c r="L35" s="26">
        <v>2.409926289022377E7</v>
      </c>
      <c r="M35" s="3" t="s">
        <v>217</v>
      </c>
      <c r="N35" s="26">
        <v>2.2171321859005865E7</v>
      </c>
      <c r="O35" s="3" t="s">
        <v>217</v>
      </c>
      <c r="P35" s="21"/>
      <c r="Q35" s="3" t="s">
        <v>217</v>
      </c>
      <c r="R35" s="21"/>
      <c r="S35" s="3" t="s">
        <v>217</v>
      </c>
      <c r="T35" s="21"/>
      <c r="U35" s="3" t="s">
        <v>217</v>
      </c>
      <c r="V35" s="21"/>
      <c r="W35" s="3" t="s">
        <v>217</v>
      </c>
      <c r="X35" s="21"/>
    </row>
    <row r="36">
      <c r="A36" s="3" t="s">
        <v>218</v>
      </c>
      <c r="B36" s="26">
        <v>8997058.14568354</v>
      </c>
      <c r="C36" s="3" t="s">
        <v>218</v>
      </c>
      <c r="D36" s="26">
        <v>8997058.145683542</v>
      </c>
      <c r="E36" s="3" t="s">
        <v>218</v>
      </c>
      <c r="F36" s="26">
        <v>1.799411629136708E7</v>
      </c>
      <c r="G36" s="3" t="s">
        <v>218</v>
      </c>
      <c r="H36" s="26">
        <v>1.469519497128312E7</v>
      </c>
      <c r="I36" s="3" t="s">
        <v>218</v>
      </c>
      <c r="J36" s="26">
        <v>1.319568528033586E7</v>
      </c>
      <c r="K36" s="3" t="s">
        <v>218</v>
      </c>
      <c r="L36" s="26">
        <v>3.373896804631328E7</v>
      </c>
      <c r="M36" s="3" t="s">
        <v>218</v>
      </c>
      <c r="N36" s="26">
        <v>3.103985060260821E7</v>
      </c>
      <c r="O36" s="3" t="s">
        <v>218</v>
      </c>
      <c r="P36" s="21"/>
      <c r="Q36" s="3" t="s">
        <v>218</v>
      </c>
      <c r="R36" s="21"/>
      <c r="S36" s="3" t="s">
        <v>218</v>
      </c>
      <c r="T36" s="21"/>
      <c r="U36" s="3" t="s">
        <v>218</v>
      </c>
      <c r="V36" s="21"/>
      <c r="W36" s="3" t="s">
        <v>218</v>
      </c>
      <c r="X36" s="21"/>
    </row>
    <row r="37">
      <c r="A37" s="3" t="s">
        <v>219</v>
      </c>
      <c r="B37" s="26">
        <v>1285294.0208119343</v>
      </c>
      <c r="C37" s="3" t="s">
        <v>219</v>
      </c>
      <c r="D37" s="26">
        <v>1285294.0208119345</v>
      </c>
      <c r="E37" s="3" t="s">
        <v>219</v>
      </c>
      <c r="F37" s="26">
        <v>2570588.0416238685</v>
      </c>
      <c r="G37" s="3" t="s">
        <v>219</v>
      </c>
      <c r="H37" s="26">
        <v>2099313.5673261597</v>
      </c>
      <c r="I37" s="3" t="s">
        <v>219</v>
      </c>
      <c r="J37" s="26">
        <v>1885097.8971908372</v>
      </c>
      <c r="K37" s="3" t="s">
        <v>219</v>
      </c>
      <c r="L37" s="26">
        <v>4819852.578044754</v>
      </c>
      <c r="M37" s="3" t="s">
        <v>219</v>
      </c>
      <c r="N37" s="26">
        <v>4434264.371801173</v>
      </c>
      <c r="O37" s="3" t="s">
        <v>219</v>
      </c>
      <c r="P37" s="21"/>
      <c r="Q37" s="3" t="s">
        <v>219</v>
      </c>
      <c r="R37" s="21"/>
      <c r="S37" s="3" t="s">
        <v>219</v>
      </c>
      <c r="T37" s="21"/>
      <c r="U37" s="3" t="s">
        <v>219</v>
      </c>
      <c r="V37" s="21"/>
      <c r="W37" s="3" t="s">
        <v>219</v>
      </c>
      <c r="X37" s="21"/>
    </row>
    <row r="38">
      <c r="A38" s="3" t="s">
        <v>222</v>
      </c>
      <c r="B38" s="26">
        <v>3855882.062435803</v>
      </c>
      <c r="C38" s="3" t="s">
        <v>222</v>
      </c>
      <c r="D38" s="26">
        <v>3855882.0624358035</v>
      </c>
      <c r="E38" s="3" t="s">
        <v>222</v>
      </c>
      <c r="F38" s="26">
        <v>7711764.124871606</v>
      </c>
      <c r="G38" s="3" t="s">
        <v>222</v>
      </c>
      <c r="H38" s="26">
        <v>6297940.7019784795</v>
      </c>
      <c r="I38" s="3" t="s">
        <v>222</v>
      </c>
      <c r="J38" s="26">
        <v>5655293.691572512</v>
      </c>
      <c r="K38" s="3" t="s">
        <v>222</v>
      </c>
      <c r="L38" s="26">
        <v>1.4459557734134262E7</v>
      </c>
      <c r="M38" s="3" t="s">
        <v>222</v>
      </c>
      <c r="N38" s="26">
        <v>1.330279311540352E7</v>
      </c>
      <c r="O38" s="3" t="s">
        <v>222</v>
      </c>
      <c r="P38" s="21"/>
      <c r="Q38" s="3" t="s">
        <v>222</v>
      </c>
      <c r="R38" s="21"/>
      <c r="S38" s="3" t="s">
        <v>222</v>
      </c>
      <c r="T38" s="21"/>
      <c r="U38" s="3" t="s">
        <v>222</v>
      </c>
      <c r="V38" s="21"/>
      <c r="W38" s="3" t="s">
        <v>222</v>
      </c>
      <c r="X38" s="21"/>
    </row>
    <row r="39">
      <c r="A39" s="3" t="s">
        <v>228</v>
      </c>
      <c r="B39" s="26">
        <v>5141176.083247737</v>
      </c>
      <c r="C39" s="3" t="s">
        <v>228</v>
      </c>
      <c r="D39" s="26">
        <v>5141176.083247738</v>
      </c>
      <c r="E39" s="3" t="s">
        <v>228</v>
      </c>
      <c r="F39" s="26">
        <v>1.0282352166495474E7</v>
      </c>
      <c r="G39" s="3" t="s">
        <v>228</v>
      </c>
      <c r="H39" s="26">
        <v>8397254.269304639</v>
      </c>
      <c r="I39" s="3" t="s">
        <v>228</v>
      </c>
      <c r="J39" s="26">
        <v>7540391.588763349</v>
      </c>
      <c r="K39" s="3" t="s">
        <v>228</v>
      </c>
      <c r="L39" s="26">
        <v>1.9279410312179018E7</v>
      </c>
      <c r="M39" s="3" t="s">
        <v>228</v>
      </c>
      <c r="N39" s="26">
        <v>1.7737057487204693E7</v>
      </c>
      <c r="O39" s="3" t="s">
        <v>228</v>
      </c>
      <c r="P39" s="21"/>
      <c r="Q39" s="3" t="s">
        <v>228</v>
      </c>
      <c r="R39" s="21"/>
      <c r="S39" s="3" t="s">
        <v>228</v>
      </c>
      <c r="T39" s="21"/>
      <c r="U39" s="3" t="s">
        <v>228</v>
      </c>
      <c r="V39" s="21"/>
      <c r="W39" s="3" t="s">
        <v>228</v>
      </c>
      <c r="X39" s="21"/>
    </row>
    <row r="40">
      <c r="A40" s="3" t="s">
        <v>231</v>
      </c>
      <c r="B40" s="26">
        <v>1.1567646187307408E7</v>
      </c>
      <c r="C40" s="3" t="s">
        <v>231</v>
      </c>
      <c r="D40" s="26">
        <v>1.156764618730741E7</v>
      </c>
      <c r="E40" s="3" t="s">
        <v>231</v>
      </c>
      <c r="F40" s="26">
        <v>2.3135292374614816E7</v>
      </c>
      <c r="G40" s="3" t="s">
        <v>231</v>
      </c>
      <c r="H40" s="26">
        <v>1.889382210593544E7</v>
      </c>
      <c r="I40" s="3" t="s">
        <v>231</v>
      </c>
      <c r="J40" s="26">
        <v>1.6965881074717533E7</v>
      </c>
      <c r="K40" s="3" t="s">
        <v>231</v>
      </c>
      <c r="L40" s="26">
        <v>4.3378673202402785E7</v>
      </c>
      <c r="M40" s="3" t="s">
        <v>231</v>
      </c>
      <c r="N40" s="26">
        <v>3.9908379346210554E7</v>
      </c>
      <c r="O40" s="3" t="s">
        <v>231</v>
      </c>
      <c r="P40" s="21"/>
      <c r="Q40" s="3" t="s">
        <v>231</v>
      </c>
      <c r="R40" s="21"/>
      <c r="S40" s="3" t="s">
        <v>231</v>
      </c>
      <c r="T40" s="21"/>
      <c r="U40" s="3" t="s">
        <v>231</v>
      </c>
      <c r="V40" s="21"/>
      <c r="W40" s="3" t="s">
        <v>231</v>
      </c>
      <c r="X40" s="21"/>
    </row>
    <row r="41">
      <c r="A41" s="3" t="s">
        <v>233</v>
      </c>
      <c r="B41" s="26">
        <v>0.0</v>
      </c>
      <c r="C41" s="3" t="s">
        <v>233</v>
      </c>
      <c r="D41" s="55">
        <v>0.0</v>
      </c>
      <c r="E41" s="3" t="s">
        <v>233</v>
      </c>
      <c r="F41" s="55">
        <v>0.0</v>
      </c>
      <c r="G41" s="3" t="s">
        <v>233</v>
      </c>
      <c r="H41" s="55">
        <v>0.0</v>
      </c>
      <c r="I41" s="3" t="s">
        <v>233</v>
      </c>
      <c r="J41" s="55">
        <v>0.0</v>
      </c>
      <c r="K41" s="3" t="s">
        <v>233</v>
      </c>
      <c r="L41" s="55">
        <v>0.0</v>
      </c>
      <c r="M41" s="3" t="s">
        <v>233</v>
      </c>
      <c r="N41" s="55">
        <v>0.0</v>
      </c>
      <c r="O41" s="3" t="s">
        <v>233</v>
      </c>
      <c r="P41" s="27"/>
      <c r="Q41" s="3" t="s">
        <v>233</v>
      </c>
      <c r="R41" s="27"/>
      <c r="S41" s="3" t="s">
        <v>233</v>
      </c>
      <c r="T41" s="27"/>
      <c r="U41" s="3" t="s">
        <v>233</v>
      </c>
      <c r="V41" s="27"/>
      <c r="W41" s="3" t="s">
        <v>233</v>
      </c>
      <c r="X41" s="27"/>
    </row>
    <row r="42">
      <c r="A42" s="32" t="s">
        <v>234</v>
      </c>
      <c r="B42" s="55">
        <f>'Generate Dummy Closed WON (Reve'!D72</f>
        <v>8011079.171</v>
      </c>
      <c r="C42" s="3" t="s">
        <v>234</v>
      </c>
      <c r="D42" s="55">
        <f>'Generate Dummy Closed WON (Reve'!E72</f>
        <v>8011079.171</v>
      </c>
      <c r="E42" s="3" t="s">
        <v>234</v>
      </c>
      <c r="F42" s="55">
        <f>'Generate Dummy Closed WON (Reve'!F72</f>
        <v>16022158.34</v>
      </c>
      <c r="G42" s="3" t="s">
        <v>234</v>
      </c>
      <c r="H42" s="55">
        <f>'Generate Dummy Closed WON (Reve'!G72</f>
        <v>13084762.65</v>
      </c>
      <c r="I42" s="3" t="s">
        <v>234</v>
      </c>
      <c r="J42" s="55">
        <f>'Generate Dummy Closed WON (Reve'!H72</f>
        <v>11749582.78</v>
      </c>
      <c r="K42" s="3" t="s">
        <v>234</v>
      </c>
      <c r="L42" s="55">
        <f>'Generate Dummy Closed WON (Reve'!I72</f>
        <v>30041546.89</v>
      </c>
      <c r="M42" s="3" t="s">
        <v>234</v>
      </c>
      <c r="N42" s="55">
        <f>'Generate Dummy Closed WON (Reve'!J72</f>
        <v>27638223.14</v>
      </c>
      <c r="O42" s="3" t="s">
        <v>234</v>
      </c>
      <c r="Q42" s="3" t="s">
        <v>234</v>
      </c>
      <c r="S42" s="3" t="s">
        <v>234</v>
      </c>
      <c r="U42" s="3" t="s">
        <v>234</v>
      </c>
      <c r="W42" s="3" t="s">
        <v>234</v>
      </c>
    </row>
    <row r="43">
      <c r="A43" s="3" t="s">
        <v>238</v>
      </c>
      <c r="B43" s="55">
        <f>'Generate Dummy Closed WON (Reve'!D73</f>
        <v>3433319.645</v>
      </c>
      <c r="C43" s="3" t="s">
        <v>238</v>
      </c>
      <c r="D43" s="55">
        <f>'Generate Dummy Closed WON (Reve'!E73</f>
        <v>3433319.645</v>
      </c>
      <c r="E43" s="3" t="s">
        <v>238</v>
      </c>
      <c r="F43" s="55">
        <f>'Generate Dummy Closed WON (Reve'!F73</f>
        <v>6866639.289</v>
      </c>
      <c r="G43" s="3" t="s">
        <v>238</v>
      </c>
      <c r="H43" s="55">
        <f>'Generate Dummy Closed WON (Reve'!G73</f>
        <v>5607755.42</v>
      </c>
      <c r="I43" s="3" t="s">
        <v>238</v>
      </c>
      <c r="J43" s="55">
        <f>'Generate Dummy Closed WON (Reve'!H73</f>
        <v>5035535.479</v>
      </c>
      <c r="K43" s="3" t="s">
        <v>238</v>
      </c>
      <c r="L43" s="55">
        <f>'Generate Dummy Closed WON (Reve'!I73</f>
        <v>12874948.67</v>
      </c>
      <c r="M43" s="3" t="s">
        <v>238</v>
      </c>
      <c r="N43" s="55">
        <f>'Generate Dummy Closed WON (Reve'!J73</f>
        <v>11844952.77</v>
      </c>
      <c r="O43" s="3" t="s">
        <v>238</v>
      </c>
      <c r="Q43" s="3" t="s">
        <v>238</v>
      </c>
      <c r="S43" s="3" t="s">
        <v>238</v>
      </c>
      <c r="U43" s="3" t="s">
        <v>238</v>
      </c>
      <c r="W43" s="3" t="s">
        <v>238</v>
      </c>
    </row>
    <row r="44">
      <c r="A44" s="3" t="s">
        <v>241</v>
      </c>
      <c r="B44" s="55">
        <f>'Generate Dummy Closed WON (Reve'!D74</f>
        <v>6866639.289</v>
      </c>
      <c r="C44" s="3" t="s">
        <v>241</v>
      </c>
      <c r="D44" s="55">
        <f>'Generate Dummy Closed WON (Reve'!E74</f>
        <v>6866639.289</v>
      </c>
      <c r="E44" s="3" t="s">
        <v>241</v>
      </c>
      <c r="F44" s="55">
        <f>'Generate Dummy Closed WON (Reve'!F74</f>
        <v>13733278.58</v>
      </c>
      <c r="G44" s="3" t="s">
        <v>241</v>
      </c>
      <c r="H44" s="55">
        <f>'Generate Dummy Closed WON (Reve'!G74</f>
        <v>11215510.84</v>
      </c>
      <c r="I44" s="3" t="s">
        <v>241</v>
      </c>
      <c r="J44" s="55">
        <f>'Generate Dummy Closed WON (Reve'!H74</f>
        <v>10071070.96</v>
      </c>
      <c r="K44" s="3" t="s">
        <v>241</v>
      </c>
      <c r="L44" s="55">
        <f>'Generate Dummy Closed WON (Reve'!I74</f>
        <v>25749897.33</v>
      </c>
      <c r="M44" s="3" t="s">
        <v>241</v>
      </c>
      <c r="N44" s="55">
        <f>'Generate Dummy Closed WON (Reve'!J74</f>
        <v>23689905.55</v>
      </c>
      <c r="O44" s="3" t="s">
        <v>241</v>
      </c>
      <c r="Q44" s="3" t="s">
        <v>241</v>
      </c>
      <c r="S44" s="3" t="s">
        <v>241</v>
      </c>
      <c r="U44" s="3" t="s">
        <v>241</v>
      </c>
      <c r="W44" s="3" t="s">
        <v>241</v>
      </c>
    </row>
    <row r="45">
      <c r="A45" s="3" t="s">
        <v>245</v>
      </c>
      <c r="B45" s="55">
        <f>'Generate Dummy Closed WON (Reve'!D75</f>
        <v>8011079.171</v>
      </c>
      <c r="C45" s="3" t="s">
        <v>245</v>
      </c>
      <c r="D45" s="55">
        <f>'Generate Dummy Closed WON (Reve'!E75</f>
        <v>8011079.171</v>
      </c>
      <c r="E45" s="3" t="s">
        <v>245</v>
      </c>
      <c r="F45" s="55">
        <f>'Generate Dummy Closed WON (Reve'!F75</f>
        <v>16022158.34</v>
      </c>
      <c r="G45" s="3" t="s">
        <v>245</v>
      </c>
      <c r="H45" s="55">
        <f>'Generate Dummy Closed WON (Reve'!G75</f>
        <v>13084762.65</v>
      </c>
      <c r="I45" s="3" t="s">
        <v>245</v>
      </c>
      <c r="J45" s="55">
        <f>'Generate Dummy Closed WON (Reve'!H75</f>
        <v>11749582.78</v>
      </c>
      <c r="K45" s="3" t="s">
        <v>245</v>
      </c>
      <c r="L45" s="55">
        <f>'Generate Dummy Closed WON (Reve'!I75</f>
        <v>30041546.89</v>
      </c>
      <c r="M45" s="3" t="s">
        <v>245</v>
      </c>
      <c r="N45" s="55">
        <f>'Generate Dummy Closed WON (Reve'!J75</f>
        <v>27638223.14</v>
      </c>
      <c r="O45" s="3" t="s">
        <v>245</v>
      </c>
      <c r="Q45" s="3" t="s">
        <v>245</v>
      </c>
      <c r="S45" s="3" t="s">
        <v>245</v>
      </c>
      <c r="U45" s="3" t="s">
        <v>245</v>
      </c>
      <c r="W45" s="3" t="s">
        <v>245</v>
      </c>
    </row>
    <row r="46">
      <c r="A46" s="3" t="s">
        <v>246</v>
      </c>
      <c r="B46" s="55">
        <f>'Generate Dummy Closed WON (Reve'!D76</f>
        <v>3433319.645</v>
      </c>
      <c r="C46" s="3" t="s">
        <v>246</v>
      </c>
      <c r="D46" s="55">
        <f>'Generate Dummy Closed WON (Reve'!E76</f>
        <v>3433319.645</v>
      </c>
      <c r="E46" s="3" t="s">
        <v>246</v>
      </c>
      <c r="F46" s="55">
        <f>'Generate Dummy Closed WON (Reve'!F76</f>
        <v>6866639.289</v>
      </c>
      <c r="G46" s="3" t="s">
        <v>246</v>
      </c>
      <c r="H46" s="55">
        <f>'Generate Dummy Closed WON (Reve'!G76</f>
        <v>5607755.42</v>
      </c>
      <c r="I46" s="3" t="s">
        <v>246</v>
      </c>
      <c r="J46" s="55">
        <f>'Generate Dummy Closed WON (Reve'!H76</f>
        <v>5035535.479</v>
      </c>
      <c r="K46" s="3" t="s">
        <v>246</v>
      </c>
      <c r="L46" s="55">
        <f>'Generate Dummy Closed WON (Reve'!I76</f>
        <v>12874948.67</v>
      </c>
      <c r="M46" s="3" t="s">
        <v>246</v>
      </c>
      <c r="N46" s="55">
        <f>'Generate Dummy Closed WON (Reve'!J76</f>
        <v>11844952.77</v>
      </c>
      <c r="O46" s="3" t="s">
        <v>246</v>
      </c>
      <c r="Q46" s="3" t="s">
        <v>246</v>
      </c>
      <c r="S46" s="3" t="s">
        <v>246</v>
      </c>
      <c r="U46" s="3" t="s">
        <v>246</v>
      </c>
      <c r="W46" s="3" t="s">
        <v>246</v>
      </c>
    </row>
    <row r="47">
      <c r="A47" s="3" t="s">
        <v>249</v>
      </c>
      <c r="B47" s="55">
        <f>'Generate Dummy Closed WON (Reve'!D77</f>
        <v>4577759.526</v>
      </c>
      <c r="C47" s="3" t="s">
        <v>249</v>
      </c>
      <c r="D47" s="55">
        <f>'Generate Dummy Closed WON (Reve'!E77</f>
        <v>4577759.526</v>
      </c>
      <c r="E47" s="3" t="s">
        <v>249</v>
      </c>
      <c r="F47" s="55">
        <f>'Generate Dummy Closed WON (Reve'!F77</f>
        <v>9155519.052</v>
      </c>
      <c r="G47" s="3" t="s">
        <v>249</v>
      </c>
      <c r="H47" s="55">
        <f>'Generate Dummy Closed WON (Reve'!G77</f>
        <v>7477007.226</v>
      </c>
      <c r="I47" s="3" t="s">
        <v>249</v>
      </c>
      <c r="J47" s="55">
        <f>'Generate Dummy Closed WON (Reve'!H77</f>
        <v>6714047.305</v>
      </c>
      <c r="K47" s="3" t="s">
        <v>249</v>
      </c>
      <c r="L47" s="55">
        <f>'Generate Dummy Closed WON (Reve'!I77</f>
        <v>17166598.22</v>
      </c>
      <c r="M47" s="3" t="s">
        <v>249</v>
      </c>
      <c r="N47" s="55">
        <f>'Generate Dummy Closed WON (Reve'!J77</f>
        <v>15793270.37</v>
      </c>
      <c r="O47" s="3" t="s">
        <v>249</v>
      </c>
      <c r="Q47" s="3" t="s">
        <v>249</v>
      </c>
      <c r="S47" s="3" t="s">
        <v>249</v>
      </c>
      <c r="U47" s="3" t="s">
        <v>249</v>
      </c>
      <c r="W47" s="3" t="s">
        <v>249</v>
      </c>
    </row>
    <row r="48">
      <c r="A48" s="3" t="s">
        <v>253</v>
      </c>
      <c r="B48" s="55">
        <f>'Generate Dummy Closed WON (Reve'!D78</f>
        <v>9155519.052</v>
      </c>
      <c r="C48" s="3" t="s">
        <v>253</v>
      </c>
      <c r="D48" s="55">
        <f>'Generate Dummy Closed WON (Reve'!E78</f>
        <v>9155519.052</v>
      </c>
      <c r="E48" s="3" t="s">
        <v>253</v>
      </c>
      <c r="F48" s="55">
        <f>'Generate Dummy Closed WON (Reve'!F78</f>
        <v>18311038.1</v>
      </c>
      <c r="G48" s="3" t="s">
        <v>253</v>
      </c>
      <c r="H48" s="55">
        <f>'Generate Dummy Closed WON (Reve'!G78</f>
        <v>14954014.45</v>
      </c>
      <c r="I48" s="3" t="s">
        <v>253</v>
      </c>
      <c r="J48" s="55">
        <f>'Generate Dummy Closed WON (Reve'!H78</f>
        <v>13428094.61</v>
      </c>
      <c r="K48" s="3" t="s">
        <v>253</v>
      </c>
      <c r="L48" s="55">
        <f>'Generate Dummy Closed WON (Reve'!I78</f>
        <v>34333196.45</v>
      </c>
      <c r="M48" s="3" t="s">
        <v>253</v>
      </c>
      <c r="N48" s="55">
        <f>'Generate Dummy Closed WON (Reve'!J78</f>
        <v>31586540.73</v>
      </c>
      <c r="O48" s="3" t="s">
        <v>253</v>
      </c>
      <c r="Q48" s="3" t="s">
        <v>253</v>
      </c>
      <c r="S48" s="3" t="s">
        <v>253</v>
      </c>
      <c r="U48" s="3" t="s">
        <v>253</v>
      </c>
      <c r="W48" s="3" t="s">
        <v>253</v>
      </c>
    </row>
    <row r="49">
      <c r="A49" s="3" t="s">
        <v>256</v>
      </c>
      <c r="B49" s="55">
        <f>'Generate Dummy Closed WON (Reve'!D79</f>
        <v>9155519.052</v>
      </c>
      <c r="C49" s="3" t="s">
        <v>256</v>
      </c>
      <c r="D49" s="55">
        <f>'Generate Dummy Closed WON (Reve'!E79</f>
        <v>9155519.052</v>
      </c>
      <c r="E49" s="3" t="s">
        <v>256</v>
      </c>
      <c r="F49" s="55">
        <f>'Generate Dummy Closed WON (Reve'!F79</f>
        <v>18311038.1</v>
      </c>
      <c r="G49" s="3" t="s">
        <v>256</v>
      </c>
      <c r="H49" s="55">
        <f>'Generate Dummy Closed WON (Reve'!G79</f>
        <v>14954014.45</v>
      </c>
      <c r="I49" s="3" t="s">
        <v>256</v>
      </c>
      <c r="J49" s="55">
        <f>'Generate Dummy Closed WON (Reve'!H79</f>
        <v>13428094.61</v>
      </c>
      <c r="K49" s="3" t="s">
        <v>256</v>
      </c>
      <c r="L49" s="55">
        <f>'Generate Dummy Closed WON (Reve'!I79</f>
        <v>34333196.45</v>
      </c>
      <c r="M49" s="3" t="s">
        <v>256</v>
      </c>
      <c r="N49" s="55">
        <f>'Generate Dummy Closed WON (Reve'!J79</f>
        <v>31586540.73</v>
      </c>
      <c r="O49" s="3" t="s">
        <v>256</v>
      </c>
      <c r="Q49" s="3" t="s">
        <v>256</v>
      </c>
      <c r="S49" s="3" t="s">
        <v>256</v>
      </c>
      <c r="U49" s="3" t="s">
        <v>256</v>
      </c>
      <c r="W49" s="3" t="s">
        <v>256</v>
      </c>
    </row>
    <row r="50">
      <c r="A50" s="3" t="s">
        <v>259</v>
      </c>
      <c r="B50" s="55">
        <f>'Generate Dummy Closed WON (Reve'!D80</f>
        <v>6866639.289</v>
      </c>
      <c r="C50" s="3" t="s">
        <v>259</v>
      </c>
      <c r="D50" s="55">
        <f>'Generate Dummy Closed WON (Reve'!E80</f>
        <v>6866639.289</v>
      </c>
      <c r="E50" s="3" t="s">
        <v>259</v>
      </c>
      <c r="F50" s="55">
        <f>'Generate Dummy Closed WON (Reve'!F80</f>
        <v>13733278.58</v>
      </c>
      <c r="G50" s="3" t="s">
        <v>259</v>
      </c>
      <c r="H50" s="55">
        <f>'Generate Dummy Closed WON (Reve'!G80</f>
        <v>11215510.84</v>
      </c>
      <c r="I50" s="3" t="s">
        <v>259</v>
      </c>
      <c r="J50" s="55">
        <f>'Generate Dummy Closed WON (Reve'!H80</f>
        <v>10071070.96</v>
      </c>
      <c r="K50" s="3" t="s">
        <v>259</v>
      </c>
      <c r="L50" s="55">
        <f>'Generate Dummy Closed WON (Reve'!I80</f>
        <v>25749897.33</v>
      </c>
      <c r="M50" s="3" t="s">
        <v>259</v>
      </c>
      <c r="N50" s="55">
        <f>'Generate Dummy Closed WON (Reve'!J80</f>
        <v>23689905.55</v>
      </c>
      <c r="O50" s="3" t="s">
        <v>259</v>
      </c>
      <c r="Q50" s="3" t="s">
        <v>259</v>
      </c>
      <c r="S50" s="3" t="s">
        <v>259</v>
      </c>
      <c r="U50" s="3" t="s">
        <v>259</v>
      </c>
      <c r="W50" s="3" t="s">
        <v>259</v>
      </c>
    </row>
    <row r="51">
      <c r="A51" s="3" t="s">
        <v>261</v>
      </c>
      <c r="B51" s="55">
        <f>'Generate Dummy Closed WON (Reve'!D81</f>
        <v>9155519.052</v>
      </c>
      <c r="C51" s="3" t="s">
        <v>261</v>
      </c>
      <c r="D51" s="55">
        <f>'Generate Dummy Closed WON (Reve'!E81</f>
        <v>9155519.052</v>
      </c>
      <c r="E51" s="3" t="s">
        <v>261</v>
      </c>
      <c r="F51" s="55">
        <f>'Generate Dummy Closed WON (Reve'!F81</f>
        <v>18311038.1</v>
      </c>
      <c r="G51" s="3" t="s">
        <v>261</v>
      </c>
      <c r="H51" s="55">
        <f>'Generate Dummy Closed WON (Reve'!G81</f>
        <v>14954014.45</v>
      </c>
      <c r="I51" s="3" t="s">
        <v>261</v>
      </c>
      <c r="J51" s="55">
        <f>'Generate Dummy Closed WON (Reve'!H81</f>
        <v>13428094.61</v>
      </c>
      <c r="K51" s="3" t="s">
        <v>261</v>
      </c>
      <c r="L51" s="55">
        <f>'Generate Dummy Closed WON (Reve'!I81</f>
        <v>34333196.45</v>
      </c>
      <c r="M51" s="3" t="s">
        <v>261</v>
      </c>
      <c r="N51" s="55">
        <f>'Generate Dummy Closed WON (Reve'!J81</f>
        <v>31586540.73</v>
      </c>
      <c r="O51" s="3" t="s">
        <v>261</v>
      </c>
      <c r="Q51" s="3" t="s">
        <v>261</v>
      </c>
      <c r="S51" s="3" t="s">
        <v>261</v>
      </c>
      <c r="U51" s="3" t="s">
        <v>261</v>
      </c>
      <c r="W51" s="3" t="s">
        <v>261</v>
      </c>
    </row>
    <row r="52">
      <c r="A52" s="3" t="s">
        <v>262</v>
      </c>
      <c r="B52" s="55">
        <f>'Generate Dummy Closed WON (Reve'!D82</f>
        <v>11444398.82</v>
      </c>
      <c r="C52" s="3" t="s">
        <v>262</v>
      </c>
      <c r="D52" s="55">
        <f>'Generate Dummy Closed WON (Reve'!E82</f>
        <v>11444398.82</v>
      </c>
      <c r="E52" s="3" t="s">
        <v>262</v>
      </c>
      <c r="F52" s="55">
        <f>'Generate Dummy Closed WON (Reve'!F82</f>
        <v>22888797.63</v>
      </c>
      <c r="G52" s="3" t="s">
        <v>262</v>
      </c>
      <c r="H52" s="55">
        <f>'Generate Dummy Closed WON (Reve'!G82</f>
        <v>18692518.07</v>
      </c>
      <c r="I52" s="3" t="s">
        <v>262</v>
      </c>
      <c r="J52" s="55">
        <f>'Generate Dummy Closed WON (Reve'!H82</f>
        <v>16785118.26</v>
      </c>
      <c r="K52" s="3" t="s">
        <v>262</v>
      </c>
      <c r="L52" s="55">
        <f>'Generate Dummy Closed WON (Reve'!I82</f>
        <v>42916495.56</v>
      </c>
      <c r="M52" s="3" t="s">
        <v>262</v>
      </c>
      <c r="N52" s="55">
        <f>'Generate Dummy Closed WON (Reve'!J82</f>
        <v>39483175.91</v>
      </c>
      <c r="O52" s="3" t="s">
        <v>262</v>
      </c>
      <c r="Q52" s="3" t="s">
        <v>262</v>
      </c>
      <c r="S52" s="3" t="s">
        <v>262</v>
      </c>
      <c r="U52" s="3" t="s">
        <v>262</v>
      </c>
      <c r="W52" s="3" t="s">
        <v>262</v>
      </c>
    </row>
    <row r="53">
      <c r="A53" s="3" t="s">
        <v>263</v>
      </c>
      <c r="B53" s="55">
        <f>'Generate Dummy Closed WON (Reve'!D83</f>
        <v>3433319.645</v>
      </c>
      <c r="C53" s="3" t="s">
        <v>263</v>
      </c>
      <c r="D53" s="55">
        <f>'Generate Dummy Closed WON (Reve'!E83</f>
        <v>3433319.645</v>
      </c>
      <c r="E53" s="3" t="s">
        <v>263</v>
      </c>
      <c r="F53" s="55">
        <f>'Generate Dummy Closed WON (Reve'!F83</f>
        <v>6866639.289</v>
      </c>
      <c r="G53" s="3" t="s">
        <v>263</v>
      </c>
      <c r="H53" s="55">
        <f>'Generate Dummy Closed WON (Reve'!G83</f>
        <v>5607755.42</v>
      </c>
      <c r="I53" s="3" t="s">
        <v>263</v>
      </c>
      <c r="J53" s="55">
        <f>'Generate Dummy Closed WON (Reve'!H83</f>
        <v>5035535.479</v>
      </c>
      <c r="K53" s="3" t="s">
        <v>263</v>
      </c>
      <c r="L53" s="55">
        <f>'Generate Dummy Closed WON (Reve'!I83</f>
        <v>12874948.67</v>
      </c>
      <c r="M53" s="3" t="s">
        <v>263</v>
      </c>
      <c r="N53" s="55">
        <f>'Generate Dummy Closed WON (Reve'!J83</f>
        <v>11844952.77</v>
      </c>
      <c r="O53" s="3" t="s">
        <v>263</v>
      </c>
      <c r="Q53" s="3" t="s">
        <v>263</v>
      </c>
      <c r="S53" s="3" t="s">
        <v>263</v>
      </c>
      <c r="U53" s="3" t="s">
        <v>263</v>
      </c>
      <c r="W53" s="3" t="s">
        <v>263</v>
      </c>
    </row>
    <row r="54">
      <c r="A54" s="32" t="s">
        <v>266</v>
      </c>
      <c r="B54" s="57">
        <f>'Generate Dummy Closed WON (Reve'!O72</f>
        <v>5569607.424</v>
      </c>
      <c r="C54" s="11" t="str">
        <f t="shared" ref="C54:C109" si="1">A54</f>
        <v>PRJ00075</v>
      </c>
      <c r="D54" s="57">
        <f>'Generate Dummy Closed WON (Reve'!P72</f>
        <v>5569607.424</v>
      </c>
      <c r="E54" s="11" t="str">
        <f t="shared" ref="E54:E70" si="2">A54</f>
        <v>PRJ00075</v>
      </c>
      <c r="F54" s="57">
        <f>'Generate Dummy Closed WON (Reve'!Q72</f>
        <v>11139214.85</v>
      </c>
      <c r="G54" s="11" t="str">
        <f t="shared" ref="G54:G70" si="3">A54</f>
        <v>PRJ00075</v>
      </c>
      <c r="H54" s="57">
        <f>'Generate Dummy Closed WON (Reve'!R72</f>
        <v>9097025.458</v>
      </c>
      <c r="I54" s="11" t="str">
        <f t="shared" ref="I54:I109" si="4">G54</f>
        <v>PRJ00075</v>
      </c>
      <c r="J54" s="57">
        <f>'Generate Dummy Closed WON (Reve'!S72</f>
        <v>8168757.554</v>
      </c>
      <c r="K54" s="11" t="str">
        <f t="shared" ref="K54:K109" si="5">I54</f>
        <v>PRJ00075</v>
      </c>
      <c r="L54" s="57">
        <f>'Generate Dummy Closed WON (Reve'!T72</f>
        <v>20886027.84</v>
      </c>
      <c r="M54" s="11" t="str">
        <f t="shared" ref="M54:M109" si="6">K54</f>
        <v>PRJ00075</v>
      </c>
      <c r="N54" s="57">
        <f>'Generate Dummy Closed WON (Reve'!U72</f>
        <v>19215145.61</v>
      </c>
      <c r="O54" s="11" t="str">
        <f t="shared" ref="O54:O109" si="7">M54</f>
        <v>PRJ00075</v>
      </c>
      <c r="Q54" s="11" t="str">
        <f t="shared" ref="Q54:Q70" si="8">O54</f>
        <v>PRJ00075</v>
      </c>
      <c r="S54" s="11" t="str">
        <f t="shared" ref="S54:S70" si="9">Q54</f>
        <v>PRJ00075</v>
      </c>
      <c r="U54" s="11" t="str">
        <f t="shared" ref="U54:U70" si="10">S54</f>
        <v>PRJ00075</v>
      </c>
      <c r="W54" s="11" t="str">
        <f t="shared" ref="W54:W70" si="11">U54</f>
        <v>PRJ00075</v>
      </c>
    </row>
    <row r="55">
      <c r="A55" s="3" t="s">
        <v>281</v>
      </c>
      <c r="B55" s="57">
        <f>'Generate Dummy Closed WON (Reve'!O73</f>
        <v>3341764.454</v>
      </c>
      <c r="C55" s="11" t="str">
        <f t="shared" si="1"/>
        <v>PRJ00105</v>
      </c>
      <c r="D55" s="57">
        <f>'Generate Dummy Closed WON (Reve'!P73</f>
        <v>3341764.454</v>
      </c>
      <c r="E55" s="11" t="str">
        <f t="shared" si="2"/>
        <v>PRJ00105</v>
      </c>
      <c r="F55" s="57">
        <f>'Generate Dummy Closed WON (Reve'!Q73</f>
        <v>6683528.908</v>
      </c>
      <c r="G55" s="11" t="str">
        <f t="shared" si="3"/>
        <v>PRJ00105</v>
      </c>
      <c r="H55" s="57">
        <f>'Generate Dummy Closed WON (Reve'!R73</f>
        <v>5458215.275</v>
      </c>
      <c r="I55" s="11" t="str">
        <f t="shared" si="4"/>
        <v>PRJ00105</v>
      </c>
      <c r="J55" s="57">
        <f>'Generate Dummy Closed WON (Reve'!S73</f>
        <v>4901254.533</v>
      </c>
      <c r="K55" s="11" t="str">
        <f t="shared" si="5"/>
        <v>PRJ00105</v>
      </c>
      <c r="L55" s="57">
        <f>'Generate Dummy Closed WON (Reve'!T73</f>
        <v>12531616.7</v>
      </c>
      <c r="M55" s="11" t="str">
        <f t="shared" si="6"/>
        <v>PRJ00105</v>
      </c>
      <c r="N55" s="57">
        <f>'Generate Dummy Closed WON (Reve'!U73</f>
        <v>11529087.37</v>
      </c>
      <c r="O55" s="11" t="str">
        <f t="shared" si="7"/>
        <v>PRJ00105</v>
      </c>
      <c r="Q55" s="11" t="str">
        <f t="shared" si="8"/>
        <v>PRJ00105</v>
      </c>
      <c r="S55" s="11" t="str">
        <f t="shared" si="9"/>
        <v>PRJ00105</v>
      </c>
      <c r="U55" s="11" t="str">
        <f t="shared" si="10"/>
        <v>PRJ00105</v>
      </c>
      <c r="W55" s="11" t="str">
        <f t="shared" si="11"/>
        <v>PRJ00105</v>
      </c>
    </row>
    <row r="56">
      <c r="A56" s="3" t="s">
        <v>284</v>
      </c>
      <c r="B56" s="57">
        <f>'Generate Dummy Closed WON (Reve'!O74</f>
        <v>6683528.908</v>
      </c>
      <c r="C56" s="11" t="str">
        <f t="shared" si="1"/>
        <v>PRJ00125</v>
      </c>
      <c r="D56" s="57">
        <f>'Generate Dummy Closed WON (Reve'!P74</f>
        <v>6683528.908</v>
      </c>
      <c r="E56" s="11" t="str">
        <f t="shared" si="2"/>
        <v>PRJ00125</v>
      </c>
      <c r="F56" s="57">
        <f>'Generate Dummy Closed WON (Reve'!Q74</f>
        <v>13367057.82</v>
      </c>
      <c r="G56" s="11" t="str">
        <f t="shared" si="3"/>
        <v>PRJ00125</v>
      </c>
      <c r="H56" s="57">
        <f>'Generate Dummy Closed WON (Reve'!R74</f>
        <v>10916430.55</v>
      </c>
      <c r="I56" s="11" t="str">
        <f t="shared" si="4"/>
        <v>PRJ00125</v>
      </c>
      <c r="J56" s="57">
        <f>'Generate Dummy Closed WON (Reve'!S74</f>
        <v>9802509.065</v>
      </c>
      <c r="K56" s="11" t="str">
        <f t="shared" si="5"/>
        <v>PRJ00125</v>
      </c>
      <c r="L56" s="57">
        <f>'Generate Dummy Closed WON (Reve'!T74</f>
        <v>25063233.41</v>
      </c>
      <c r="M56" s="11" t="str">
        <f t="shared" si="6"/>
        <v>PRJ00125</v>
      </c>
      <c r="N56" s="57">
        <f>'Generate Dummy Closed WON (Reve'!U74</f>
        <v>23058174.73</v>
      </c>
      <c r="O56" s="11" t="str">
        <f t="shared" si="7"/>
        <v>PRJ00125</v>
      </c>
      <c r="Q56" s="11" t="str">
        <f t="shared" si="8"/>
        <v>PRJ00125</v>
      </c>
      <c r="S56" s="11" t="str">
        <f t="shared" si="9"/>
        <v>PRJ00125</v>
      </c>
      <c r="U56" s="11" t="str">
        <f t="shared" si="10"/>
        <v>PRJ00125</v>
      </c>
      <c r="W56" s="11" t="str">
        <f t="shared" si="11"/>
        <v>PRJ00125</v>
      </c>
    </row>
    <row r="57">
      <c r="A57" s="3" t="s">
        <v>287</v>
      </c>
      <c r="B57" s="57">
        <f>'Generate Dummy Closed WON (Reve'!O75</f>
        <v>1113921.485</v>
      </c>
      <c r="C57" s="11" t="str">
        <f t="shared" si="1"/>
        <v>PRJ00145</v>
      </c>
      <c r="D57" s="57">
        <f>'Generate Dummy Closed WON (Reve'!P75</f>
        <v>1113921.485</v>
      </c>
      <c r="E57" s="11" t="str">
        <f t="shared" si="2"/>
        <v>PRJ00145</v>
      </c>
      <c r="F57" s="57">
        <f>'Generate Dummy Closed WON (Reve'!Q75</f>
        <v>2227842.969</v>
      </c>
      <c r="G57" s="11" t="str">
        <f t="shared" si="3"/>
        <v>PRJ00145</v>
      </c>
      <c r="H57" s="57">
        <f>'Generate Dummy Closed WON (Reve'!R75</f>
        <v>1819405.092</v>
      </c>
      <c r="I57" s="11" t="str">
        <f t="shared" si="4"/>
        <v>PRJ00145</v>
      </c>
      <c r="J57" s="57">
        <f>'Generate Dummy Closed WON (Reve'!S75</f>
        <v>1633751.511</v>
      </c>
      <c r="K57" s="11" t="str">
        <f t="shared" si="5"/>
        <v>PRJ00145</v>
      </c>
      <c r="L57" s="57">
        <f>'Generate Dummy Closed WON (Reve'!T75</f>
        <v>4177205.568</v>
      </c>
      <c r="M57" s="11" t="str">
        <f t="shared" si="6"/>
        <v>PRJ00145</v>
      </c>
      <c r="N57" s="57">
        <f>'Generate Dummy Closed WON (Reve'!U75</f>
        <v>3843029.122</v>
      </c>
      <c r="O57" s="11" t="str">
        <f t="shared" si="7"/>
        <v>PRJ00145</v>
      </c>
      <c r="Q57" s="11" t="str">
        <f t="shared" si="8"/>
        <v>PRJ00145</v>
      </c>
      <c r="S57" s="11" t="str">
        <f t="shared" si="9"/>
        <v>PRJ00145</v>
      </c>
      <c r="U57" s="11" t="str">
        <f t="shared" si="10"/>
        <v>PRJ00145</v>
      </c>
      <c r="W57" s="11" t="str">
        <f t="shared" si="11"/>
        <v>PRJ00145</v>
      </c>
    </row>
    <row r="58">
      <c r="A58" s="3" t="s">
        <v>288</v>
      </c>
      <c r="B58" s="57">
        <f>'Generate Dummy Closed WON (Reve'!O76</f>
        <v>4455685.939</v>
      </c>
      <c r="C58" s="11" t="str">
        <f t="shared" si="1"/>
        <v>PRJ00153</v>
      </c>
      <c r="D58" s="57">
        <f>'Generate Dummy Closed WON (Reve'!P76</f>
        <v>4455685.939</v>
      </c>
      <c r="E58" s="11" t="str">
        <f t="shared" si="2"/>
        <v>PRJ00153</v>
      </c>
      <c r="F58" s="57">
        <f>'Generate Dummy Closed WON (Reve'!Q76</f>
        <v>8911371.878</v>
      </c>
      <c r="G58" s="11" t="str">
        <f t="shared" si="3"/>
        <v>PRJ00153</v>
      </c>
      <c r="H58" s="57">
        <f>'Generate Dummy Closed WON (Reve'!R76</f>
        <v>7277620.367</v>
      </c>
      <c r="I58" s="11" t="str">
        <f t="shared" si="4"/>
        <v>PRJ00153</v>
      </c>
      <c r="J58" s="57">
        <f>'Generate Dummy Closed WON (Reve'!S76</f>
        <v>6535006.044</v>
      </c>
      <c r="K58" s="11" t="str">
        <f t="shared" si="5"/>
        <v>PRJ00153</v>
      </c>
      <c r="L58" s="57">
        <f>'Generate Dummy Closed WON (Reve'!T76</f>
        <v>0</v>
      </c>
      <c r="M58" s="11" t="str">
        <f t="shared" si="6"/>
        <v>PRJ00153</v>
      </c>
      <c r="N58" s="57">
        <f>'Generate Dummy Closed WON (Reve'!U76</f>
        <v>15372116.49</v>
      </c>
      <c r="O58" s="11" t="str">
        <f t="shared" si="7"/>
        <v>PRJ00153</v>
      </c>
      <c r="Q58" s="11" t="str">
        <f t="shared" si="8"/>
        <v>PRJ00153</v>
      </c>
      <c r="S58" s="11" t="str">
        <f t="shared" si="9"/>
        <v>PRJ00153</v>
      </c>
      <c r="U58" s="11" t="str">
        <f t="shared" si="10"/>
        <v>PRJ00153</v>
      </c>
      <c r="W58" s="11" t="str">
        <f t="shared" si="11"/>
        <v>PRJ00153</v>
      </c>
    </row>
    <row r="59">
      <c r="A59" s="3" t="s">
        <v>291</v>
      </c>
      <c r="B59" s="57">
        <f>'Generate Dummy Closed WON (Reve'!O77</f>
        <v>8911371.878</v>
      </c>
      <c r="C59" s="11" t="str">
        <f t="shared" si="1"/>
        <v>PRJ00193</v>
      </c>
      <c r="D59" s="57">
        <f>'Generate Dummy Closed WON (Reve'!P77</f>
        <v>8911371.878</v>
      </c>
      <c r="E59" s="11" t="str">
        <f t="shared" si="2"/>
        <v>PRJ00193</v>
      </c>
      <c r="F59" s="57">
        <f>'Generate Dummy Closed WON (Reve'!Q77</f>
        <v>17822743.76</v>
      </c>
      <c r="G59" s="11" t="str">
        <f t="shared" si="3"/>
        <v>PRJ00193</v>
      </c>
      <c r="H59" s="57">
        <f>'Generate Dummy Closed WON (Reve'!R77</f>
        <v>14555240.73</v>
      </c>
      <c r="I59" s="11" t="str">
        <f t="shared" si="4"/>
        <v>PRJ00193</v>
      </c>
      <c r="J59" s="57">
        <f>'Generate Dummy Closed WON (Reve'!S77</f>
        <v>13070012.09</v>
      </c>
      <c r="K59" s="11" t="str">
        <f t="shared" si="5"/>
        <v>PRJ00193</v>
      </c>
      <c r="L59" s="57">
        <f>'Generate Dummy Closed WON (Reve'!T77</f>
        <v>33417644.54</v>
      </c>
      <c r="M59" s="11" t="str">
        <f t="shared" si="6"/>
        <v>PRJ00193</v>
      </c>
      <c r="N59" s="57">
        <f>'Generate Dummy Closed WON (Reve'!U77</f>
        <v>30744232.98</v>
      </c>
      <c r="O59" s="11" t="str">
        <f t="shared" si="7"/>
        <v>PRJ00193</v>
      </c>
      <c r="Q59" s="11" t="str">
        <f t="shared" si="8"/>
        <v>PRJ00193</v>
      </c>
      <c r="S59" s="11" t="str">
        <f t="shared" si="9"/>
        <v>PRJ00193</v>
      </c>
      <c r="U59" s="11" t="str">
        <f t="shared" si="10"/>
        <v>PRJ00193</v>
      </c>
      <c r="W59" s="11" t="str">
        <f t="shared" si="11"/>
        <v>PRJ00193</v>
      </c>
    </row>
    <row r="60">
      <c r="A60" s="3" t="s">
        <v>292</v>
      </c>
      <c r="B60" s="57">
        <f>'Generate Dummy Closed WON (Reve'!O78</f>
        <v>11139214.85</v>
      </c>
      <c r="C60" s="11" t="str">
        <f t="shared" si="1"/>
        <v>PRJ00253</v>
      </c>
      <c r="D60" s="57">
        <f>'Generate Dummy Closed WON (Reve'!P78</f>
        <v>11139214.85</v>
      </c>
      <c r="E60" s="11" t="str">
        <f t="shared" si="2"/>
        <v>PRJ00253</v>
      </c>
      <c r="F60" s="57">
        <f>'Generate Dummy Closed WON (Reve'!Q78</f>
        <v>22278429.69</v>
      </c>
      <c r="G60" s="11" t="str">
        <f t="shared" si="3"/>
        <v>PRJ00253</v>
      </c>
      <c r="H60" s="57">
        <f>'Generate Dummy Closed WON (Reve'!R78</f>
        <v>18194050.92</v>
      </c>
      <c r="I60" s="11" t="str">
        <f t="shared" si="4"/>
        <v>PRJ00253</v>
      </c>
      <c r="J60" s="57">
        <f>'Generate Dummy Closed WON (Reve'!S78</f>
        <v>16337515.11</v>
      </c>
      <c r="K60" s="11" t="str">
        <f t="shared" si="5"/>
        <v>PRJ00253</v>
      </c>
      <c r="L60" s="57">
        <f>'Generate Dummy Closed WON (Reve'!T78</f>
        <v>41772055.68</v>
      </c>
      <c r="M60" s="11" t="str">
        <f t="shared" si="6"/>
        <v>PRJ00253</v>
      </c>
      <c r="N60" s="57">
        <f>'Generate Dummy Closed WON (Reve'!U78</f>
        <v>38430291.22</v>
      </c>
      <c r="O60" s="11" t="str">
        <f t="shared" si="7"/>
        <v>PRJ00253</v>
      </c>
      <c r="Q60" s="11" t="str">
        <f t="shared" si="8"/>
        <v>PRJ00253</v>
      </c>
      <c r="S60" s="11" t="str">
        <f t="shared" si="9"/>
        <v>PRJ00253</v>
      </c>
      <c r="U60" s="11" t="str">
        <f t="shared" si="10"/>
        <v>PRJ00253</v>
      </c>
      <c r="W60" s="11" t="str">
        <f t="shared" si="11"/>
        <v>PRJ00253</v>
      </c>
    </row>
    <row r="61">
      <c r="A61" s="3" t="s">
        <v>296</v>
      </c>
      <c r="B61" s="57">
        <f>'Generate Dummy Closed WON (Reve'!O79</f>
        <v>5569607.424</v>
      </c>
      <c r="C61" s="11" t="str">
        <f t="shared" si="1"/>
        <v>PRJ00305</v>
      </c>
      <c r="D61" s="57">
        <f>'Generate Dummy Closed WON (Reve'!P79</f>
        <v>5569607.424</v>
      </c>
      <c r="E61" s="11" t="str">
        <f t="shared" si="2"/>
        <v>PRJ00305</v>
      </c>
      <c r="F61" s="57">
        <f>'Generate Dummy Closed WON (Reve'!Q79</f>
        <v>11139214.85</v>
      </c>
      <c r="G61" s="11" t="str">
        <f t="shared" si="3"/>
        <v>PRJ00305</v>
      </c>
      <c r="H61" s="57">
        <f>'Generate Dummy Closed WON (Reve'!R79</f>
        <v>9097025.458</v>
      </c>
      <c r="I61" s="11" t="str">
        <f t="shared" si="4"/>
        <v>PRJ00305</v>
      </c>
      <c r="J61" s="57">
        <f>'Generate Dummy Closed WON (Reve'!S79</f>
        <v>8168757.554</v>
      </c>
      <c r="K61" s="11" t="str">
        <f t="shared" si="5"/>
        <v>PRJ00305</v>
      </c>
      <c r="L61" s="57">
        <f>'Generate Dummy Closed WON (Reve'!T79</f>
        <v>20886027.84</v>
      </c>
      <c r="M61" s="11" t="str">
        <f t="shared" si="6"/>
        <v>PRJ00305</v>
      </c>
      <c r="N61" s="57">
        <f>'Generate Dummy Closed WON (Reve'!U79</f>
        <v>19215145.61</v>
      </c>
      <c r="O61" s="11" t="str">
        <f t="shared" si="7"/>
        <v>PRJ00305</v>
      </c>
      <c r="Q61" s="11" t="str">
        <f t="shared" si="8"/>
        <v>PRJ00305</v>
      </c>
      <c r="S61" s="11" t="str">
        <f t="shared" si="9"/>
        <v>PRJ00305</v>
      </c>
      <c r="U61" s="11" t="str">
        <f t="shared" si="10"/>
        <v>PRJ00305</v>
      </c>
      <c r="W61" s="11" t="str">
        <f t="shared" si="11"/>
        <v>PRJ00305</v>
      </c>
    </row>
    <row r="62">
      <c r="A62" s="3" t="s">
        <v>299</v>
      </c>
      <c r="B62" s="57">
        <f>'Generate Dummy Closed WON (Reve'!O80</f>
        <v>2227842.969</v>
      </c>
      <c r="C62" s="11" t="str">
        <f t="shared" si="1"/>
        <v>PRJ00445</v>
      </c>
      <c r="D62" s="57">
        <f>'Generate Dummy Closed WON (Reve'!P80</f>
        <v>2227842.969</v>
      </c>
      <c r="E62" s="11" t="str">
        <f t="shared" si="2"/>
        <v>PRJ00445</v>
      </c>
      <c r="F62" s="57">
        <f>'Generate Dummy Closed WON (Reve'!Q80</f>
        <v>0</v>
      </c>
      <c r="G62" s="11" t="str">
        <f t="shared" si="3"/>
        <v>PRJ00445</v>
      </c>
      <c r="H62" s="57">
        <f>'Generate Dummy Closed WON (Reve'!R80</f>
        <v>3638810.183</v>
      </c>
      <c r="I62" s="11" t="str">
        <f t="shared" si="4"/>
        <v>PRJ00445</v>
      </c>
      <c r="J62" s="57">
        <f>'Generate Dummy Closed WON (Reve'!S80</f>
        <v>3267503.022</v>
      </c>
      <c r="K62" s="11" t="str">
        <f t="shared" si="5"/>
        <v>PRJ00445</v>
      </c>
      <c r="L62" s="57">
        <f>'Generate Dummy Closed WON (Reve'!T80</f>
        <v>8354411.135</v>
      </c>
      <c r="M62" s="11" t="str">
        <f t="shared" si="6"/>
        <v>PRJ00445</v>
      </c>
      <c r="N62" s="57">
        <f>'Generate Dummy Closed WON (Reve'!U80</f>
        <v>7686058.244</v>
      </c>
      <c r="O62" s="11" t="str">
        <f t="shared" si="7"/>
        <v>PRJ00445</v>
      </c>
      <c r="Q62" s="11" t="str">
        <f t="shared" si="8"/>
        <v>PRJ00445</v>
      </c>
      <c r="S62" s="11" t="str">
        <f t="shared" si="9"/>
        <v>PRJ00445</v>
      </c>
      <c r="U62" s="11" t="str">
        <f t="shared" si="10"/>
        <v>PRJ00445</v>
      </c>
      <c r="W62" s="11" t="str">
        <f t="shared" si="11"/>
        <v>PRJ00445</v>
      </c>
    </row>
    <row r="63">
      <c r="A63" s="3" t="s">
        <v>301</v>
      </c>
      <c r="B63" s="57">
        <f>'Generate Dummy Closed WON (Reve'!O81</f>
        <v>5569607.424</v>
      </c>
      <c r="C63" s="11" t="str">
        <f t="shared" si="1"/>
        <v>PRJ00585</v>
      </c>
      <c r="D63" s="57">
        <f>'Generate Dummy Closed WON (Reve'!P81</f>
        <v>5569607.424</v>
      </c>
      <c r="E63" s="11" t="str">
        <f t="shared" si="2"/>
        <v>PRJ00585</v>
      </c>
      <c r="F63" s="57">
        <f>'Generate Dummy Closed WON (Reve'!Q81</f>
        <v>11139214.85</v>
      </c>
      <c r="G63" s="11" t="str">
        <f t="shared" si="3"/>
        <v>PRJ00585</v>
      </c>
      <c r="H63" s="57">
        <f>'Generate Dummy Closed WON (Reve'!R81</f>
        <v>9097025.458</v>
      </c>
      <c r="I63" s="11" t="str">
        <f t="shared" si="4"/>
        <v>PRJ00585</v>
      </c>
      <c r="J63" s="57">
        <f>'Generate Dummy Closed WON (Reve'!S81</f>
        <v>8168757.554</v>
      </c>
      <c r="K63" s="11" t="str">
        <f t="shared" si="5"/>
        <v>PRJ00585</v>
      </c>
      <c r="L63" s="57">
        <f>'Generate Dummy Closed WON (Reve'!T81</f>
        <v>20886027.84</v>
      </c>
      <c r="M63" s="11" t="str">
        <f t="shared" si="6"/>
        <v>PRJ00585</v>
      </c>
      <c r="N63" s="57">
        <f>'Generate Dummy Closed WON (Reve'!U81</f>
        <v>19215145.61</v>
      </c>
      <c r="O63" s="11" t="str">
        <f t="shared" si="7"/>
        <v>PRJ00585</v>
      </c>
      <c r="Q63" s="11" t="str">
        <f t="shared" si="8"/>
        <v>PRJ00585</v>
      </c>
      <c r="S63" s="11" t="str">
        <f t="shared" si="9"/>
        <v>PRJ00585</v>
      </c>
      <c r="U63" s="11" t="str">
        <f t="shared" si="10"/>
        <v>PRJ00585</v>
      </c>
      <c r="W63" s="11" t="str">
        <f t="shared" si="11"/>
        <v>PRJ00585</v>
      </c>
    </row>
    <row r="64">
      <c r="A64" s="3" t="s">
        <v>304</v>
      </c>
      <c r="B64" s="57">
        <f>'Generate Dummy Closed WON (Reve'!O82</f>
        <v>0</v>
      </c>
      <c r="C64" s="11" t="str">
        <f t="shared" si="1"/>
        <v>PRJ00605</v>
      </c>
      <c r="D64" s="57">
        <f>'Generate Dummy Closed WON (Reve'!P82</f>
        <v>11139214.85</v>
      </c>
      <c r="E64" s="11" t="str">
        <f t="shared" si="2"/>
        <v>PRJ00605</v>
      </c>
      <c r="F64" s="57">
        <f>'Generate Dummy Closed WON (Reve'!Q82</f>
        <v>22278429.69</v>
      </c>
      <c r="G64" s="11" t="str">
        <f t="shared" si="3"/>
        <v>PRJ00605</v>
      </c>
      <c r="H64" s="57">
        <f>'Generate Dummy Closed WON (Reve'!R82</f>
        <v>18194050.92</v>
      </c>
      <c r="I64" s="11" t="str">
        <f t="shared" si="4"/>
        <v>PRJ00605</v>
      </c>
      <c r="J64" s="57">
        <f>'Generate Dummy Closed WON (Reve'!S82</f>
        <v>16337515.11</v>
      </c>
      <c r="K64" s="11" t="str">
        <f t="shared" si="5"/>
        <v>PRJ00605</v>
      </c>
      <c r="L64" s="57">
        <f>'Generate Dummy Closed WON (Reve'!T82</f>
        <v>41772055.68</v>
      </c>
      <c r="M64" s="11" t="str">
        <f t="shared" si="6"/>
        <v>PRJ00605</v>
      </c>
      <c r="N64" s="57">
        <f>'Generate Dummy Closed WON (Reve'!U82</f>
        <v>38430291.22</v>
      </c>
      <c r="O64" s="11" t="str">
        <f t="shared" si="7"/>
        <v>PRJ00605</v>
      </c>
      <c r="Q64" s="11" t="str">
        <f t="shared" si="8"/>
        <v>PRJ00605</v>
      </c>
      <c r="S64" s="11" t="str">
        <f t="shared" si="9"/>
        <v>PRJ00605</v>
      </c>
      <c r="U64" s="11" t="str">
        <f t="shared" si="10"/>
        <v>PRJ00605</v>
      </c>
      <c r="W64" s="11" t="str">
        <f t="shared" si="11"/>
        <v>PRJ00605</v>
      </c>
    </row>
    <row r="65">
      <c r="A65" s="3" t="s">
        <v>305</v>
      </c>
      <c r="B65" s="57">
        <f>'Generate Dummy Closed WON (Reve'!O83</f>
        <v>11139214.85</v>
      </c>
      <c r="C65" s="11" t="str">
        <f t="shared" si="1"/>
        <v>PRJ00673</v>
      </c>
      <c r="D65" s="57">
        <f>'Generate Dummy Closed WON (Reve'!P83</f>
        <v>0</v>
      </c>
      <c r="E65" s="11" t="str">
        <f t="shared" si="2"/>
        <v>PRJ00673</v>
      </c>
      <c r="F65" s="57">
        <f>'Generate Dummy Closed WON (Reve'!Q83</f>
        <v>4455685.939</v>
      </c>
      <c r="G65" s="11" t="str">
        <f t="shared" si="3"/>
        <v>PRJ00673</v>
      </c>
      <c r="H65" s="57">
        <f>'Generate Dummy Closed WON (Reve'!R83</f>
        <v>0</v>
      </c>
      <c r="I65" s="11" t="str">
        <f t="shared" si="4"/>
        <v>PRJ00673</v>
      </c>
      <c r="J65" s="57">
        <f>'Generate Dummy Closed WON (Reve'!S83</f>
        <v>0</v>
      </c>
      <c r="K65" s="11" t="str">
        <f t="shared" si="5"/>
        <v>PRJ00673</v>
      </c>
      <c r="L65" s="57">
        <f>'Generate Dummy Closed WON (Reve'!T83</f>
        <v>16708822.27</v>
      </c>
      <c r="M65" s="11" t="str">
        <f t="shared" si="6"/>
        <v>PRJ00673</v>
      </c>
      <c r="N65" s="57">
        <f>'Generate Dummy Closed WON (Reve'!U83</f>
        <v>0</v>
      </c>
      <c r="O65" s="11" t="str">
        <f t="shared" si="7"/>
        <v>PRJ00673</v>
      </c>
      <c r="Q65" s="11" t="str">
        <f t="shared" si="8"/>
        <v>PRJ00673</v>
      </c>
      <c r="S65" s="11" t="str">
        <f t="shared" si="9"/>
        <v>PRJ00673</v>
      </c>
      <c r="U65" s="11" t="str">
        <f t="shared" si="10"/>
        <v>PRJ00673</v>
      </c>
      <c r="W65" s="11" t="str">
        <f t="shared" si="11"/>
        <v>PRJ00673</v>
      </c>
    </row>
    <row r="66">
      <c r="A66" s="3" t="s">
        <v>308</v>
      </c>
      <c r="B66" s="57">
        <f>'Generate Dummy Closed WON (Reve'!O84</f>
        <v>2227842.969</v>
      </c>
      <c r="C66" s="11" t="str">
        <f t="shared" si="1"/>
        <v>PRJ00733</v>
      </c>
      <c r="D66" s="57">
        <f>'Generate Dummy Closed WON (Reve'!P84</f>
        <v>2227842.969</v>
      </c>
      <c r="E66" s="11" t="str">
        <f t="shared" si="2"/>
        <v>PRJ00733</v>
      </c>
      <c r="F66" s="57">
        <f>'Generate Dummy Closed WON (Reve'!Q84</f>
        <v>4455685.939</v>
      </c>
      <c r="G66" s="11" t="str">
        <f t="shared" si="3"/>
        <v>PRJ00733</v>
      </c>
      <c r="H66" s="57">
        <f>'Generate Dummy Closed WON (Reve'!R84</f>
        <v>3638810.183</v>
      </c>
      <c r="I66" s="11" t="str">
        <f t="shared" si="4"/>
        <v>PRJ00733</v>
      </c>
      <c r="J66" s="57">
        <f>'Generate Dummy Closed WON (Reve'!S84</f>
        <v>3267503.022</v>
      </c>
      <c r="K66" s="11" t="str">
        <f t="shared" si="5"/>
        <v>PRJ00733</v>
      </c>
      <c r="L66" s="57">
        <f>'Generate Dummy Closed WON (Reve'!T84</f>
        <v>8354411.135</v>
      </c>
      <c r="M66" s="11" t="str">
        <f t="shared" si="6"/>
        <v>PRJ00733</v>
      </c>
      <c r="N66" s="57">
        <f>'Generate Dummy Closed WON (Reve'!U84</f>
        <v>7686058.244</v>
      </c>
      <c r="O66" s="11" t="str">
        <f t="shared" si="7"/>
        <v>PRJ00733</v>
      </c>
      <c r="Q66" s="11" t="str">
        <f t="shared" si="8"/>
        <v>PRJ00733</v>
      </c>
      <c r="S66" s="11" t="str">
        <f t="shared" si="9"/>
        <v>PRJ00733</v>
      </c>
      <c r="U66" s="11" t="str">
        <f t="shared" si="10"/>
        <v>PRJ00733</v>
      </c>
      <c r="W66" s="11" t="str">
        <f t="shared" si="11"/>
        <v>PRJ00733</v>
      </c>
    </row>
    <row r="67">
      <c r="A67" s="3" t="s">
        <v>309</v>
      </c>
      <c r="B67" s="57">
        <f>'Generate Dummy Closed WON (Reve'!O85</f>
        <v>3341764.454</v>
      </c>
      <c r="C67" s="11" t="str">
        <f t="shared" si="1"/>
        <v>PRJ00925</v>
      </c>
      <c r="D67" s="57">
        <f>'Generate Dummy Closed WON (Reve'!P85</f>
        <v>3341764.454</v>
      </c>
      <c r="E67" s="11" t="str">
        <f t="shared" si="2"/>
        <v>PRJ00925</v>
      </c>
      <c r="F67" s="57">
        <f>'Generate Dummy Closed WON (Reve'!Q85</f>
        <v>6683528.908</v>
      </c>
      <c r="G67" s="11" t="str">
        <f t="shared" si="3"/>
        <v>PRJ00925</v>
      </c>
      <c r="H67" s="57">
        <f>'Generate Dummy Closed WON (Reve'!R85</f>
        <v>5458215.275</v>
      </c>
      <c r="I67" s="11" t="str">
        <f t="shared" si="4"/>
        <v>PRJ00925</v>
      </c>
      <c r="J67" s="57">
        <f>'Generate Dummy Closed WON (Reve'!S85</f>
        <v>4901254.533</v>
      </c>
      <c r="K67" s="11" t="str">
        <f t="shared" si="5"/>
        <v>PRJ00925</v>
      </c>
      <c r="L67" s="57">
        <f>'Generate Dummy Closed WON (Reve'!T85</f>
        <v>12531616.7</v>
      </c>
      <c r="M67" s="11" t="str">
        <f t="shared" si="6"/>
        <v>PRJ00925</v>
      </c>
      <c r="N67" s="57">
        <f>'Generate Dummy Closed WON (Reve'!U85</f>
        <v>11529087.37</v>
      </c>
      <c r="O67" s="11" t="str">
        <f t="shared" si="7"/>
        <v>PRJ00925</v>
      </c>
      <c r="Q67" s="11" t="str">
        <f t="shared" si="8"/>
        <v>PRJ00925</v>
      </c>
      <c r="S67" s="11" t="str">
        <f t="shared" si="9"/>
        <v>PRJ00925</v>
      </c>
      <c r="U67" s="11" t="str">
        <f t="shared" si="10"/>
        <v>PRJ00925</v>
      </c>
      <c r="W67" s="11" t="str">
        <f t="shared" si="11"/>
        <v>PRJ00925</v>
      </c>
    </row>
    <row r="68">
      <c r="A68" s="3" t="s">
        <v>312</v>
      </c>
      <c r="B68" s="57">
        <f>'Generate Dummy Closed WON (Reve'!O86</f>
        <v>4455685.939</v>
      </c>
      <c r="C68" s="11" t="str">
        <f t="shared" si="1"/>
        <v>PRJ00945</v>
      </c>
      <c r="D68" s="57">
        <f>'Generate Dummy Closed WON (Reve'!P86</f>
        <v>4455685.939</v>
      </c>
      <c r="E68" s="11" t="str">
        <f t="shared" si="2"/>
        <v>PRJ00945</v>
      </c>
      <c r="F68" s="57">
        <f>'Generate Dummy Closed WON (Reve'!Q86</f>
        <v>8911371.878</v>
      </c>
      <c r="G68" s="11" t="str">
        <f t="shared" si="3"/>
        <v>PRJ00945</v>
      </c>
      <c r="H68" s="57">
        <f>'Generate Dummy Closed WON (Reve'!R86</f>
        <v>7277620.367</v>
      </c>
      <c r="I68" s="11" t="str">
        <f t="shared" si="4"/>
        <v>PRJ00945</v>
      </c>
      <c r="J68" s="57">
        <f>'Generate Dummy Closed WON (Reve'!S86</f>
        <v>6535006.044</v>
      </c>
      <c r="K68" s="11" t="str">
        <f t="shared" si="5"/>
        <v>PRJ00945</v>
      </c>
      <c r="L68" s="57">
        <f>'Generate Dummy Closed WON (Reve'!T86</f>
        <v>16708822.27</v>
      </c>
      <c r="M68" s="11" t="str">
        <f t="shared" si="6"/>
        <v>PRJ00945</v>
      </c>
      <c r="N68" s="57">
        <f>'Generate Dummy Closed WON (Reve'!U86</f>
        <v>15372116.49</v>
      </c>
      <c r="O68" s="11" t="str">
        <f t="shared" si="7"/>
        <v>PRJ00945</v>
      </c>
      <c r="Q68" s="11" t="str">
        <f t="shared" si="8"/>
        <v>PRJ00945</v>
      </c>
      <c r="S68" s="11" t="str">
        <f t="shared" si="9"/>
        <v>PRJ00945</v>
      </c>
      <c r="U68" s="11" t="str">
        <f t="shared" si="10"/>
        <v>PRJ00945</v>
      </c>
      <c r="W68" s="11" t="str">
        <f t="shared" si="11"/>
        <v>PRJ00945</v>
      </c>
    </row>
    <row r="69">
      <c r="A69" s="3" t="s">
        <v>316</v>
      </c>
      <c r="B69" s="57">
        <f>'Generate Dummy Closed WON (Reve'!O87</f>
        <v>5569607.424</v>
      </c>
      <c r="C69" s="11" t="str">
        <f t="shared" si="1"/>
        <v>PRJ00960</v>
      </c>
      <c r="D69" s="57">
        <f>'Generate Dummy Closed WON (Reve'!P87</f>
        <v>5569607.424</v>
      </c>
      <c r="E69" s="11" t="str">
        <f t="shared" si="2"/>
        <v>PRJ00960</v>
      </c>
      <c r="F69" s="57">
        <f>'Generate Dummy Closed WON (Reve'!Q87</f>
        <v>11139214.85</v>
      </c>
      <c r="G69" s="11" t="str">
        <f t="shared" si="3"/>
        <v>PRJ00960</v>
      </c>
      <c r="H69" s="57">
        <f>'Generate Dummy Closed WON (Reve'!R87</f>
        <v>9097025.458</v>
      </c>
      <c r="I69" s="11" t="str">
        <f t="shared" si="4"/>
        <v>PRJ00960</v>
      </c>
      <c r="J69" s="57">
        <f>'Generate Dummy Closed WON (Reve'!S87</f>
        <v>8168757.554</v>
      </c>
      <c r="K69" s="11" t="str">
        <f t="shared" si="5"/>
        <v>PRJ00960</v>
      </c>
      <c r="L69" s="57">
        <f>'Generate Dummy Closed WON (Reve'!T87</f>
        <v>20886027.84</v>
      </c>
      <c r="M69" s="11" t="str">
        <f t="shared" si="6"/>
        <v>PRJ00960</v>
      </c>
      <c r="N69" s="57">
        <f>'Generate Dummy Closed WON (Reve'!U87</f>
        <v>19215145.61</v>
      </c>
      <c r="O69" s="11" t="str">
        <f t="shared" si="7"/>
        <v>PRJ00960</v>
      </c>
      <c r="Q69" s="11" t="str">
        <f t="shared" si="8"/>
        <v>PRJ00960</v>
      </c>
      <c r="S69" s="11" t="str">
        <f t="shared" si="9"/>
        <v>PRJ00960</v>
      </c>
      <c r="U69" s="11" t="str">
        <f t="shared" si="10"/>
        <v>PRJ00960</v>
      </c>
      <c r="W69" s="11" t="str">
        <f t="shared" si="11"/>
        <v>PRJ00960</v>
      </c>
    </row>
    <row r="70">
      <c r="A70" s="3" t="s">
        <v>317</v>
      </c>
      <c r="B70" s="57">
        <f>'Generate Dummy Closed WON (Reve'!O88</f>
        <v>2227842.969</v>
      </c>
      <c r="C70" s="11" t="str">
        <f t="shared" si="1"/>
        <v>PRJ01000</v>
      </c>
      <c r="D70" s="57">
        <f>'Generate Dummy Closed WON (Reve'!P88</f>
        <v>2227842.969</v>
      </c>
      <c r="E70" s="11" t="str">
        <f t="shared" si="2"/>
        <v>PRJ01000</v>
      </c>
      <c r="F70" s="57">
        <f>'Generate Dummy Closed WON (Reve'!Q88</f>
        <v>4455685.939</v>
      </c>
      <c r="G70" s="11" t="str">
        <f t="shared" si="3"/>
        <v>PRJ01000</v>
      </c>
      <c r="H70" s="57">
        <f>'Generate Dummy Closed WON (Reve'!R88</f>
        <v>3638810.183</v>
      </c>
      <c r="I70" s="11" t="str">
        <f t="shared" si="4"/>
        <v>PRJ01000</v>
      </c>
      <c r="J70" s="57">
        <f>'Generate Dummy Closed WON (Reve'!S88</f>
        <v>3267503.022</v>
      </c>
      <c r="K70" s="11" t="str">
        <f t="shared" si="5"/>
        <v>PRJ01000</v>
      </c>
      <c r="L70" s="57">
        <f>'Generate Dummy Closed WON (Reve'!T88</f>
        <v>8354411.135</v>
      </c>
      <c r="M70" s="11" t="str">
        <f t="shared" si="6"/>
        <v>PRJ01000</v>
      </c>
      <c r="N70" s="57">
        <f>'Generate Dummy Closed WON (Reve'!U88</f>
        <v>7686058.244</v>
      </c>
      <c r="O70" s="11" t="str">
        <f t="shared" si="7"/>
        <v>PRJ01000</v>
      </c>
      <c r="Q70" s="11" t="str">
        <f t="shared" si="8"/>
        <v>PRJ01000</v>
      </c>
      <c r="S70" s="11" t="str">
        <f t="shared" si="9"/>
        <v>PRJ01000</v>
      </c>
      <c r="U70" s="11" t="str">
        <f t="shared" si="10"/>
        <v>PRJ01000</v>
      </c>
      <c r="W70" s="11" t="str">
        <f t="shared" si="11"/>
        <v>PRJ01000</v>
      </c>
    </row>
    <row r="71">
      <c r="A71" s="35" t="str">
        <f>'Generate Dummy Closed WON (Reve'!A94</f>
        <v>PRJ00023</v>
      </c>
      <c r="B71" s="11">
        <f>'Generate Dummy Closed WON (Reve'!D94</f>
        <v>1326097.006</v>
      </c>
      <c r="C71" s="11" t="str">
        <f t="shared" si="1"/>
        <v>PRJ00023</v>
      </c>
      <c r="D71" s="11">
        <f>'Generate Dummy Closed WON (Reve'!E94</f>
        <v>1326097.006</v>
      </c>
      <c r="E71" s="11" t="str">
        <f t="shared" ref="E71:E83" si="12">
A71</f>
        <v>PRJ00023</v>
      </c>
      <c r="F71" s="11">
        <f>'Generate Dummy Closed WON (Reve'!F94</f>
        <v>2652194.011</v>
      </c>
      <c r="G71" s="11" t="str">
        <f t="shared" ref="G71:G109" si="13">E71</f>
        <v>PRJ00023</v>
      </c>
      <c r="H71" s="11">
        <f>'Generate Dummy Closed WON (Reve'!G94</f>
        <v>2165958.442</v>
      </c>
      <c r="I71" s="11" t="str">
        <f t="shared" si="4"/>
        <v>PRJ00023</v>
      </c>
      <c r="J71" s="11">
        <f>'Generate Dummy Closed WON (Reve'!H94</f>
        <v>1944942.275</v>
      </c>
      <c r="K71" s="11" t="str">
        <f t="shared" si="5"/>
        <v>PRJ00023</v>
      </c>
      <c r="L71" s="11">
        <f>'Generate Dummy Closed WON (Reve'!I94</f>
        <v>4972863.771</v>
      </c>
      <c r="M71" s="11" t="str">
        <f t="shared" si="6"/>
        <v>PRJ00023</v>
      </c>
      <c r="N71" s="11">
        <f>'Generate Dummy Closed WON (Reve'!J94</f>
        <v>4575034.669</v>
      </c>
      <c r="O71" s="11" t="str">
        <f t="shared" si="7"/>
        <v>PRJ00023</v>
      </c>
    </row>
    <row r="72">
      <c r="A72" s="11" t="str">
        <f>'Generate Dummy Closed WON (Reve'!A95</f>
        <v>PRJ00106</v>
      </c>
      <c r="B72" s="11">
        <f>'Generate Dummy Closed WON (Reve'!D95</f>
        <v>13260970.06</v>
      </c>
      <c r="C72" s="11" t="str">
        <f t="shared" si="1"/>
        <v>PRJ00106</v>
      </c>
      <c r="D72" s="11">
        <f>'Generate Dummy Closed WON (Reve'!E95</f>
        <v>13260970.06</v>
      </c>
      <c r="E72" s="11" t="str">
        <f t="shared" si="12"/>
        <v>PRJ00106</v>
      </c>
      <c r="F72" s="11">
        <f>'Generate Dummy Closed WON (Reve'!F95</f>
        <v>26521940.11</v>
      </c>
      <c r="G72" s="11" t="str">
        <f t="shared" si="13"/>
        <v>PRJ00106</v>
      </c>
      <c r="H72" s="11">
        <f>'Generate Dummy Closed WON (Reve'!G95</f>
        <v>21659584.42</v>
      </c>
      <c r="I72" s="11" t="str">
        <f t="shared" si="4"/>
        <v>PRJ00106</v>
      </c>
      <c r="J72" s="11">
        <f>'Generate Dummy Closed WON (Reve'!H95</f>
        <v>19449422.75</v>
      </c>
      <c r="K72" s="11" t="str">
        <f t="shared" si="5"/>
        <v>PRJ00106</v>
      </c>
      <c r="L72" s="11">
        <f>'Generate Dummy Closed WON (Reve'!I95</f>
        <v>49728637.71</v>
      </c>
      <c r="M72" s="11" t="str">
        <f t="shared" si="6"/>
        <v>PRJ00106</v>
      </c>
      <c r="N72" s="11">
        <f>'Generate Dummy Closed WON (Reve'!J95</f>
        <v>45750346.69</v>
      </c>
      <c r="O72" s="11" t="str">
        <f t="shared" si="7"/>
        <v>PRJ00106</v>
      </c>
    </row>
    <row r="73">
      <c r="A73" s="11" t="str">
        <f>'Generate Dummy Closed WON (Reve'!A96</f>
        <v>PRJ00186</v>
      </c>
      <c r="B73" s="11">
        <f>'Generate Dummy Closed WON (Reve'!D96</f>
        <v>2652194.011</v>
      </c>
      <c r="C73" s="11" t="str">
        <f t="shared" si="1"/>
        <v>PRJ00186</v>
      </c>
      <c r="D73" s="11">
        <f>'Generate Dummy Closed WON (Reve'!E96</f>
        <v>2652194.011</v>
      </c>
      <c r="E73" s="11" t="str">
        <f t="shared" si="12"/>
        <v>PRJ00186</v>
      </c>
      <c r="F73" s="11">
        <f>'Generate Dummy Closed WON (Reve'!F96</f>
        <v>5304388.022</v>
      </c>
      <c r="G73" s="11" t="str">
        <f t="shared" si="13"/>
        <v>PRJ00186</v>
      </c>
      <c r="H73" s="11">
        <f>'Generate Dummy Closed WON (Reve'!G96</f>
        <v>4331916.885</v>
      </c>
      <c r="I73" s="11" t="str">
        <f t="shared" si="4"/>
        <v>PRJ00186</v>
      </c>
      <c r="J73" s="11">
        <f>'Generate Dummy Closed WON (Reve'!H96</f>
        <v>3889884.55</v>
      </c>
      <c r="K73" s="11" t="str">
        <f t="shared" si="5"/>
        <v>PRJ00186</v>
      </c>
      <c r="L73" s="11">
        <f>'Generate Dummy Closed WON (Reve'!I96</f>
        <v>9945727.542</v>
      </c>
      <c r="M73" s="11" t="str">
        <f t="shared" si="6"/>
        <v>PRJ00186</v>
      </c>
      <c r="N73" s="11">
        <f>'Generate Dummy Closed WON (Reve'!J96</f>
        <v>9150069.339</v>
      </c>
      <c r="O73" s="11" t="str">
        <f t="shared" si="7"/>
        <v>PRJ00186</v>
      </c>
    </row>
    <row r="74">
      <c r="A74" s="11" t="str">
        <f>'Generate Dummy Closed WON (Reve'!A97</f>
        <v>PRJ00266</v>
      </c>
      <c r="B74" s="11">
        <f>'Generate Dummy Closed WON (Reve'!D97</f>
        <v>5304388.022</v>
      </c>
      <c r="C74" s="11" t="str">
        <f t="shared" si="1"/>
        <v>PRJ00266</v>
      </c>
      <c r="D74" s="11">
        <f>'Generate Dummy Closed WON (Reve'!E97</f>
        <v>5304388.022</v>
      </c>
      <c r="E74" s="11" t="str">
        <f t="shared" si="12"/>
        <v>PRJ00266</v>
      </c>
      <c r="F74" s="11">
        <f>'Generate Dummy Closed WON (Reve'!F97</f>
        <v>10608776.04</v>
      </c>
      <c r="G74" s="11" t="str">
        <f t="shared" si="13"/>
        <v>PRJ00266</v>
      </c>
      <c r="H74" s="11">
        <f>'Generate Dummy Closed WON (Reve'!G97</f>
        <v>8663833.77</v>
      </c>
      <c r="I74" s="11" t="str">
        <f t="shared" si="4"/>
        <v>PRJ00266</v>
      </c>
      <c r="J74" s="11">
        <f>'Generate Dummy Closed WON (Reve'!H97</f>
        <v>7779769.1</v>
      </c>
      <c r="K74" s="11" t="str">
        <f t="shared" si="5"/>
        <v>PRJ00266</v>
      </c>
      <c r="L74" s="11">
        <f>'Generate Dummy Closed WON (Reve'!I97</f>
        <v>19891455.08</v>
      </c>
      <c r="M74" s="11" t="str">
        <f t="shared" si="6"/>
        <v>PRJ00266</v>
      </c>
      <c r="N74" s="11">
        <f>'Generate Dummy Closed WON (Reve'!J97</f>
        <v>18300138.68</v>
      </c>
      <c r="O74" s="11" t="str">
        <f t="shared" si="7"/>
        <v>PRJ00266</v>
      </c>
    </row>
    <row r="75">
      <c r="A75" s="11" t="str">
        <f>'Generate Dummy Closed WON (Reve'!A98</f>
        <v>PRJ00316</v>
      </c>
      <c r="B75" s="11">
        <f>'Generate Dummy Closed WON (Reve'!D98</f>
        <v>5304388.022</v>
      </c>
      <c r="C75" s="11" t="str">
        <f t="shared" si="1"/>
        <v>PRJ00316</v>
      </c>
      <c r="D75" s="11">
        <f>'Generate Dummy Closed WON (Reve'!E98</f>
        <v>5304388.022</v>
      </c>
      <c r="E75" s="11" t="str">
        <f t="shared" si="12"/>
        <v>PRJ00316</v>
      </c>
      <c r="F75" s="11">
        <f>'Generate Dummy Closed WON (Reve'!F98</f>
        <v>10608776.04</v>
      </c>
      <c r="G75" s="11" t="str">
        <f t="shared" si="13"/>
        <v>PRJ00316</v>
      </c>
      <c r="H75" s="11">
        <f>'Generate Dummy Closed WON (Reve'!G98</f>
        <v>8663833.77</v>
      </c>
      <c r="I75" s="11" t="str">
        <f t="shared" si="4"/>
        <v>PRJ00316</v>
      </c>
      <c r="J75" s="11">
        <f>'Generate Dummy Closed WON (Reve'!H98</f>
        <v>7779769.1</v>
      </c>
      <c r="K75" s="11" t="str">
        <f t="shared" si="5"/>
        <v>PRJ00316</v>
      </c>
      <c r="L75" s="11">
        <f>'Generate Dummy Closed WON (Reve'!I98</f>
        <v>19891455.08</v>
      </c>
      <c r="M75" s="11" t="str">
        <f t="shared" si="6"/>
        <v>PRJ00316</v>
      </c>
      <c r="N75" s="11">
        <f>'Generate Dummy Closed WON (Reve'!J98</f>
        <v>18300138.68</v>
      </c>
      <c r="O75" s="11" t="str">
        <f t="shared" si="7"/>
        <v>PRJ00316</v>
      </c>
    </row>
    <row r="76">
      <c r="A76" s="11" t="str">
        <f>'Generate Dummy Closed WON (Reve'!A99</f>
        <v>PRJ00376</v>
      </c>
      <c r="B76" s="11">
        <f>'Generate Dummy Closed WON (Reve'!D99</f>
        <v>3978291.017</v>
      </c>
      <c r="C76" s="11" t="str">
        <f t="shared" si="1"/>
        <v>PRJ00376</v>
      </c>
      <c r="D76" s="11">
        <f>'Generate Dummy Closed WON (Reve'!E99</f>
        <v>3978291.017</v>
      </c>
      <c r="E76" s="11" t="str">
        <f t="shared" si="12"/>
        <v>PRJ00376</v>
      </c>
      <c r="F76" s="11">
        <f>'Generate Dummy Closed WON (Reve'!F99</f>
        <v>7956582.034</v>
      </c>
      <c r="G76" s="11" t="str">
        <f t="shared" si="13"/>
        <v>PRJ00376</v>
      </c>
      <c r="H76" s="11">
        <f>'Generate Dummy Closed WON (Reve'!G99</f>
        <v>6497875.327</v>
      </c>
      <c r="I76" s="11" t="str">
        <f t="shared" si="4"/>
        <v>PRJ00376</v>
      </c>
      <c r="J76" s="11">
        <f>'Generate Dummy Closed WON (Reve'!H99</f>
        <v>5834826.825</v>
      </c>
      <c r="K76" s="11" t="str">
        <f t="shared" si="5"/>
        <v>PRJ00376</v>
      </c>
      <c r="L76" s="11">
        <f>'Generate Dummy Closed WON (Reve'!I99</f>
        <v>14918591.31</v>
      </c>
      <c r="M76" s="11" t="str">
        <f t="shared" si="6"/>
        <v>PRJ00376</v>
      </c>
      <c r="N76" s="11">
        <f>'Generate Dummy Closed WON (Reve'!J99</f>
        <v>13725104.01</v>
      </c>
      <c r="O76" s="11" t="str">
        <f t="shared" si="7"/>
        <v>PRJ00376</v>
      </c>
    </row>
    <row r="77">
      <c r="A77" s="11" t="str">
        <f>'Generate Dummy Closed WON (Reve'!A100</f>
        <v>PRJ00646</v>
      </c>
      <c r="B77" s="11">
        <f>'Generate Dummy Closed WON (Reve'!D100</f>
        <v>9282679.039</v>
      </c>
      <c r="C77" s="11" t="str">
        <f t="shared" si="1"/>
        <v>PRJ00646</v>
      </c>
      <c r="D77" s="11">
        <f>'Generate Dummy Closed WON (Reve'!E100</f>
        <v>9282679.039</v>
      </c>
      <c r="E77" s="11" t="str">
        <f t="shared" si="12"/>
        <v>PRJ00646</v>
      </c>
      <c r="F77" s="11">
        <f>'Generate Dummy Closed WON (Reve'!F100</f>
        <v>18565358.08</v>
      </c>
      <c r="G77" s="11" t="str">
        <f t="shared" si="13"/>
        <v>PRJ00646</v>
      </c>
      <c r="H77" s="11">
        <f>'Generate Dummy Closed WON (Reve'!G100</f>
        <v>15161709.1</v>
      </c>
      <c r="I77" s="11" t="str">
        <f t="shared" si="4"/>
        <v>PRJ00646</v>
      </c>
      <c r="J77" s="11">
        <f>'Generate Dummy Closed WON (Reve'!H100</f>
        <v>13614595.92</v>
      </c>
      <c r="K77" s="11" t="str">
        <f t="shared" si="5"/>
        <v>PRJ00646</v>
      </c>
      <c r="L77" s="11">
        <f>'Generate Dummy Closed WON (Reve'!I100</f>
        <v>34810046.4</v>
      </c>
      <c r="M77" s="11" t="str">
        <f t="shared" si="6"/>
        <v>PRJ00646</v>
      </c>
      <c r="N77" s="11">
        <f>'Generate Dummy Closed WON (Reve'!J100</f>
        <v>32025242.69</v>
      </c>
      <c r="O77" s="11" t="str">
        <f t="shared" si="7"/>
        <v>PRJ00646</v>
      </c>
    </row>
    <row r="78">
      <c r="A78" s="11" t="str">
        <f>'Generate Dummy Closed WON (Reve'!A101</f>
        <v>PRJ00726</v>
      </c>
      <c r="B78" s="11">
        <f>'Generate Dummy Closed WON (Reve'!D101</f>
        <v>9282679.039</v>
      </c>
      <c r="C78" s="11" t="str">
        <f t="shared" si="1"/>
        <v>PRJ00726</v>
      </c>
      <c r="D78" s="11">
        <f>'Generate Dummy Closed WON (Reve'!E101</f>
        <v>9282679.039</v>
      </c>
      <c r="E78" s="11" t="str">
        <f t="shared" si="12"/>
        <v>PRJ00726</v>
      </c>
      <c r="F78" s="11">
        <f>'Generate Dummy Closed WON (Reve'!F101</f>
        <v>18565358.08</v>
      </c>
      <c r="G78" s="11" t="str">
        <f t="shared" si="13"/>
        <v>PRJ00726</v>
      </c>
      <c r="H78" s="11">
        <f>'Generate Dummy Closed WON (Reve'!G101</f>
        <v>15161709.1</v>
      </c>
      <c r="I78" s="11" t="str">
        <f t="shared" si="4"/>
        <v>PRJ00726</v>
      </c>
      <c r="J78" s="11">
        <f>'Generate Dummy Closed WON (Reve'!H101</f>
        <v>13614595.92</v>
      </c>
      <c r="K78" s="11" t="str">
        <f t="shared" si="5"/>
        <v>PRJ00726</v>
      </c>
      <c r="L78" s="11">
        <f>'Generate Dummy Closed WON (Reve'!I101</f>
        <v>34810046.4</v>
      </c>
      <c r="M78" s="11" t="str">
        <f t="shared" si="6"/>
        <v>PRJ00726</v>
      </c>
      <c r="N78" s="11">
        <f>'Generate Dummy Closed WON (Reve'!J101</f>
        <v>32025242.69</v>
      </c>
      <c r="O78" s="11" t="str">
        <f t="shared" si="7"/>
        <v>PRJ00726</v>
      </c>
    </row>
    <row r="79">
      <c r="A79" s="11" t="str">
        <f>'Generate Dummy Closed WON (Reve'!A102</f>
        <v>PRJ00766</v>
      </c>
      <c r="B79" s="11">
        <f>'Generate Dummy Closed WON (Reve'!D102</f>
        <v>1326097.006</v>
      </c>
      <c r="C79" s="11" t="str">
        <f t="shared" si="1"/>
        <v>PRJ00766</v>
      </c>
      <c r="D79" s="11">
        <f>'Generate Dummy Closed WON (Reve'!E102</f>
        <v>1326097.006</v>
      </c>
      <c r="E79" s="11" t="str">
        <f t="shared" si="12"/>
        <v>PRJ00766</v>
      </c>
      <c r="F79" s="11">
        <f>'Generate Dummy Closed WON (Reve'!F102</f>
        <v>2652194.011</v>
      </c>
      <c r="G79" s="11" t="str">
        <f t="shared" si="13"/>
        <v>PRJ00766</v>
      </c>
      <c r="H79" s="11">
        <f>'Generate Dummy Closed WON (Reve'!G102</f>
        <v>2165958.442</v>
      </c>
      <c r="I79" s="11" t="str">
        <f t="shared" si="4"/>
        <v>PRJ00766</v>
      </c>
      <c r="J79" s="11">
        <f>'Generate Dummy Closed WON (Reve'!H102</f>
        <v>1944942.275</v>
      </c>
      <c r="K79" s="11" t="str">
        <f t="shared" si="5"/>
        <v>PRJ00766</v>
      </c>
      <c r="L79" s="11">
        <f>'Generate Dummy Closed WON (Reve'!I102</f>
        <v>4972863.771</v>
      </c>
      <c r="M79" s="11" t="str">
        <f t="shared" si="6"/>
        <v>PRJ00766</v>
      </c>
      <c r="N79" s="11">
        <f>'Generate Dummy Closed WON (Reve'!J102</f>
        <v>4575034.669</v>
      </c>
      <c r="O79" s="11" t="str">
        <f t="shared" si="7"/>
        <v>PRJ00766</v>
      </c>
    </row>
    <row r="80">
      <c r="A80" s="11" t="str">
        <f>'Generate Dummy Closed WON (Reve'!A103</f>
        <v>PRJ00816</v>
      </c>
      <c r="B80" s="11">
        <f>'Generate Dummy Closed WON (Reve'!D103</f>
        <v>9282679.039</v>
      </c>
      <c r="C80" s="11" t="str">
        <f t="shared" si="1"/>
        <v>PRJ00816</v>
      </c>
      <c r="D80" s="11">
        <f>'Generate Dummy Closed WON (Reve'!E103</f>
        <v>9282679.039</v>
      </c>
      <c r="E80" s="11" t="str">
        <f t="shared" si="12"/>
        <v>PRJ00816</v>
      </c>
      <c r="F80" s="11">
        <f>'Generate Dummy Closed WON (Reve'!F103</f>
        <v>18565358.08</v>
      </c>
      <c r="G80" s="11" t="str">
        <f t="shared" si="13"/>
        <v>PRJ00816</v>
      </c>
      <c r="H80" s="11">
        <f>'Generate Dummy Closed WON (Reve'!G103</f>
        <v>15161709.1</v>
      </c>
      <c r="I80" s="11" t="str">
        <f t="shared" si="4"/>
        <v>PRJ00816</v>
      </c>
      <c r="J80" s="11">
        <f>'Generate Dummy Closed WON (Reve'!H103</f>
        <v>13614595.92</v>
      </c>
      <c r="K80" s="11" t="str">
        <f t="shared" si="5"/>
        <v>PRJ00816</v>
      </c>
      <c r="L80" s="11">
        <f>'Generate Dummy Closed WON (Reve'!I103</f>
        <v>34810046.4</v>
      </c>
      <c r="M80" s="11" t="str">
        <f t="shared" si="6"/>
        <v>PRJ00816</v>
      </c>
      <c r="N80" s="11">
        <f>'Generate Dummy Closed WON (Reve'!J103</f>
        <v>32025242.69</v>
      </c>
      <c r="O80" s="11" t="str">
        <f t="shared" si="7"/>
        <v>PRJ00816</v>
      </c>
    </row>
    <row r="81">
      <c r="A81" s="11" t="str">
        <f>'Generate Dummy Closed WON (Reve'!A104</f>
        <v>PRJ00846</v>
      </c>
      <c r="B81" s="11">
        <f>'Generate Dummy Closed WON (Reve'!D104</f>
        <v>2652194.011</v>
      </c>
      <c r="C81" s="11" t="str">
        <f t="shared" si="1"/>
        <v>PRJ00846</v>
      </c>
      <c r="D81" s="11">
        <f>'Generate Dummy Closed WON (Reve'!E104</f>
        <v>2652194.011</v>
      </c>
      <c r="E81" s="11" t="str">
        <f t="shared" si="12"/>
        <v>PRJ00846</v>
      </c>
      <c r="F81" s="11">
        <f>'Generate Dummy Closed WON (Reve'!F104</f>
        <v>5304388.022</v>
      </c>
      <c r="G81" s="11" t="str">
        <f t="shared" si="13"/>
        <v>PRJ00846</v>
      </c>
      <c r="H81" s="11">
        <f>'Generate Dummy Closed WON (Reve'!G104</f>
        <v>4331916.885</v>
      </c>
      <c r="I81" s="11" t="str">
        <f t="shared" si="4"/>
        <v>PRJ00846</v>
      </c>
      <c r="J81" s="11">
        <f>'Generate Dummy Closed WON (Reve'!H104</f>
        <v>3889884.55</v>
      </c>
      <c r="K81" s="11" t="str">
        <f t="shared" si="5"/>
        <v>PRJ00846</v>
      </c>
      <c r="L81" s="11">
        <f>'Generate Dummy Closed WON (Reve'!I104</f>
        <v>9945727.542</v>
      </c>
      <c r="M81" s="11" t="str">
        <f t="shared" si="6"/>
        <v>PRJ00846</v>
      </c>
      <c r="N81" s="11">
        <f>'Generate Dummy Closed WON (Reve'!J104</f>
        <v>9150069.339</v>
      </c>
      <c r="O81" s="11" t="str">
        <f t="shared" si="7"/>
        <v>PRJ00846</v>
      </c>
    </row>
    <row r="82">
      <c r="A82" s="11" t="str">
        <f>'Generate Dummy Closed WON (Reve'!A105</f>
        <v>PRJ00886</v>
      </c>
      <c r="B82" s="11">
        <f>'Generate Dummy Closed WON (Reve'!D105</f>
        <v>9282679.039</v>
      </c>
      <c r="C82" s="11" t="str">
        <f t="shared" si="1"/>
        <v>PRJ00886</v>
      </c>
      <c r="D82" s="11">
        <f>'Generate Dummy Closed WON (Reve'!E105</f>
        <v>9282679.039</v>
      </c>
      <c r="E82" s="11" t="str">
        <f t="shared" si="12"/>
        <v>PRJ00886</v>
      </c>
      <c r="F82" s="11">
        <f>'Generate Dummy Closed WON (Reve'!F105</f>
        <v>18565358.08</v>
      </c>
      <c r="G82" s="11" t="str">
        <f t="shared" si="13"/>
        <v>PRJ00886</v>
      </c>
      <c r="H82" s="11">
        <f>'Generate Dummy Closed WON (Reve'!G105</f>
        <v>15161709.1</v>
      </c>
      <c r="I82" s="11" t="str">
        <f t="shared" si="4"/>
        <v>PRJ00886</v>
      </c>
      <c r="J82" s="11">
        <f>'Generate Dummy Closed WON (Reve'!H105</f>
        <v>13614595.92</v>
      </c>
      <c r="K82" s="11" t="str">
        <f t="shared" si="5"/>
        <v>PRJ00886</v>
      </c>
      <c r="L82" s="11">
        <f>'Generate Dummy Closed WON (Reve'!I105</f>
        <v>34810046.4</v>
      </c>
      <c r="M82" s="11" t="str">
        <f t="shared" si="6"/>
        <v>PRJ00886</v>
      </c>
      <c r="N82" s="11">
        <f>'Generate Dummy Closed WON (Reve'!J105</f>
        <v>32025242.69</v>
      </c>
      <c r="O82" s="11" t="str">
        <f t="shared" si="7"/>
        <v>PRJ00886</v>
      </c>
    </row>
    <row r="83">
      <c r="A83" s="11" t="str">
        <f>'Generate Dummy Closed WON (Reve'!A106</f>
        <v>PRJ00968</v>
      </c>
      <c r="B83" s="11">
        <f>'Generate Dummy Closed WON (Reve'!D106</f>
        <v>10608776.04</v>
      </c>
      <c r="C83" s="11" t="str">
        <f t="shared" si="1"/>
        <v>PRJ00968</v>
      </c>
      <c r="D83" s="11">
        <f>'Generate Dummy Closed WON (Reve'!E106</f>
        <v>10608776.04</v>
      </c>
      <c r="E83" s="11" t="str">
        <f t="shared" si="12"/>
        <v>PRJ00968</v>
      </c>
      <c r="F83" s="11">
        <f>'Generate Dummy Closed WON (Reve'!F106</f>
        <v>21217552.09</v>
      </c>
      <c r="G83" s="11" t="str">
        <f t="shared" si="13"/>
        <v>PRJ00968</v>
      </c>
      <c r="H83" s="11">
        <f>'Generate Dummy Closed WON (Reve'!G106</f>
        <v>17327667.54</v>
      </c>
      <c r="I83" s="11" t="str">
        <f t="shared" si="4"/>
        <v>PRJ00968</v>
      </c>
      <c r="J83" s="11">
        <f>'Generate Dummy Closed WON (Reve'!H106</f>
        <v>15559538.2</v>
      </c>
      <c r="K83" s="11" t="str">
        <f t="shared" si="5"/>
        <v>PRJ00968</v>
      </c>
      <c r="L83" s="11">
        <f>'Generate Dummy Closed WON (Reve'!I106</f>
        <v>39782910.17</v>
      </c>
      <c r="M83" s="11" t="str">
        <f t="shared" si="6"/>
        <v>PRJ00968</v>
      </c>
      <c r="N83" s="11">
        <f>'Generate Dummy Closed WON (Reve'!J106</f>
        <v>36600277.35</v>
      </c>
      <c r="O83" s="11" t="str">
        <f t="shared" si="7"/>
        <v>PRJ00968</v>
      </c>
    </row>
    <row r="84">
      <c r="A84" s="11" t="str">
        <f>'Generate Dummy Closed WON (Reve'!L94</f>
        <v>PRJ00041</v>
      </c>
      <c r="B84" s="11">
        <f>'Generate Dummy Closed WON (Reve'!O94</f>
        <v>580167.4399</v>
      </c>
      <c r="C84" s="11" t="str">
        <f t="shared" si="1"/>
        <v>PRJ00041</v>
      </c>
      <c r="D84" s="11">
        <f>'Generate Dummy Closed WON (Reve'!P94</f>
        <v>290083.72</v>
      </c>
      <c r="E84" s="11" t="str">
        <f t="shared" ref="E84:E109" si="14">C84</f>
        <v>PRJ00041</v>
      </c>
      <c r="F84" s="11">
        <f>'Generate Dummy Closed WON (Reve'!Q94</f>
        <v>174050.232</v>
      </c>
      <c r="G84" s="11" t="str">
        <f t="shared" si="13"/>
        <v>PRJ00041</v>
      </c>
      <c r="H84" s="11">
        <f>'Generate Dummy Closed WON (Reve'!R94</f>
        <v>2030586.04</v>
      </c>
      <c r="I84" s="11" t="str">
        <f t="shared" si="4"/>
        <v>PRJ00041</v>
      </c>
      <c r="J84" s="11">
        <f>'Generate Dummy Closed WON (Reve'!S94</f>
        <v>464133.952</v>
      </c>
      <c r="K84" s="11" t="str">
        <f t="shared" si="5"/>
        <v>PRJ00041</v>
      </c>
      <c r="L84" s="11">
        <f>'Generate Dummy Closed WON (Reve'!T94</f>
        <v>13053.7674</v>
      </c>
      <c r="M84" s="11" t="str">
        <f t="shared" si="6"/>
        <v>PRJ00041</v>
      </c>
      <c r="N84" s="11">
        <f>'Generate Dummy Closed WON (Reve'!U94</f>
        <v>1749204.831</v>
      </c>
      <c r="O84" s="11" t="str">
        <f t="shared" si="7"/>
        <v>PRJ00041</v>
      </c>
    </row>
    <row r="85">
      <c r="A85" s="11" t="str">
        <f>'Generate Dummy Closed WON (Reve'!L95</f>
        <v>PRJ00071</v>
      </c>
      <c r="B85" s="11">
        <f>'Generate Dummy Closed WON (Reve'!O95</f>
        <v>193389.1466</v>
      </c>
      <c r="C85" s="11" t="str">
        <f t="shared" si="1"/>
        <v>PRJ00071</v>
      </c>
      <c r="D85" s="11">
        <f>'Generate Dummy Closed WON (Reve'!P95</f>
        <v>96694.57332</v>
      </c>
      <c r="E85" s="11" t="str">
        <f t="shared" si="14"/>
        <v>PRJ00071</v>
      </c>
      <c r="F85" s="11">
        <f>'Generate Dummy Closed WON (Reve'!Q95</f>
        <v>58016.74399</v>
      </c>
      <c r="G85" s="11" t="str">
        <f t="shared" si="13"/>
        <v>PRJ00071</v>
      </c>
      <c r="H85" s="11">
        <f>'Generate Dummy Closed WON (Reve'!R95</f>
        <v>676862.0133</v>
      </c>
      <c r="I85" s="11" t="str">
        <f t="shared" si="4"/>
        <v>PRJ00071</v>
      </c>
      <c r="J85" s="11">
        <f>'Generate Dummy Closed WON (Reve'!S95</f>
        <v>154711.3173</v>
      </c>
      <c r="K85" s="11" t="str">
        <f t="shared" si="5"/>
        <v>PRJ00071</v>
      </c>
      <c r="L85" s="11">
        <f>'Generate Dummy Closed WON (Reve'!T95</f>
        <v>4351.2558</v>
      </c>
      <c r="M85" s="11" t="str">
        <f t="shared" si="6"/>
        <v>PRJ00071</v>
      </c>
      <c r="N85" s="11">
        <f>'Generate Dummy Closed WON (Reve'!U95</f>
        <v>583068.2771</v>
      </c>
      <c r="O85" s="11" t="str">
        <f t="shared" si="7"/>
        <v>PRJ00071</v>
      </c>
    </row>
    <row r="86">
      <c r="A86" s="11" t="str">
        <f>'Generate Dummy Closed WON (Reve'!L96</f>
        <v>PRJ00091</v>
      </c>
      <c r="B86" s="11">
        <f>'Generate Dummy Closed WON (Reve'!O96</f>
        <v>1740502.32</v>
      </c>
      <c r="C86" s="11" t="str">
        <f t="shared" si="1"/>
        <v>PRJ00091</v>
      </c>
      <c r="D86" s="11">
        <f>'Generate Dummy Closed WON (Reve'!P96</f>
        <v>870251.1599</v>
      </c>
      <c r="E86" s="11" t="str">
        <f t="shared" si="14"/>
        <v>PRJ00091</v>
      </c>
      <c r="F86" s="11">
        <f>'Generate Dummy Closed WON (Reve'!Q96</f>
        <v>522150.696</v>
      </c>
      <c r="G86" s="11" t="str">
        <f t="shared" si="13"/>
        <v>PRJ00091</v>
      </c>
      <c r="H86" s="11">
        <f>'Generate Dummy Closed WON (Reve'!R96</f>
        <v>6091758.119</v>
      </c>
      <c r="I86" s="11" t="str">
        <f t="shared" si="4"/>
        <v>PRJ00091</v>
      </c>
      <c r="J86" s="11">
        <f>'Generate Dummy Closed WON (Reve'!S96</f>
        <v>1392401.856</v>
      </c>
      <c r="K86" s="11" t="str">
        <f t="shared" si="5"/>
        <v>PRJ00091</v>
      </c>
      <c r="L86" s="11">
        <f>'Generate Dummy Closed WON (Reve'!T96</f>
        <v>39161.3022</v>
      </c>
      <c r="M86" s="11" t="str">
        <f t="shared" si="6"/>
        <v>PRJ00091</v>
      </c>
      <c r="N86" s="11">
        <f>'Generate Dummy Closed WON (Reve'!U96</f>
        <v>5247614.494</v>
      </c>
      <c r="O86" s="11" t="str">
        <f t="shared" si="7"/>
        <v>PRJ00091</v>
      </c>
    </row>
    <row r="87">
      <c r="A87" s="11" t="str">
        <f>'Generate Dummy Closed WON (Reve'!L97</f>
        <v>PRJ00151</v>
      </c>
      <c r="B87" s="11">
        <f>'Generate Dummy Closed WON (Reve'!O97</f>
        <v>1740502.32</v>
      </c>
      <c r="C87" s="11" t="str">
        <f t="shared" si="1"/>
        <v>PRJ00151</v>
      </c>
      <c r="D87" s="11">
        <f>'Generate Dummy Closed WON (Reve'!P97</f>
        <v>870251.1599</v>
      </c>
      <c r="E87" s="11" t="str">
        <f t="shared" si="14"/>
        <v>PRJ00151</v>
      </c>
      <c r="F87" s="11">
        <f>'Generate Dummy Closed WON (Reve'!Q97</f>
        <v>522150.696</v>
      </c>
      <c r="G87" s="11" t="str">
        <f t="shared" si="13"/>
        <v>PRJ00151</v>
      </c>
      <c r="H87" s="11">
        <f>'Generate Dummy Closed WON (Reve'!R97</f>
        <v>6091758.119</v>
      </c>
      <c r="I87" s="11" t="str">
        <f t="shared" si="4"/>
        <v>PRJ00151</v>
      </c>
      <c r="J87" s="11">
        <f>'Generate Dummy Closed WON (Reve'!S97</f>
        <v>1392401.856</v>
      </c>
      <c r="K87" s="11" t="str">
        <f t="shared" si="5"/>
        <v>PRJ00151</v>
      </c>
      <c r="L87" s="11">
        <f>'Generate Dummy Closed WON (Reve'!T97</f>
        <v>39161.3022</v>
      </c>
      <c r="M87" s="11" t="str">
        <f t="shared" si="6"/>
        <v>PRJ00151</v>
      </c>
      <c r="N87" s="11">
        <f>'Generate Dummy Closed WON (Reve'!U97</f>
        <v>5247614.494</v>
      </c>
      <c r="O87" s="11" t="str">
        <f t="shared" si="7"/>
        <v>PRJ00151</v>
      </c>
    </row>
    <row r="88">
      <c r="A88" s="11" t="str">
        <f>'Generate Dummy Closed WON (Reve'!L98</f>
        <v>PRJ00191</v>
      </c>
      <c r="B88" s="11">
        <f>'Generate Dummy Closed WON (Reve'!O98</f>
        <v>1547113.173</v>
      </c>
      <c r="C88" s="11" t="str">
        <f t="shared" si="1"/>
        <v>PRJ00191</v>
      </c>
      <c r="D88" s="11">
        <f>'Generate Dummy Closed WON (Reve'!P98</f>
        <v>773556.5866</v>
      </c>
      <c r="E88" s="11" t="str">
        <f t="shared" si="14"/>
        <v>PRJ00191</v>
      </c>
      <c r="F88" s="11">
        <f>'Generate Dummy Closed WON (Reve'!Q98</f>
        <v>464133.952</v>
      </c>
      <c r="G88" s="11" t="str">
        <f t="shared" si="13"/>
        <v>PRJ00191</v>
      </c>
      <c r="H88" s="11">
        <f>'Generate Dummy Closed WON (Reve'!R98</f>
        <v>5414896.106</v>
      </c>
      <c r="I88" s="11" t="str">
        <f t="shared" si="4"/>
        <v>PRJ00191</v>
      </c>
      <c r="J88" s="11">
        <f>'Generate Dummy Closed WON (Reve'!S98</f>
        <v>1237690.539</v>
      </c>
      <c r="K88" s="11" t="str">
        <f t="shared" si="5"/>
        <v>PRJ00191</v>
      </c>
      <c r="L88" s="11">
        <f>'Generate Dummy Closed WON (Reve'!T98</f>
        <v>34810.0464</v>
      </c>
      <c r="M88" s="11" t="str">
        <f t="shared" si="6"/>
        <v>PRJ00191</v>
      </c>
      <c r="N88" s="11">
        <f>'Generate Dummy Closed WON (Reve'!U98</f>
        <v>4664546.217</v>
      </c>
      <c r="O88" s="11" t="str">
        <f t="shared" si="7"/>
        <v>PRJ00191</v>
      </c>
    </row>
    <row r="89">
      <c r="A89" s="11" t="str">
        <f>'Generate Dummy Closed WON (Reve'!L99</f>
        <v>PRJ00221</v>
      </c>
      <c r="B89" s="11">
        <f>'Generate Dummy Closed WON (Reve'!O99</f>
        <v>1933891.466</v>
      </c>
      <c r="C89" s="11" t="str">
        <f t="shared" si="1"/>
        <v>PRJ00221</v>
      </c>
      <c r="D89" s="11">
        <f>'Generate Dummy Closed WON (Reve'!P99</f>
        <v>966945.7332</v>
      </c>
      <c r="E89" s="11" t="str">
        <f t="shared" si="14"/>
        <v>PRJ00221</v>
      </c>
      <c r="F89" s="11">
        <f>'Generate Dummy Closed WON (Reve'!Q99</f>
        <v>580167.4399</v>
      </c>
      <c r="G89" s="11" t="str">
        <f t="shared" si="13"/>
        <v>PRJ00221</v>
      </c>
      <c r="H89" s="11">
        <f>'Generate Dummy Closed WON (Reve'!R99</f>
        <v>6768620.133</v>
      </c>
      <c r="I89" s="11" t="str">
        <f t="shared" si="4"/>
        <v>PRJ00221</v>
      </c>
      <c r="J89" s="11">
        <f>'Generate Dummy Closed WON (Reve'!S99</f>
        <v>1547113.173</v>
      </c>
      <c r="K89" s="11" t="str">
        <f t="shared" si="5"/>
        <v>PRJ00221</v>
      </c>
      <c r="L89" s="11">
        <f>'Generate Dummy Closed WON (Reve'!T99</f>
        <v>43512.558</v>
      </c>
      <c r="M89" s="11" t="str">
        <f t="shared" si="6"/>
        <v>PRJ00221</v>
      </c>
      <c r="N89" s="11">
        <f>'Generate Dummy Closed WON (Reve'!U99</f>
        <v>5830682.771</v>
      </c>
      <c r="O89" s="11" t="str">
        <f t="shared" si="7"/>
        <v>PRJ00221</v>
      </c>
    </row>
    <row r="90">
      <c r="A90" s="11" t="str">
        <f>'Generate Dummy Closed WON (Reve'!L100</f>
        <v>PRJ00291</v>
      </c>
      <c r="B90" s="11">
        <f>'Generate Dummy Closed WON (Reve'!O100</f>
        <v>1547113.173</v>
      </c>
      <c r="C90" s="11" t="str">
        <f t="shared" si="1"/>
        <v>PRJ00291</v>
      </c>
      <c r="D90" s="11">
        <f>'Generate Dummy Closed WON (Reve'!P100</f>
        <v>773556.5866</v>
      </c>
      <c r="E90" s="11" t="str">
        <f t="shared" si="14"/>
        <v>PRJ00291</v>
      </c>
      <c r="F90" s="11">
        <f>'Generate Dummy Closed WON (Reve'!Q100</f>
        <v>464133.952</v>
      </c>
      <c r="G90" s="11" t="str">
        <f t="shared" si="13"/>
        <v>PRJ00291</v>
      </c>
      <c r="H90" s="11">
        <f>'Generate Dummy Closed WON (Reve'!R100</f>
        <v>5414896.106</v>
      </c>
      <c r="I90" s="11" t="str">
        <f t="shared" si="4"/>
        <v>PRJ00291</v>
      </c>
      <c r="J90" s="11">
        <f>'Generate Dummy Closed WON (Reve'!S100</f>
        <v>1237690.539</v>
      </c>
      <c r="K90" s="11" t="str">
        <f t="shared" si="5"/>
        <v>PRJ00291</v>
      </c>
      <c r="L90" s="11">
        <f>'Generate Dummy Closed WON (Reve'!T100</f>
        <v>34810.0464</v>
      </c>
      <c r="M90" s="11" t="str">
        <f t="shared" si="6"/>
        <v>PRJ00291</v>
      </c>
      <c r="N90" s="11">
        <f>'Generate Dummy Closed WON (Reve'!U100</f>
        <v>4664546.217</v>
      </c>
      <c r="O90" s="11" t="str">
        <f t="shared" si="7"/>
        <v>PRJ00291</v>
      </c>
    </row>
    <row r="91">
      <c r="A91" s="11" t="str">
        <f>'Generate Dummy Closed WON (Reve'!L101</f>
        <v>PRJ00361</v>
      </c>
      <c r="B91" s="11">
        <f>'Generate Dummy Closed WON (Reve'!O101</f>
        <v>580167.4399</v>
      </c>
      <c r="C91" s="11" t="str">
        <f t="shared" si="1"/>
        <v>PRJ00361</v>
      </c>
      <c r="D91" s="11">
        <f>'Generate Dummy Closed WON (Reve'!P101</f>
        <v>290083.72</v>
      </c>
      <c r="E91" s="11" t="str">
        <f t="shared" si="14"/>
        <v>PRJ00361</v>
      </c>
      <c r="F91" s="11">
        <f>'Generate Dummy Closed WON (Reve'!Q101</f>
        <v>174050.232</v>
      </c>
      <c r="G91" s="11" t="str">
        <f t="shared" si="13"/>
        <v>PRJ00361</v>
      </c>
      <c r="H91" s="11">
        <f>'Generate Dummy Closed WON (Reve'!R101</f>
        <v>2030586.04</v>
      </c>
      <c r="I91" s="11" t="str">
        <f t="shared" si="4"/>
        <v>PRJ00361</v>
      </c>
      <c r="J91" s="11">
        <f>'Generate Dummy Closed WON (Reve'!S101</f>
        <v>464133.952</v>
      </c>
      <c r="K91" s="11" t="str">
        <f t="shared" si="5"/>
        <v>PRJ00361</v>
      </c>
      <c r="L91" s="11">
        <f>'Generate Dummy Closed WON (Reve'!T101</f>
        <v>13053.7674</v>
      </c>
      <c r="M91" s="11" t="str">
        <f t="shared" si="6"/>
        <v>PRJ00361</v>
      </c>
      <c r="N91" s="11">
        <f>'Generate Dummy Closed WON (Reve'!U101</f>
        <v>1749204.831</v>
      </c>
      <c r="O91" s="11" t="str">
        <f t="shared" si="7"/>
        <v>PRJ00361</v>
      </c>
    </row>
    <row r="92">
      <c r="A92" s="11" t="str">
        <f>'Generate Dummy Closed WON (Reve'!L102</f>
        <v>PRJ00481</v>
      </c>
      <c r="B92" s="11">
        <f>'Generate Dummy Closed WON (Reve'!O102</f>
        <v>386778.2933</v>
      </c>
      <c r="C92" s="11" t="str">
        <f t="shared" si="1"/>
        <v>PRJ00481</v>
      </c>
      <c r="D92" s="11">
        <f>'Generate Dummy Closed WON (Reve'!P102</f>
        <v>193389.1466</v>
      </c>
      <c r="E92" s="11" t="str">
        <f t="shared" si="14"/>
        <v>PRJ00481</v>
      </c>
      <c r="F92" s="11">
        <f>'Generate Dummy Closed WON (Reve'!Q102</f>
        <v>116033.488</v>
      </c>
      <c r="G92" s="11" t="str">
        <f t="shared" si="13"/>
        <v>PRJ00481</v>
      </c>
      <c r="H92" s="11">
        <f>'Generate Dummy Closed WON (Reve'!R102</f>
        <v>1353724.027</v>
      </c>
      <c r="I92" s="11" t="str">
        <f t="shared" si="4"/>
        <v>PRJ00481</v>
      </c>
      <c r="J92" s="11">
        <f>'Generate Dummy Closed WON (Reve'!S102</f>
        <v>309422.6346</v>
      </c>
      <c r="K92" s="11" t="str">
        <f t="shared" si="5"/>
        <v>PRJ00481</v>
      </c>
      <c r="L92" s="11">
        <f>'Generate Dummy Closed WON (Reve'!T102</f>
        <v>8702.511599</v>
      </c>
      <c r="M92" s="11" t="str">
        <f t="shared" si="6"/>
        <v>PRJ00481</v>
      </c>
      <c r="N92" s="11">
        <f>'Generate Dummy Closed WON (Reve'!U102</f>
        <v>1166136.554</v>
      </c>
      <c r="O92" s="11" t="str">
        <f t="shared" si="7"/>
        <v>PRJ00481</v>
      </c>
    </row>
    <row r="93">
      <c r="A93" s="11" t="str">
        <f>'Generate Dummy Closed WON (Reve'!L103</f>
        <v>PRJ00521</v>
      </c>
      <c r="B93" s="11">
        <f>'Generate Dummy Closed WON (Reve'!O103</f>
        <v>1353724.027</v>
      </c>
      <c r="C93" s="11" t="str">
        <f t="shared" si="1"/>
        <v>PRJ00521</v>
      </c>
      <c r="D93" s="11">
        <f>'Generate Dummy Closed WON (Reve'!P103</f>
        <v>676862.0133</v>
      </c>
      <c r="E93" s="11" t="str">
        <f t="shared" si="14"/>
        <v>PRJ00521</v>
      </c>
      <c r="F93" s="11">
        <f>'Generate Dummy Closed WON (Reve'!Q103</f>
        <v>406117.208</v>
      </c>
      <c r="G93" s="11" t="str">
        <f t="shared" si="13"/>
        <v>PRJ00521</v>
      </c>
      <c r="H93" s="11">
        <f>'Generate Dummy Closed WON (Reve'!R103</f>
        <v>4738034.093</v>
      </c>
      <c r="I93" s="11" t="str">
        <f t="shared" si="4"/>
        <v>PRJ00521</v>
      </c>
      <c r="J93" s="11">
        <f>'Generate Dummy Closed WON (Reve'!S103</f>
        <v>1082979.221</v>
      </c>
      <c r="K93" s="11" t="str">
        <f t="shared" si="5"/>
        <v>PRJ00521</v>
      </c>
      <c r="L93" s="11">
        <f>'Generate Dummy Closed WON (Reve'!T103</f>
        <v>30458.7906</v>
      </c>
      <c r="M93" s="11" t="str">
        <f t="shared" si="6"/>
        <v>PRJ00521</v>
      </c>
      <c r="N93" s="11">
        <f>'Generate Dummy Closed WON (Reve'!U103</f>
        <v>4081477.94</v>
      </c>
      <c r="O93" s="11" t="str">
        <f t="shared" si="7"/>
        <v>PRJ00521</v>
      </c>
    </row>
    <row r="94">
      <c r="A94" s="11" t="str">
        <f>'Generate Dummy Closed WON (Reve'!L104</f>
        <v>PRJ00591</v>
      </c>
      <c r="B94" s="11">
        <f>'Generate Dummy Closed WON (Reve'!O104</f>
        <v>966945.7332</v>
      </c>
      <c r="C94" s="11" t="str">
        <f t="shared" si="1"/>
        <v>PRJ00591</v>
      </c>
      <c r="D94" s="11">
        <f>'Generate Dummy Closed WON (Reve'!P104</f>
        <v>483472.8666</v>
      </c>
      <c r="E94" s="11" t="str">
        <f t="shared" si="14"/>
        <v>PRJ00591</v>
      </c>
      <c r="F94" s="11">
        <f>'Generate Dummy Closed WON (Reve'!Q104</f>
        <v>290083.72</v>
      </c>
      <c r="G94" s="11" t="str">
        <f t="shared" si="13"/>
        <v>PRJ00591</v>
      </c>
      <c r="H94" s="11">
        <f>'Generate Dummy Closed WON (Reve'!R104</f>
        <v>3384310.066</v>
      </c>
      <c r="I94" s="11" t="str">
        <f t="shared" si="4"/>
        <v>PRJ00591</v>
      </c>
      <c r="J94" s="11">
        <f>'Generate Dummy Closed WON (Reve'!S104</f>
        <v>773556.5866</v>
      </c>
      <c r="K94" s="11" t="str">
        <f t="shared" si="5"/>
        <v>PRJ00591</v>
      </c>
      <c r="L94" s="11">
        <f>'Generate Dummy Closed WON (Reve'!T104</f>
        <v>21756.279</v>
      </c>
      <c r="M94" s="11" t="str">
        <f t="shared" si="6"/>
        <v>PRJ00591</v>
      </c>
      <c r="N94" s="11">
        <f>'Generate Dummy Closed WON (Reve'!U104</f>
        <v>2915341.386</v>
      </c>
      <c r="O94" s="11" t="str">
        <f t="shared" si="7"/>
        <v>PRJ00591</v>
      </c>
    </row>
    <row r="95">
      <c r="A95" s="11" t="str">
        <f>'Generate Dummy Closed WON (Reve'!L105</f>
        <v>PRJ00691</v>
      </c>
      <c r="B95" s="11">
        <f>'Generate Dummy Closed WON (Reve'!O105</f>
        <v>193389.1466</v>
      </c>
      <c r="C95" s="11" t="str">
        <f t="shared" si="1"/>
        <v>PRJ00691</v>
      </c>
      <c r="D95" s="11">
        <f>'Generate Dummy Closed WON (Reve'!P105</f>
        <v>96694.57332</v>
      </c>
      <c r="E95" s="11" t="str">
        <f t="shared" si="14"/>
        <v>PRJ00691</v>
      </c>
      <c r="F95" s="11">
        <f>'Generate Dummy Closed WON (Reve'!Q105</f>
        <v>58016.74399</v>
      </c>
      <c r="G95" s="11" t="str">
        <f t="shared" si="13"/>
        <v>PRJ00691</v>
      </c>
      <c r="H95" s="11">
        <f>'Generate Dummy Closed WON (Reve'!R105</f>
        <v>676862.0133</v>
      </c>
      <c r="I95" s="11" t="str">
        <f t="shared" si="4"/>
        <v>PRJ00691</v>
      </c>
      <c r="J95" s="11">
        <f>'Generate Dummy Closed WON (Reve'!S105</f>
        <v>154711.3173</v>
      </c>
      <c r="K95" s="11" t="str">
        <f t="shared" si="5"/>
        <v>PRJ00691</v>
      </c>
      <c r="L95" s="11">
        <f>'Generate Dummy Closed WON (Reve'!T105</f>
        <v>4351.2558</v>
      </c>
      <c r="M95" s="11" t="str">
        <f t="shared" si="6"/>
        <v>PRJ00691</v>
      </c>
      <c r="N95" s="11">
        <f>'Generate Dummy Closed WON (Reve'!U105</f>
        <v>583068.2771</v>
      </c>
      <c r="O95" s="11" t="str">
        <f t="shared" si="7"/>
        <v>PRJ00691</v>
      </c>
    </row>
    <row r="96">
      <c r="A96" s="11" t="str">
        <f>'Generate Dummy Closed WON (Reve'!L106</f>
        <v>PRJ00871</v>
      </c>
      <c r="B96" s="11">
        <f>'Generate Dummy Closed WON (Reve'!O106</f>
        <v>1160334.88</v>
      </c>
      <c r="C96" s="11" t="str">
        <f t="shared" si="1"/>
        <v>PRJ00871</v>
      </c>
      <c r="D96" s="11">
        <f>'Generate Dummy Closed WON (Reve'!P106</f>
        <v>580167.4399</v>
      </c>
      <c r="E96" s="11" t="str">
        <f t="shared" si="14"/>
        <v>PRJ00871</v>
      </c>
      <c r="F96" s="11">
        <f>'Generate Dummy Closed WON (Reve'!Q106</f>
        <v>348100.464</v>
      </c>
      <c r="G96" s="11" t="str">
        <f t="shared" si="13"/>
        <v>PRJ00871</v>
      </c>
      <c r="H96" s="11">
        <f>'Generate Dummy Closed WON (Reve'!R106</f>
        <v>4061172.08</v>
      </c>
      <c r="I96" s="11" t="str">
        <f t="shared" si="4"/>
        <v>PRJ00871</v>
      </c>
      <c r="J96" s="11">
        <f>'Generate Dummy Closed WON (Reve'!S106</f>
        <v>928267.9039</v>
      </c>
      <c r="K96" s="11" t="str">
        <f t="shared" si="5"/>
        <v>PRJ00871</v>
      </c>
      <c r="L96" s="11">
        <f>'Generate Dummy Closed WON (Reve'!T106</f>
        <v>26107.5348</v>
      </c>
      <c r="M96" s="11" t="str">
        <f t="shared" si="6"/>
        <v>PRJ00871</v>
      </c>
      <c r="N96" s="11">
        <f>'Generate Dummy Closed WON (Reve'!U106</f>
        <v>3498409.663</v>
      </c>
      <c r="O96" s="11" t="str">
        <f t="shared" si="7"/>
        <v>PRJ00871</v>
      </c>
    </row>
    <row r="97">
      <c r="A97" s="35" t="str">
        <f>'Generate Dummy Closed WON (Reve'!L94</f>
        <v>PRJ00041</v>
      </c>
      <c r="B97" s="11">
        <f>'Generate Dummy Closed WON (Reve'!O94</f>
        <v>580167.4399</v>
      </c>
      <c r="C97" s="11" t="str">
        <f t="shared" si="1"/>
        <v>PRJ00041</v>
      </c>
      <c r="D97" s="11">
        <f>'Generate Dummy Closed WON (Reve'!P94</f>
        <v>290083.72</v>
      </c>
      <c r="E97" s="11" t="str">
        <f t="shared" si="14"/>
        <v>PRJ00041</v>
      </c>
      <c r="F97" s="11">
        <f>'Generate Dummy Closed WON (Reve'!Q94</f>
        <v>174050.232</v>
      </c>
      <c r="G97" s="11" t="str">
        <f t="shared" si="13"/>
        <v>PRJ00041</v>
      </c>
      <c r="H97" s="11">
        <f>'Generate Dummy Closed WON (Reve'!R94</f>
        <v>2030586.04</v>
      </c>
      <c r="I97" s="11" t="str">
        <f t="shared" si="4"/>
        <v>PRJ00041</v>
      </c>
      <c r="J97" s="11">
        <f>'Generate Dummy Closed WON (Reve'!S94</f>
        <v>464133.952</v>
      </c>
      <c r="K97" s="11" t="str">
        <f t="shared" si="5"/>
        <v>PRJ00041</v>
      </c>
      <c r="L97" s="11">
        <f>'Generate Dummy Closed WON (Reve'!T94</f>
        <v>13053.7674</v>
      </c>
      <c r="M97" s="11" t="str">
        <f t="shared" si="6"/>
        <v>PRJ00041</v>
      </c>
      <c r="N97" s="11">
        <f>'Generate Dummy Closed WON (Reve'!U94</f>
        <v>1749204.831</v>
      </c>
      <c r="O97" s="11" t="str">
        <f t="shared" si="7"/>
        <v>PRJ00041</v>
      </c>
    </row>
    <row r="98">
      <c r="A98" s="11" t="str">
        <f>'Generate Dummy Closed WON (Reve'!L95</f>
        <v>PRJ00071</v>
      </c>
      <c r="B98" s="11">
        <f>'Generate Dummy Closed WON (Reve'!O95</f>
        <v>193389.1466</v>
      </c>
      <c r="C98" s="11" t="str">
        <f t="shared" si="1"/>
        <v>PRJ00071</v>
      </c>
      <c r="D98" s="11">
        <f>'Generate Dummy Closed WON (Reve'!P95</f>
        <v>96694.57332</v>
      </c>
      <c r="E98" s="11" t="str">
        <f t="shared" si="14"/>
        <v>PRJ00071</v>
      </c>
      <c r="F98" s="11">
        <f>'Generate Dummy Closed WON (Reve'!Q95</f>
        <v>58016.74399</v>
      </c>
      <c r="G98" s="11" t="str">
        <f t="shared" si="13"/>
        <v>PRJ00071</v>
      </c>
      <c r="H98" s="11">
        <f>'Generate Dummy Closed WON (Reve'!R95</f>
        <v>676862.0133</v>
      </c>
      <c r="I98" s="11" t="str">
        <f t="shared" si="4"/>
        <v>PRJ00071</v>
      </c>
      <c r="J98" s="11">
        <f>'Generate Dummy Closed WON (Reve'!S95</f>
        <v>154711.3173</v>
      </c>
      <c r="K98" s="11" t="str">
        <f t="shared" si="5"/>
        <v>PRJ00071</v>
      </c>
      <c r="L98" s="11">
        <f>'Generate Dummy Closed WON (Reve'!T95</f>
        <v>4351.2558</v>
      </c>
      <c r="M98" s="11" t="str">
        <f t="shared" si="6"/>
        <v>PRJ00071</v>
      </c>
      <c r="N98" s="11">
        <f>'Generate Dummy Closed WON (Reve'!U95</f>
        <v>583068.2771</v>
      </c>
      <c r="O98" s="11" t="str">
        <f t="shared" si="7"/>
        <v>PRJ00071</v>
      </c>
    </row>
    <row r="99">
      <c r="A99" s="11" t="str">
        <f>'Generate Dummy Closed WON (Reve'!L96</f>
        <v>PRJ00091</v>
      </c>
      <c r="B99" s="11">
        <f>'Generate Dummy Closed WON (Reve'!O96</f>
        <v>1740502.32</v>
      </c>
      <c r="C99" s="11" t="str">
        <f t="shared" si="1"/>
        <v>PRJ00091</v>
      </c>
      <c r="D99" s="11">
        <f>'Generate Dummy Closed WON (Reve'!P96</f>
        <v>870251.1599</v>
      </c>
      <c r="E99" s="11" t="str">
        <f t="shared" si="14"/>
        <v>PRJ00091</v>
      </c>
      <c r="F99" s="11">
        <f>'Generate Dummy Closed WON (Reve'!Q96</f>
        <v>522150.696</v>
      </c>
      <c r="G99" s="11" t="str">
        <f t="shared" si="13"/>
        <v>PRJ00091</v>
      </c>
      <c r="H99" s="11">
        <f>'Generate Dummy Closed WON (Reve'!R96</f>
        <v>6091758.119</v>
      </c>
      <c r="I99" s="11" t="str">
        <f t="shared" si="4"/>
        <v>PRJ00091</v>
      </c>
      <c r="J99" s="11">
        <f>'Generate Dummy Closed WON (Reve'!S96</f>
        <v>1392401.856</v>
      </c>
      <c r="K99" s="11" t="str">
        <f t="shared" si="5"/>
        <v>PRJ00091</v>
      </c>
      <c r="L99" s="11">
        <f>'Generate Dummy Closed WON (Reve'!T96</f>
        <v>39161.3022</v>
      </c>
      <c r="M99" s="11" t="str">
        <f t="shared" si="6"/>
        <v>PRJ00091</v>
      </c>
      <c r="N99" s="11">
        <f>'Generate Dummy Closed WON (Reve'!U96</f>
        <v>5247614.494</v>
      </c>
      <c r="O99" s="11" t="str">
        <f t="shared" si="7"/>
        <v>PRJ00091</v>
      </c>
    </row>
    <row r="100">
      <c r="A100" s="11" t="str">
        <f>'Generate Dummy Closed WON (Reve'!L97</f>
        <v>PRJ00151</v>
      </c>
      <c r="B100" s="11">
        <f>'Generate Dummy Closed WON (Reve'!O97</f>
        <v>1740502.32</v>
      </c>
      <c r="C100" s="11" t="str">
        <f t="shared" si="1"/>
        <v>PRJ00151</v>
      </c>
      <c r="D100" s="11">
        <f>'Generate Dummy Closed WON (Reve'!P97</f>
        <v>870251.1599</v>
      </c>
      <c r="E100" s="11" t="str">
        <f t="shared" si="14"/>
        <v>PRJ00151</v>
      </c>
      <c r="F100" s="11">
        <f>'Generate Dummy Closed WON (Reve'!Q97</f>
        <v>522150.696</v>
      </c>
      <c r="G100" s="11" t="str">
        <f t="shared" si="13"/>
        <v>PRJ00151</v>
      </c>
      <c r="H100" s="11">
        <f>'Generate Dummy Closed WON (Reve'!R97</f>
        <v>6091758.119</v>
      </c>
      <c r="I100" s="11" t="str">
        <f t="shared" si="4"/>
        <v>PRJ00151</v>
      </c>
      <c r="J100" s="11">
        <f>'Generate Dummy Closed WON (Reve'!S97</f>
        <v>1392401.856</v>
      </c>
      <c r="K100" s="11" t="str">
        <f t="shared" si="5"/>
        <v>PRJ00151</v>
      </c>
      <c r="L100" s="11">
        <f>'Generate Dummy Closed WON (Reve'!T97</f>
        <v>39161.3022</v>
      </c>
      <c r="M100" s="11" t="str">
        <f t="shared" si="6"/>
        <v>PRJ00151</v>
      </c>
      <c r="N100" s="11">
        <f>'Generate Dummy Closed WON (Reve'!U97</f>
        <v>5247614.494</v>
      </c>
      <c r="O100" s="11" t="str">
        <f t="shared" si="7"/>
        <v>PRJ00151</v>
      </c>
    </row>
    <row r="101">
      <c r="A101" s="11" t="str">
        <f>'Generate Dummy Closed WON (Reve'!L98</f>
        <v>PRJ00191</v>
      </c>
      <c r="B101" s="11">
        <f>'Generate Dummy Closed WON (Reve'!O98</f>
        <v>1547113.173</v>
      </c>
      <c r="C101" s="11" t="str">
        <f t="shared" si="1"/>
        <v>PRJ00191</v>
      </c>
      <c r="D101" s="11">
        <f>'Generate Dummy Closed WON (Reve'!P98</f>
        <v>773556.5866</v>
      </c>
      <c r="E101" s="11" t="str">
        <f t="shared" si="14"/>
        <v>PRJ00191</v>
      </c>
      <c r="F101" s="11">
        <f>'Generate Dummy Closed WON (Reve'!Q98</f>
        <v>464133.952</v>
      </c>
      <c r="G101" s="11" t="str">
        <f t="shared" si="13"/>
        <v>PRJ00191</v>
      </c>
      <c r="H101" s="11">
        <f>'Generate Dummy Closed WON (Reve'!R98</f>
        <v>5414896.106</v>
      </c>
      <c r="I101" s="11" t="str">
        <f t="shared" si="4"/>
        <v>PRJ00191</v>
      </c>
      <c r="J101" s="11">
        <f>'Generate Dummy Closed WON (Reve'!S98</f>
        <v>1237690.539</v>
      </c>
      <c r="K101" s="11" t="str">
        <f t="shared" si="5"/>
        <v>PRJ00191</v>
      </c>
      <c r="L101" s="11">
        <f>'Generate Dummy Closed WON (Reve'!T98</f>
        <v>34810.0464</v>
      </c>
      <c r="M101" s="11" t="str">
        <f t="shared" si="6"/>
        <v>PRJ00191</v>
      </c>
      <c r="N101" s="11">
        <f>'Generate Dummy Closed WON (Reve'!U98</f>
        <v>4664546.217</v>
      </c>
      <c r="O101" s="11" t="str">
        <f t="shared" si="7"/>
        <v>PRJ00191</v>
      </c>
    </row>
    <row r="102">
      <c r="A102" s="11" t="str">
        <f>'Generate Dummy Closed WON (Reve'!L99</f>
        <v>PRJ00221</v>
      </c>
      <c r="B102" s="11">
        <f>'Generate Dummy Closed WON (Reve'!O99</f>
        <v>1933891.466</v>
      </c>
      <c r="C102" s="11" t="str">
        <f t="shared" si="1"/>
        <v>PRJ00221</v>
      </c>
      <c r="D102" s="11">
        <f>'Generate Dummy Closed WON (Reve'!P99</f>
        <v>966945.7332</v>
      </c>
      <c r="E102" s="11" t="str">
        <f t="shared" si="14"/>
        <v>PRJ00221</v>
      </c>
      <c r="F102" s="11">
        <f>'Generate Dummy Closed WON (Reve'!Q99</f>
        <v>580167.4399</v>
      </c>
      <c r="G102" s="11" t="str">
        <f t="shared" si="13"/>
        <v>PRJ00221</v>
      </c>
      <c r="H102" s="11">
        <f>'Generate Dummy Closed WON (Reve'!R99</f>
        <v>6768620.133</v>
      </c>
      <c r="I102" s="11" t="str">
        <f t="shared" si="4"/>
        <v>PRJ00221</v>
      </c>
      <c r="J102" s="11">
        <f>'Generate Dummy Closed WON (Reve'!S99</f>
        <v>1547113.173</v>
      </c>
      <c r="K102" s="11" t="str">
        <f t="shared" si="5"/>
        <v>PRJ00221</v>
      </c>
      <c r="L102" s="11">
        <f>'Generate Dummy Closed WON (Reve'!T99</f>
        <v>43512.558</v>
      </c>
      <c r="M102" s="11" t="str">
        <f t="shared" si="6"/>
        <v>PRJ00221</v>
      </c>
      <c r="N102" s="11">
        <f>'Generate Dummy Closed WON (Reve'!U99</f>
        <v>5830682.771</v>
      </c>
      <c r="O102" s="11" t="str">
        <f t="shared" si="7"/>
        <v>PRJ00221</v>
      </c>
    </row>
    <row r="103">
      <c r="A103" s="11" t="str">
        <f>'Generate Dummy Closed WON (Reve'!L100</f>
        <v>PRJ00291</v>
      </c>
      <c r="B103" s="11">
        <f>'Generate Dummy Closed WON (Reve'!O100</f>
        <v>1547113.173</v>
      </c>
      <c r="C103" s="11" t="str">
        <f t="shared" si="1"/>
        <v>PRJ00291</v>
      </c>
      <c r="D103" s="11">
        <f>'Generate Dummy Closed WON (Reve'!P100</f>
        <v>773556.5866</v>
      </c>
      <c r="E103" s="11" t="str">
        <f t="shared" si="14"/>
        <v>PRJ00291</v>
      </c>
      <c r="F103" s="11">
        <f>'Generate Dummy Closed WON (Reve'!Q100</f>
        <v>464133.952</v>
      </c>
      <c r="G103" s="11" t="str">
        <f t="shared" si="13"/>
        <v>PRJ00291</v>
      </c>
      <c r="H103" s="11">
        <f>'Generate Dummy Closed WON (Reve'!R100</f>
        <v>5414896.106</v>
      </c>
      <c r="I103" s="11" t="str">
        <f t="shared" si="4"/>
        <v>PRJ00291</v>
      </c>
      <c r="J103" s="11">
        <f>'Generate Dummy Closed WON (Reve'!S100</f>
        <v>1237690.539</v>
      </c>
      <c r="K103" s="11" t="str">
        <f t="shared" si="5"/>
        <v>PRJ00291</v>
      </c>
      <c r="L103" s="11">
        <f>'Generate Dummy Closed WON (Reve'!T100</f>
        <v>34810.0464</v>
      </c>
      <c r="M103" s="11" t="str">
        <f t="shared" si="6"/>
        <v>PRJ00291</v>
      </c>
      <c r="N103" s="11">
        <f>'Generate Dummy Closed WON (Reve'!U100</f>
        <v>4664546.217</v>
      </c>
      <c r="O103" s="11" t="str">
        <f t="shared" si="7"/>
        <v>PRJ00291</v>
      </c>
    </row>
    <row r="104">
      <c r="A104" s="11" t="str">
        <f>'Generate Dummy Closed WON (Reve'!L101</f>
        <v>PRJ00361</v>
      </c>
      <c r="B104" s="11">
        <f>'Generate Dummy Closed WON (Reve'!O101</f>
        <v>580167.4399</v>
      </c>
      <c r="C104" s="11" t="str">
        <f t="shared" si="1"/>
        <v>PRJ00361</v>
      </c>
      <c r="D104" s="11">
        <f>'Generate Dummy Closed WON (Reve'!P101</f>
        <v>290083.72</v>
      </c>
      <c r="E104" s="11" t="str">
        <f t="shared" si="14"/>
        <v>PRJ00361</v>
      </c>
      <c r="F104" s="11">
        <f>'Generate Dummy Closed WON (Reve'!Q101</f>
        <v>174050.232</v>
      </c>
      <c r="G104" s="11" t="str">
        <f t="shared" si="13"/>
        <v>PRJ00361</v>
      </c>
      <c r="H104" s="11">
        <f>'Generate Dummy Closed WON (Reve'!R101</f>
        <v>2030586.04</v>
      </c>
      <c r="I104" s="11" t="str">
        <f t="shared" si="4"/>
        <v>PRJ00361</v>
      </c>
      <c r="J104" s="11">
        <f>'Generate Dummy Closed WON (Reve'!S101</f>
        <v>464133.952</v>
      </c>
      <c r="K104" s="11" t="str">
        <f t="shared" si="5"/>
        <v>PRJ00361</v>
      </c>
      <c r="L104" s="11">
        <f>'Generate Dummy Closed WON (Reve'!T101</f>
        <v>13053.7674</v>
      </c>
      <c r="M104" s="11" t="str">
        <f t="shared" si="6"/>
        <v>PRJ00361</v>
      </c>
      <c r="N104" s="11">
        <f>'Generate Dummy Closed WON (Reve'!U101</f>
        <v>1749204.831</v>
      </c>
      <c r="O104" s="11" t="str">
        <f t="shared" si="7"/>
        <v>PRJ00361</v>
      </c>
    </row>
    <row r="105">
      <c r="A105" s="11" t="str">
        <f>'Generate Dummy Closed WON (Reve'!L102</f>
        <v>PRJ00481</v>
      </c>
      <c r="B105" s="11">
        <f>'Generate Dummy Closed WON (Reve'!O102</f>
        <v>386778.2933</v>
      </c>
      <c r="C105" s="11" t="str">
        <f t="shared" si="1"/>
        <v>PRJ00481</v>
      </c>
      <c r="D105" s="11">
        <f>'Generate Dummy Closed WON (Reve'!P102</f>
        <v>193389.1466</v>
      </c>
      <c r="E105" s="11" t="str">
        <f t="shared" si="14"/>
        <v>PRJ00481</v>
      </c>
      <c r="F105" s="11">
        <f>'Generate Dummy Closed WON (Reve'!Q102</f>
        <v>116033.488</v>
      </c>
      <c r="G105" s="11" t="str">
        <f t="shared" si="13"/>
        <v>PRJ00481</v>
      </c>
      <c r="H105" s="11">
        <f>'Generate Dummy Closed WON (Reve'!R102</f>
        <v>1353724.027</v>
      </c>
      <c r="I105" s="11" t="str">
        <f t="shared" si="4"/>
        <v>PRJ00481</v>
      </c>
      <c r="J105" s="11">
        <f>'Generate Dummy Closed WON (Reve'!S102</f>
        <v>309422.6346</v>
      </c>
      <c r="K105" s="11" t="str">
        <f t="shared" si="5"/>
        <v>PRJ00481</v>
      </c>
      <c r="L105" s="11">
        <f>'Generate Dummy Closed WON (Reve'!T102</f>
        <v>8702.511599</v>
      </c>
      <c r="M105" s="11" t="str">
        <f t="shared" si="6"/>
        <v>PRJ00481</v>
      </c>
      <c r="N105" s="11">
        <f>'Generate Dummy Closed WON (Reve'!U102</f>
        <v>1166136.554</v>
      </c>
      <c r="O105" s="11" t="str">
        <f t="shared" si="7"/>
        <v>PRJ00481</v>
      </c>
    </row>
    <row r="106">
      <c r="A106" s="11" t="str">
        <f>'Generate Dummy Closed WON (Reve'!L103</f>
        <v>PRJ00521</v>
      </c>
      <c r="B106" s="11">
        <f>'Generate Dummy Closed WON (Reve'!O103</f>
        <v>1353724.027</v>
      </c>
      <c r="C106" s="11" t="str">
        <f t="shared" si="1"/>
        <v>PRJ00521</v>
      </c>
      <c r="D106" s="11">
        <f>'Generate Dummy Closed WON (Reve'!P103</f>
        <v>676862.0133</v>
      </c>
      <c r="E106" s="11" t="str">
        <f t="shared" si="14"/>
        <v>PRJ00521</v>
      </c>
      <c r="F106" s="11">
        <f>'Generate Dummy Closed WON (Reve'!Q103</f>
        <v>406117.208</v>
      </c>
      <c r="G106" s="11" t="str">
        <f t="shared" si="13"/>
        <v>PRJ00521</v>
      </c>
      <c r="H106" s="11">
        <f>'Generate Dummy Closed WON (Reve'!R103</f>
        <v>4738034.093</v>
      </c>
      <c r="I106" s="11" t="str">
        <f t="shared" si="4"/>
        <v>PRJ00521</v>
      </c>
      <c r="J106" s="11">
        <f>'Generate Dummy Closed WON (Reve'!S103</f>
        <v>1082979.221</v>
      </c>
      <c r="K106" s="11" t="str">
        <f t="shared" si="5"/>
        <v>PRJ00521</v>
      </c>
      <c r="L106" s="11">
        <f>'Generate Dummy Closed WON (Reve'!T103</f>
        <v>30458.7906</v>
      </c>
      <c r="M106" s="11" t="str">
        <f t="shared" si="6"/>
        <v>PRJ00521</v>
      </c>
      <c r="N106" s="11">
        <f>'Generate Dummy Closed WON (Reve'!U103</f>
        <v>4081477.94</v>
      </c>
      <c r="O106" s="11" t="str">
        <f t="shared" si="7"/>
        <v>PRJ00521</v>
      </c>
    </row>
    <row r="107">
      <c r="A107" s="11" t="str">
        <f>'Generate Dummy Closed WON (Reve'!L104</f>
        <v>PRJ00591</v>
      </c>
      <c r="B107" s="11">
        <f>'Generate Dummy Closed WON (Reve'!O104</f>
        <v>966945.7332</v>
      </c>
      <c r="C107" s="11" t="str">
        <f t="shared" si="1"/>
        <v>PRJ00591</v>
      </c>
      <c r="D107" s="11">
        <f>'Generate Dummy Closed WON (Reve'!P104</f>
        <v>483472.8666</v>
      </c>
      <c r="E107" s="11" t="str">
        <f t="shared" si="14"/>
        <v>PRJ00591</v>
      </c>
      <c r="F107" s="11">
        <f>'Generate Dummy Closed WON (Reve'!Q104</f>
        <v>290083.72</v>
      </c>
      <c r="G107" s="11" t="str">
        <f t="shared" si="13"/>
        <v>PRJ00591</v>
      </c>
      <c r="H107" s="11">
        <f>'Generate Dummy Closed WON (Reve'!R104</f>
        <v>3384310.066</v>
      </c>
      <c r="I107" s="11" t="str">
        <f t="shared" si="4"/>
        <v>PRJ00591</v>
      </c>
      <c r="J107" s="11">
        <f>'Generate Dummy Closed WON (Reve'!S104</f>
        <v>773556.5866</v>
      </c>
      <c r="K107" s="11" t="str">
        <f t="shared" si="5"/>
        <v>PRJ00591</v>
      </c>
      <c r="L107" s="11">
        <f>'Generate Dummy Closed WON (Reve'!T104</f>
        <v>21756.279</v>
      </c>
      <c r="M107" s="11" t="str">
        <f t="shared" si="6"/>
        <v>PRJ00591</v>
      </c>
      <c r="N107" s="11">
        <f>'Generate Dummy Closed WON (Reve'!U104</f>
        <v>2915341.386</v>
      </c>
      <c r="O107" s="11" t="str">
        <f t="shared" si="7"/>
        <v>PRJ00591</v>
      </c>
    </row>
    <row r="108">
      <c r="A108" s="11" t="str">
        <f>'Generate Dummy Closed WON (Reve'!L105</f>
        <v>PRJ00691</v>
      </c>
      <c r="B108" s="11">
        <f>'Generate Dummy Closed WON (Reve'!O105</f>
        <v>193389.1466</v>
      </c>
      <c r="C108" s="11" t="str">
        <f t="shared" si="1"/>
        <v>PRJ00691</v>
      </c>
      <c r="D108" s="11">
        <f>'Generate Dummy Closed WON (Reve'!P105</f>
        <v>96694.57332</v>
      </c>
      <c r="E108" s="11" t="str">
        <f t="shared" si="14"/>
        <v>PRJ00691</v>
      </c>
      <c r="F108" s="11">
        <f>'Generate Dummy Closed WON (Reve'!Q105</f>
        <v>58016.74399</v>
      </c>
      <c r="G108" s="11" t="str">
        <f t="shared" si="13"/>
        <v>PRJ00691</v>
      </c>
      <c r="H108" s="11">
        <f>'Generate Dummy Closed WON (Reve'!R105</f>
        <v>676862.0133</v>
      </c>
      <c r="I108" s="11" t="str">
        <f t="shared" si="4"/>
        <v>PRJ00691</v>
      </c>
      <c r="J108" s="11">
        <f>'Generate Dummy Closed WON (Reve'!S105</f>
        <v>154711.3173</v>
      </c>
      <c r="K108" s="11" t="str">
        <f t="shared" si="5"/>
        <v>PRJ00691</v>
      </c>
      <c r="L108" s="11">
        <f>'Generate Dummy Closed WON (Reve'!T105</f>
        <v>4351.2558</v>
      </c>
      <c r="M108" s="11" t="str">
        <f t="shared" si="6"/>
        <v>PRJ00691</v>
      </c>
      <c r="N108" s="11">
        <f>'Generate Dummy Closed WON (Reve'!U105</f>
        <v>583068.2771</v>
      </c>
      <c r="O108" s="11" t="str">
        <f t="shared" si="7"/>
        <v>PRJ00691</v>
      </c>
    </row>
    <row r="109">
      <c r="A109" s="11" t="str">
        <f>'Generate Dummy Closed WON (Reve'!L106</f>
        <v>PRJ00871</v>
      </c>
      <c r="B109" s="11">
        <f>'Generate Dummy Closed WON (Reve'!O106</f>
        <v>1160334.88</v>
      </c>
      <c r="C109" s="11" t="str">
        <f t="shared" si="1"/>
        <v>PRJ00871</v>
      </c>
      <c r="D109" s="11">
        <f>'Generate Dummy Closed WON (Reve'!P106</f>
        <v>580167.4399</v>
      </c>
      <c r="E109" s="11" t="str">
        <f t="shared" si="14"/>
        <v>PRJ00871</v>
      </c>
      <c r="F109" s="11">
        <f>'Generate Dummy Closed WON (Reve'!Q106</f>
        <v>348100.464</v>
      </c>
      <c r="G109" s="11" t="str">
        <f t="shared" si="13"/>
        <v>PRJ00871</v>
      </c>
      <c r="H109" s="11">
        <f>'Generate Dummy Closed WON (Reve'!R106</f>
        <v>4061172.08</v>
      </c>
      <c r="I109" s="11" t="str">
        <f t="shared" si="4"/>
        <v>PRJ00871</v>
      </c>
      <c r="J109" s="11">
        <f>'Generate Dummy Closed WON (Reve'!S106</f>
        <v>928267.9039</v>
      </c>
      <c r="K109" s="11" t="str">
        <f t="shared" si="5"/>
        <v>PRJ00871</v>
      </c>
      <c r="L109" s="11">
        <f>'Generate Dummy Closed WON (Reve'!T106</f>
        <v>26107.5348</v>
      </c>
      <c r="M109" s="11" t="str">
        <f t="shared" si="6"/>
        <v>PRJ00871</v>
      </c>
      <c r="N109" s="11">
        <f>'Generate Dummy Closed WON (Reve'!U106</f>
        <v>3498409.663</v>
      </c>
      <c r="O109" s="11" t="str">
        <f t="shared" si="7"/>
        <v>PRJ00871</v>
      </c>
    </row>
    <row r="110">
      <c r="A110" s="35" t="str">
        <f>'Generate Dummy Closed WON (Reve'!A112</f>
        <v>PRJ00007</v>
      </c>
      <c r="B110" s="11">
        <f>'Generate Dummy Closed WON (Reve'!D112</f>
        <v>1319117.548</v>
      </c>
      <c r="C110" s="11" t="s">
        <v>203</v>
      </c>
      <c r="D110" s="11">
        <f>'Generate Dummy Closed WON (Reve'!E112</f>
        <v>659558.7738</v>
      </c>
      <c r="E110" s="11" t="s">
        <v>203</v>
      </c>
      <c r="F110" s="11">
        <f>'Generate Dummy Closed WON (Reve'!F112</f>
        <v>395735.2643</v>
      </c>
      <c r="G110" s="11" t="s">
        <v>203</v>
      </c>
      <c r="H110" s="11">
        <f>'Generate Dummy Closed WON (Reve'!G112</f>
        <v>4616911.417</v>
      </c>
      <c r="I110" s="11" t="s">
        <v>203</v>
      </c>
      <c r="J110" s="11">
        <f>'Generate Dummy Closed WON (Reve'!H112</f>
        <v>1055294.038</v>
      </c>
      <c r="K110" s="11" t="s">
        <v>203</v>
      </c>
      <c r="L110" s="11">
        <f>'Generate Dummy Closed WON (Reve'!I112</f>
        <v>29680.14482</v>
      </c>
      <c r="M110" s="11" t="s">
        <v>203</v>
      </c>
      <c r="N110" s="11">
        <f>'Generate Dummy Closed WON (Reve'!J112</f>
        <v>3977139.406</v>
      </c>
      <c r="O110" s="11" t="s">
        <v>203</v>
      </c>
    </row>
    <row r="111">
      <c r="A111" s="11" t="str">
        <f>'Generate Dummy Closed WON (Reve'!A113</f>
        <v>PRJ00040</v>
      </c>
      <c r="B111" s="11">
        <f>'Generate Dummy Closed WON (Reve'!D113</f>
        <v>1319117.548</v>
      </c>
      <c r="C111" s="11" t="s">
        <v>341</v>
      </c>
      <c r="D111" s="11">
        <f>'Generate Dummy Closed WON (Reve'!E113</f>
        <v>659558.7738</v>
      </c>
      <c r="E111" s="11" t="s">
        <v>341</v>
      </c>
      <c r="F111" s="11">
        <f>'Generate Dummy Closed WON (Reve'!F113</f>
        <v>395735.2643</v>
      </c>
      <c r="G111" s="11" t="s">
        <v>341</v>
      </c>
      <c r="H111" s="11">
        <f>'Generate Dummy Closed WON (Reve'!G113</f>
        <v>4616911.417</v>
      </c>
      <c r="I111" s="11" t="s">
        <v>341</v>
      </c>
      <c r="J111" s="11">
        <f>'Generate Dummy Closed WON (Reve'!H113</f>
        <v>1055294.038</v>
      </c>
      <c r="K111" s="11" t="s">
        <v>341</v>
      </c>
      <c r="L111" s="11">
        <f>'Generate Dummy Closed WON (Reve'!I113</f>
        <v>29680.14482</v>
      </c>
      <c r="M111" s="11" t="s">
        <v>341</v>
      </c>
      <c r="N111" s="11">
        <f>'Generate Dummy Closed WON (Reve'!J113</f>
        <v>3977139.406</v>
      </c>
      <c r="O111" s="11" t="s">
        <v>341</v>
      </c>
    </row>
    <row r="112">
      <c r="A112" s="11" t="str">
        <f>'Generate Dummy Closed WON (Reve'!A114</f>
        <v>PRJ00079</v>
      </c>
      <c r="B112" s="11">
        <f>'Generate Dummy Closed WON (Reve'!D114</f>
        <v>1172548.931</v>
      </c>
      <c r="C112" s="11" t="s">
        <v>369</v>
      </c>
      <c r="D112" s="11">
        <f>'Generate Dummy Closed WON (Reve'!E114</f>
        <v>586274.4656</v>
      </c>
      <c r="E112" s="11" t="s">
        <v>369</v>
      </c>
      <c r="F112" s="11">
        <f>'Generate Dummy Closed WON (Reve'!F114</f>
        <v>351764.6794</v>
      </c>
      <c r="G112" s="11" t="s">
        <v>369</v>
      </c>
      <c r="H112" s="11">
        <f>'Generate Dummy Closed WON (Reve'!G114</f>
        <v>4103921.259</v>
      </c>
      <c r="I112" s="11" t="s">
        <v>369</v>
      </c>
      <c r="J112" s="11">
        <f>'Generate Dummy Closed WON (Reve'!H114</f>
        <v>938039.145</v>
      </c>
      <c r="K112" s="11" t="s">
        <v>369</v>
      </c>
      <c r="L112" s="11">
        <f>'Generate Dummy Closed WON (Reve'!I114</f>
        <v>26382.35095</v>
      </c>
      <c r="M112" s="11" t="s">
        <v>369</v>
      </c>
      <c r="N112" s="11">
        <f>'Generate Dummy Closed WON (Reve'!J114</f>
        <v>3535235.028</v>
      </c>
      <c r="O112" s="11" t="s">
        <v>369</v>
      </c>
    </row>
    <row r="113">
      <c r="A113" s="11" t="str">
        <f>'Generate Dummy Closed WON (Reve'!A115</f>
        <v>PRJ00088</v>
      </c>
      <c r="B113" s="11">
        <f>'Generate Dummy Closed WON (Reve'!D115</f>
        <v>439705.8492</v>
      </c>
      <c r="C113" s="11" t="s">
        <v>370</v>
      </c>
      <c r="D113" s="11">
        <f>'Generate Dummy Closed WON (Reve'!E115</f>
        <v>219852.9246</v>
      </c>
      <c r="E113" s="11" t="s">
        <v>370</v>
      </c>
      <c r="F113" s="11">
        <f>'Generate Dummy Closed WON (Reve'!F115</f>
        <v>131911.7548</v>
      </c>
      <c r="G113" s="11" t="s">
        <v>370</v>
      </c>
      <c r="H113" s="11">
        <f>'Generate Dummy Closed WON (Reve'!G115</f>
        <v>1538970.472</v>
      </c>
      <c r="I113" s="11" t="s">
        <v>370</v>
      </c>
      <c r="J113" s="11">
        <f>'Generate Dummy Closed WON (Reve'!H115</f>
        <v>351764.6794</v>
      </c>
      <c r="K113" s="11" t="s">
        <v>370</v>
      </c>
      <c r="L113" s="11">
        <f>'Generate Dummy Closed WON (Reve'!I115</f>
        <v>9893.381608</v>
      </c>
      <c r="M113" s="11" t="s">
        <v>370</v>
      </c>
      <c r="N113" s="11">
        <f>'Generate Dummy Closed WON (Reve'!J115</f>
        <v>1325713.135</v>
      </c>
      <c r="O113" s="11" t="s">
        <v>370</v>
      </c>
    </row>
    <row r="114">
      <c r="A114" s="11" t="str">
        <f>'Generate Dummy Closed WON (Reve'!A116</f>
        <v>PRJ00108</v>
      </c>
      <c r="B114" s="11">
        <f>'Generate Dummy Closed WON (Reve'!D116</f>
        <v>146568.6164</v>
      </c>
      <c r="C114" s="11" t="s">
        <v>373</v>
      </c>
      <c r="D114" s="11">
        <f>'Generate Dummy Closed WON (Reve'!E116</f>
        <v>73284.3082</v>
      </c>
      <c r="E114" s="11" t="s">
        <v>373</v>
      </c>
      <c r="F114" s="11">
        <f>'Generate Dummy Closed WON (Reve'!F116</f>
        <v>43970.58492</v>
      </c>
      <c r="G114" s="11" t="s">
        <v>373</v>
      </c>
      <c r="H114" s="11">
        <f>'Generate Dummy Closed WON (Reve'!G116</f>
        <v>512990.1574</v>
      </c>
      <c r="I114" s="11" t="s">
        <v>373</v>
      </c>
      <c r="J114" s="11">
        <f>'Generate Dummy Closed WON (Reve'!H116</f>
        <v>117254.8931</v>
      </c>
      <c r="K114" s="11" t="s">
        <v>373</v>
      </c>
      <c r="L114" s="11">
        <f>'Generate Dummy Closed WON (Reve'!I116</f>
        <v>3297.793869</v>
      </c>
      <c r="M114" s="11" t="s">
        <v>373</v>
      </c>
      <c r="N114" s="11">
        <f>'Generate Dummy Closed WON (Reve'!J116</f>
        <v>441904.3785</v>
      </c>
      <c r="O114" s="11" t="s">
        <v>373</v>
      </c>
    </row>
    <row r="115">
      <c r="A115" s="11" t="str">
        <f>'Generate Dummy Closed WON (Reve'!A117</f>
        <v>PRJ00119</v>
      </c>
      <c r="B115" s="11">
        <f>'Generate Dummy Closed WON (Reve'!D117</f>
        <v>732843.082</v>
      </c>
      <c r="C115" s="11" t="s">
        <v>374</v>
      </c>
      <c r="D115" s="11">
        <f>'Generate Dummy Closed WON (Reve'!E117</f>
        <v>366421.541</v>
      </c>
      <c r="E115" s="11" t="s">
        <v>374</v>
      </c>
      <c r="F115" s="11">
        <f>'Generate Dummy Closed WON (Reve'!F117</f>
        <v>219852.9246</v>
      </c>
      <c r="G115" s="11" t="s">
        <v>374</v>
      </c>
      <c r="H115" s="11">
        <f>'Generate Dummy Closed WON (Reve'!G117</f>
        <v>2564950.787</v>
      </c>
      <c r="I115" s="11" t="s">
        <v>374</v>
      </c>
      <c r="J115" s="11">
        <f>'Generate Dummy Closed WON (Reve'!H117</f>
        <v>586274.4656</v>
      </c>
      <c r="K115" s="11" t="s">
        <v>374</v>
      </c>
      <c r="L115" s="11">
        <f>'Generate Dummy Closed WON (Reve'!I117</f>
        <v>16488.96935</v>
      </c>
      <c r="M115" s="11" t="s">
        <v>374</v>
      </c>
      <c r="N115" s="11">
        <f>'Generate Dummy Closed WON (Reve'!J117</f>
        <v>2209521.892</v>
      </c>
      <c r="O115" s="11" t="s">
        <v>374</v>
      </c>
    </row>
    <row r="116">
      <c r="A116" s="11" t="str">
        <f>'Generate Dummy Closed WON (Reve'!A118</f>
        <v>PRJ00128</v>
      </c>
      <c r="B116" s="11">
        <f>'Generate Dummy Closed WON (Reve'!D118</f>
        <v>1465686.164</v>
      </c>
      <c r="C116" s="11" t="s">
        <v>377</v>
      </c>
      <c r="D116" s="11">
        <f>'Generate Dummy Closed WON (Reve'!E118</f>
        <v>732843.082</v>
      </c>
      <c r="E116" s="11" t="s">
        <v>377</v>
      </c>
      <c r="F116" s="11">
        <f>'Generate Dummy Closed WON (Reve'!F118</f>
        <v>439705.8492</v>
      </c>
      <c r="G116" s="11" t="s">
        <v>377</v>
      </c>
      <c r="H116" s="11">
        <f>'Generate Dummy Closed WON (Reve'!G118</f>
        <v>5129901.574</v>
      </c>
      <c r="I116" s="11" t="s">
        <v>377</v>
      </c>
      <c r="J116" s="11">
        <f>'Generate Dummy Closed WON (Reve'!H118</f>
        <v>1172548.931</v>
      </c>
      <c r="K116" s="11" t="s">
        <v>377</v>
      </c>
      <c r="L116" s="11">
        <f>'Generate Dummy Closed WON (Reve'!I118</f>
        <v>32977.93869</v>
      </c>
      <c r="M116" s="11" t="s">
        <v>377</v>
      </c>
      <c r="N116" s="11">
        <f>'Generate Dummy Closed WON (Reve'!J118</f>
        <v>4419043.785</v>
      </c>
      <c r="O116" s="11" t="s">
        <v>377</v>
      </c>
    </row>
    <row r="117">
      <c r="A117" s="11" t="str">
        <f>'Generate Dummy Closed WON (Reve'!A119</f>
        <v>PRJ00228</v>
      </c>
      <c r="B117" s="11">
        <f>'Generate Dummy Closed WON (Reve'!D119</f>
        <v>1172548.931</v>
      </c>
      <c r="C117" s="11" t="s">
        <v>380</v>
      </c>
      <c r="D117" s="11">
        <f>'Generate Dummy Closed WON (Reve'!E119</f>
        <v>586274.4656</v>
      </c>
      <c r="E117" s="11" t="s">
        <v>380</v>
      </c>
      <c r="F117" s="11">
        <f>'Generate Dummy Closed WON (Reve'!F119</f>
        <v>351764.6794</v>
      </c>
      <c r="G117" s="11" t="s">
        <v>380</v>
      </c>
      <c r="H117" s="11">
        <f>'Generate Dummy Closed WON (Reve'!G119</f>
        <v>4103921.259</v>
      </c>
      <c r="I117" s="11" t="s">
        <v>380</v>
      </c>
      <c r="J117" s="11">
        <f>'Generate Dummy Closed WON (Reve'!H119</f>
        <v>938039.145</v>
      </c>
      <c r="K117" s="11" t="s">
        <v>380</v>
      </c>
      <c r="L117" s="11">
        <f>'Generate Dummy Closed WON (Reve'!I119</f>
        <v>26382.35095</v>
      </c>
      <c r="M117" s="11" t="s">
        <v>380</v>
      </c>
      <c r="N117" s="11">
        <f>'Generate Dummy Closed WON (Reve'!J119</f>
        <v>3535235.028</v>
      </c>
      <c r="O117" s="11" t="s">
        <v>380</v>
      </c>
    </row>
    <row r="118">
      <c r="A118" s="11" t="str">
        <f>'Generate Dummy Closed WON (Reve'!A120</f>
        <v>PRJ00339</v>
      </c>
      <c r="B118" s="11">
        <f>'Generate Dummy Closed WON (Reve'!D120</f>
        <v>1319117.548</v>
      </c>
      <c r="C118" s="11" t="s">
        <v>381</v>
      </c>
      <c r="D118" s="11">
        <f>'Generate Dummy Closed WON (Reve'!E120</f>
        <v>659558.7738</v>
      </c>
      <c r="E118" s="11" t="s">
        <v>381</v>
      </c>
      <c r="F118" s="11">
        <f>'Generate Dummy Closed WON (Reve'!F120</f>
        <v>395735.2643</v>
      </c>
      <c r="G118" s="11" t="s">
        <v>381</v>
      </c>
      <c r="H118" s="11">
        <f>'Generate Dummy Closed WON (Reve'!G120</f>
        <v>4616911.417</v>
      </c>
      <c r="I118" s="11" t="s">
        <v>381</v>
      </c>
      <c r="J118" s="11">
        <f>'Generate Dummy Closed WON (Reve'!H120</f>
        <v>1055294.038</v>
      </c>
      <c r="K118" s="11" t="s">
        <v>381</v>
      </c>
      <c r="L118" s="11">
        <f>'Generate Dummy Closed WON (Reve'!I120</f>
        <v>29680.14482</v>
      </c>
      <c r="M118" s="11" t="s">
        <v>381</v>
      </c>
      <c r="N118" s="11">
        <f>'Generate Dummy Closed WON (Reve'!J120</f>
        <v>3977139.406</v>
      </c>
      <c r="O118" s="11" t="s">
        <v>381</v>
      </c>
    </row>
    <row r="119">
      <c r="A119" s="11" t="str">
        <f>'Generate Dummy Closed WON (Reve'!A121</f>
        <v>PRJ00459</v>
      </c>
      <c r="B119" s="11">
        <f>'Generate Dummy Closed WON (Reve'!D121</f>
        <v>1025980.315</v>
      </c>
      <c r="C119" s="11" t="s">
        <v>382</v>
      </c>
      <c r="D119" s="11">
        <f>'Generate Dummy Closed WON (Reve'!E121</f>
        <v>512990.1574</v>
      </c>
      <c r="E119" s="11" t="s">
        <v>382</v>
      </c>
      <c r="F119" s="11">
        <f>'Generate Dummy Closed WON (Reve'!F121</f>
        <v>307794.0945</v>
      </c>
      <c r="G119" s="11" t="s">
        <v>382</v>
      </c>
      <c r="H119" s="11">
        <f>'Generate Dummy Closed WON (Reve'!G121</f>
        <v>3590931.102</v>
      </c>
      <c r="I119" s="11" t="s">
        <v>382</v>
      </c>
      <c r="J119" s="11">
        <f>'Generate Dummy Closed WON (Reve'!H121</f>
        <v>820784.2519</v>
      </c>
      <c r="K119" s="11" t="s">
        <v>382</v>
      </c>
      <c r="L119" s="11">
        <f>'Generate Dummy Closed WON (Reve'!I121</f>
        <v>23084.55708</v>
      </c>
      <c r="M119" s="11" t="s">
        <v>382</v>
      </c>
      <c r="N119" s="11">
        <f>'Generate Dummy Closed WON (Reve'!J121</f>
        <v>3093330.649</v>
      </c>
      <c r="O119" s="11" t="s">
        <v>382</v>
      </c>
    </row>
    <row r="120">
      <c r="A120" s="11" t="str">
        <f>'Generate Dummy Closed WON (Reve'!A122</f>
        <v>PRJ00479</v>
      </c>
      <c r="B120" s="11">
        <f>'Generate Dummy Closed WON (Reve'!D122</f>
        <v>293137.2328</v>
      </c>
      <c r="C120" s="11" t="s">
        <v>385</v>
      </c>
      <c r="D120" s="11">
        <f>'Generate Dummy Closed WON (Reve'!E122</f>
        <v>146568.6164</v>
      </c>
      <c r="E120" s="11" t="s">
        <v>385</v>
      </c>
      <c r="F120" s="11">
        <f>'Generate Dummy Closed WON (Reve'!F122</f>
        <v>87941.16985</v>
      </c>
      <c r="G120" s="11" t="s">
        <v>385</v>
      </c>
      <c r="H120" s="11">
        <f>'Generate Dummy Closed WON (Reve'!G122</f>
        <v>1025980.315</v>
      </c>
      <c r="I120" s="11" t="s">
        <v>385</v>
      </c>
      <c r="J120" s="11">
        <f>'Generate Dummy Closed WON (Reve'!H122</f>
        <v>234509.7863</v>
      </c>
      <c r="K120" s="11" t="s">
        <v>385</v>
      </c>
      <c r="L120" s="11">
        <f>'Generate Dummy Closed WON (Reve'!I122</f>
        <v>6595.587738</v>
      </c>
      <c r="M120" s="11" t="s">
        <v>385</v>
      </c>
      <c r="N120" s="11">
        <f>'Generate Dummy Closed WON (Reve'!J122</f>
        <v>883808.7569</v>
      </c>
      <c r="O120" s="11" t="s">
        <v>385</v>
      </c>
    </row>
    <row r="121">
      <c r="A121" s="11" t="str">
        <f>'Generate Dummy Closed WON (Reve'!A123</f>
        <v>PRJ00508</v>
      </c>
      <c r="B121" s="11">
        <f>'Generate Dummy Closed WON (Reve'!D123</f>
        <v>1172548.931</v>
      </c>
      <c r="C121" s="11" t="s">
        <v>386</v>
      </c>
      <c r="D121" s="11">
        <f>'Generate Dummy Closed WON (Reve'!E123</f>
        <v>586274.4656</v>
      </c>
      <c r="E121" s="11" t="s">
        <v>386</v>
      </c>
      <c r="F121" s="11">
        <f>'Generate Dummy Closed WON (Reve'!F123</f>
        <v>351764.6794</v>
      </c>
      <c r="G121" s="11" t="s">
        <v>386</v>
      </c>
      <c r="H121" s="11">
        <f>'Generate Dummy Closed WON (Reve'!G123</f>
        <v>4103921.259</v>
      </c>
      <c r="I121" s="11" t="s">
        <v>386</v>
      </c>
      <c r="J121" s="11">
        <f>'Generate Dummy Closed WON (Reve'!H123</f>
        <v>938039.145</v>
      </c>
      <c r="K121" s="11" t="s">
        <v>386</v>
      </c>
      <c r="L121" s="11">
        <f>'Generate Dummy Closed WON (Reve'!I123</f>
        <v>26382.35095</v>
      </c>
      <c r="M121" s="11" t="s">
        <v>386</v>
      </c>
      <c r="N121" s="11">
        <f>'Generate Dummy Closed WON (Reve'!J123</f>
        <v>3535235.028</v>
      </c>
      <c r="O121" s="11" t="s">
        <v>386</v>
      </c>
    </row>
    <row r="122">
      <c r="A122" s="11" t="str">
        <f>'Generate Dummy Closed WON (Reve'!A124</f>
        <v>PRJ00568</v>
      </c>
      <c r="B122" s="11">
        <f>'Generate Dummy Closed WON (Reve'!D124</f>
        <v>1025980.315</v>
      </c>
      <c r="C122" s="11" t="s">
        <v>389</v>
      </c>
      <c r="D122" s="11">
        <f>'Generate Dummy Closed WON (Reve'!E124</f>
        <v>512990.1574</v>
      </c>
      <c r="E122" s="11" t="s">
        <v>389</v>
      </c>
      <c r="F122" s="11">
        <f>'Generate Dummy Closed WON (Reve'!F124</f>
        <v>307794.0945</v>
      </c>
      <c r="G122" s="11" t="s">
        <v>389</v>
      </c>
      <c r="H122" s="11">
        <f>'Generate Dummy Closed WON (Reve'!G124</f>
        <v>3590931.102</v>
      </c>
      <c r="I122" s="11" t="s">
        <v>389</v>
      </c>
      <c r="J122" s="11">
        <f>'Generate Dummy Closed WON (Reve'!H124</f>
        <v>820784.2519</v>
      </c>
      <c r="K122" s="11" t="s">
        <v>389</v>
      </c>
      <c r="L122" s="11">
        <f>'Generate Dummy Closed WON (Reve'!I124</f>
        <v>23084.55708</v>
      </c>
      <c r="M122" s="11" t="s">
        <v>389</v>
      </c>
      <c r="N122" s="11">
        <f>'Generate Dummy Closed WON (Reve'!J124</f>
        <v>3093330.649</v>
      </c>
      <c r="O122" s="11" t="s">
        <v>389</v>
      </c>
    </row>
    <row r="123">
      <c r="A123" s="11" t="str">
        <f>'Generate Dummy Closed WON (Reve'!A125</f>
        <v>PRJ00708</v>
      </c>
      <c r="B123" s="11">
        <f>'Generate Dummy Closed WON (Reve'!D125</f>
        <v>732843.082</v>
      </c>
      <c r="C123" s="11" t="s">
        <v>390</v>
      </c>
      <c r="D123" s="11">
        <f>'Generate Dummy Closed WON (Reve'!E125</f>
        <v>366421.541</v>
      </c>
      <c r="E123" s="11" t="s">
        <v>390</v>
      </c>
      <c r="F123" s="11">
        <f>'Generate Dummy Closed WON (Reve'!F125</f>
        <v>219852.9246</v>
      </c>
      <c r="G123" s="11" t="s">
        <v>390</v>
      </c>
      <c r="H123" s="11">
        <f>'Generate Dummy Closed WON (Reve'!G125</f>
        <v>2564950.787</v>
      </c>
      <c r="I123" s="11" t="s">
        <v>390</v>
      </c>
      <c r="J123" s="11">
        <f>'Generate Dummy Closed WON (Reve'!H125</f>
        <v>586274.4656</v>
      </c>
      <c r="K123" s="11" t="s">
        <v>390</v>
      </c>
      <c r="L123" s="11">
        <f>'Generate Dummy Closed WON (Reve'!I125</f>
        <v>16488.96935</v>
      </c>
      <c r="M123" s="11" t="s">
        <v>390</v>
      </c>
      <c r="N123" s="11">
        <f>'Generate Dummy Closed WON (Reve'!J125</f>
        <v>2209521.892</v>
      </c>
      <c r="O123" s="11" t="s">
        <v>390</v>
      </c>
    </row>
    <row r="124">
      <c r="A124" s="11" t="str">
        <f>'Generate Dummy Closed WON (Reve'!A126</f>
        <v>PRJ00768</v>
      </c>
      <c r="B124" s="11">
        <f>'Generate Dummy Closed WON (Reve'!D126</f>
        <v>439705.8492</v>
      </c>
      <c r="C124" s="11" t="s">
        <v>391</v>
      </c>
      <c r="D124" s="11">
        <f>'Generate Dummy Closed WON (Reve'!E126</f>
        <v>219852.9246</v>
      </c>
      <c r="E124" s="11" t="s">
        <v>391</v>
      </c>
      <c r="F124" s="11">
        <f>'Generate Dummy Closed WON (Reve'!F126</f>
        <v>131911.7548</v>
      </c>
      <c r="G124" s="11" t="s">
        <v>391</v>
      </c>
      <c r="H124" s="11">
        <f>'Generate Dummy Closed WON (Reve'!G126</f>
        <v>1538970.472</v>
      </c>
      <c r="I124" s="11" t="s">
        <v>391</v>
      </c>
      <c r="J124" s="11">
        <f>'Generate Dummy Closed WON (Reve'!H126</f>
        <v>351764.6794</v>
      </c>
      <c r="K124" s="11" t="s">
        <v>391</v>
      </c>
      <c r="L124" s="11">
        <f>'Generate Dummy Closed WON (Reve'!I126</f>
        <v>9893.381608</v>
      </c>
      <c r="M124" s="11" t="s">
        <v>391</v>
      </c>
      <c r="N124" s="11">
        <f>'Generate Dummy Closed WON (Reve'!J126</f>
        <v>1325713.135</v>
      </c>
      <c r="O124" s="11" t="s">
        <v>391</v>
      </c>
    </row>
    <row r="125">
      <c r="A125" s="11" t="str">
        <f>'Generate Dummy Closed WON (Reve'!A127</f>
        <v>PRJ00819</v>
      </c>
      <c r="B125" s="11">
        <f>'Generate Dummy Closed WON (Reve'!D127</f>
        <v>146568.6164</v>
      </c>
      <c r="C125" s="11" t="s">
        <v>394</v>
      </c>
      <c r="D125" s="11">
        <f>'Generate Dummy Closed WON (Reve'!E127</f>
        <v>73284.3082</v>
      </c>
      <c r="E125" s="11" t="s">
        <v>394</v>
      </c>
      <c r="F125" s="11">
        <f>'Generate Dummy Closed WON (Reve'!F127</f>
        <v>43970.58492</v>
      </c>
      <c r="G125" s="11" t="s">
        <v>394</v>
      </c>
      <c r="H125" s="11">
        <f>'Generate Dummy Closed WON (Reve'!G127</f>
        <v>512990.1574</v>
      </c>
      <c r="I125" s="11" t="s">
        <v>394</v>
      </c>
      <c r="J125" s="11">
        <f>'Generate Dummy Closed WON (Reve'!H127</f>
        <v>117254.8931</v>
      </c>
      <c r="K125" s="11" t="s">
        <v>394</v>
      </c>
      <c r="L125" s="11">
        <f>'Generate Dummy Closed WON (Reve'!I127</f>
        <v>3297.793869</v>
      </c>
      <c r="M125" s="11" t="s">
        <v>394</v>
      </c>
      <c r="N125" s="11">
        <f>'Generate Dummy Closed WON (Reve'!J127</f>
        <v>441904.3785</v>
      </c>
      <c r="O125" s="11" t="s">
        <v>394</v>
      </c>
    </row>
    <row r="126">
      <c r="A126" s="35" t="str">
        <f>'Generate Dummy Closed WON (Reve'!L113</f>
        <v>PRJ00030</v>
      </c>
      <c r="B126" s="11">
        <f>'Generate Dummy Closed WON (Reve'!O112</f>
        <v>210969.9782</v>
      </c>
      <c r="C126" s="11" t="str">
        <f t="shared" ref="C126:C138" si="15">A126</f>
        <v>PRJ00030</v>
      </c>
      <c r="D126" s="11">
        <f>'Generate Dummy Closed WON (Reve'!P112</f>
        <v>105484.9891</v>
      </c>
      <c r="E126" s="11" t="str">
        <f t="shared" ref="E126:E138" si="16">C126</f>
        <v>PRJ00030</v>
      </c>
      <c r="F126" s="11">
        <f>'Generate Dummy Closed WON (Reve'!Q112</f>
        <v>63290.99345</v>
      </c>
      <c r="G126" s="11" t="str">
        <f t="shared" ref="G126:G138" si="17">E126</f>
        <v>PRJ00030</v>
      </c>
      <c r="H126" s="11">
        <f>'Generate Dummy Closed WON (Reve'!R112</f>
        <v>738394.9236</v>
      </c>
      <c r="I126" s="11" t="str">
        <f t="shared" ref="I126:I138" si="18">G126</f>
        <v>PRJ00030</v>
      </c>
      <c r="J126" s="11">
        <f>'Generate Dummy Closed WON (Reve'!S112</f>
        <v>168775.9825</v>
      </c>
      <c r="K126" s="11" t="str">
        <f t="shared" ref="K126:K138" si="19">I126</f>
        <v>PRJ00030</v>
      </c>
      <c r="L126" s="11">
        <f>'Generate Dummy Closed WON (Reve'!T112</f>
        <v>4746.824509</v>
      </c>
      <c r="M126" s="11" t="str">
        <f t="shared" ref="M126:M138" si="20">K126</f>
        <v>PRJ00030</v>
      </c>
      <c r="N126" s="11">
        <f>'Generate Dummy Closed WON (Reve'!U112</f>
        <v>636074.4842</v>
      </c>
      <c r="O126" s="11" t="str">
        <f t="shared" ref="O126:O138" si="21">M126</f>
        <v>PRJ00030</v>
      </c>
    </row>
    <row r="127">
      <c r="A127" s="11" t="str">
        <f>'Generate Dummy Closed WON (Reve'!L114</f>
        <v>PRJ00039</v>
      </c>
      <c r="B127" s="11">
        <f>'Generate Dummy Closed WON (Reve'!O113</f>
        <v>1054849.891</v>
      </c>
      <c r="C127" s="11" t="str">
        <f t="shared" si="15"/>
        <v>PRJ00039</v>
      </c>
      <c r="D127" s="11">
        <f>'Generate Dummy Closed WON (Reve'!P113</f>
        <v>527424.9454</v>
      </c>
      <c r="E127" s="11" t="str">
        <f t="shared" si="16"/>
        <v>PRJ00039</v>
      </c>
      <c r="F127" s="11">
        <f>'Generate Dummy Closed WON (Reve'!Q113</f>
        <v>316454.9672</v>
      </c>
      <c r="G127" s="11" t="str">
        <f t="shared" si="17"/>
        <v>PRJ00039</v>
      </c>
      <c r="H127" s="11">
        <f>'Generate Dummy Closed WON (Reve'!R113</f>
        <v>3691974.618</v>
      </c>
      <c r="I127" s="11" t="str">
        <f t="shared" si="18"/>
        <v>PRJ00039</v>
      </c>
      <c r="J127" s="11">
        <f>'Generate Dummy Closed WON (Reve'!S113</f>
        <v>843879.9127</v>
      </c>
      <c r="K127" s="11" t="str">
        <f t="shared" si="19"/>
        <v>PRJ00039</v>
      </c>
      <c r="L127" s="11">
        <f>'Generate Dummy Closed WON (Reve'!T113</f>
        <v>23734.12254</v>
      </c>
      <c r="M127" s="11" t="str">
        <f t="shared" si="20"/>
        <v>PRJ00039</v>
      </c>
      <c r="N127" s="11">
        <f>'Generate Dummy Closed WON (Reve'!U113</f>
        <v>3180372.421</v>
      </c>
      <c r="O127" s="11" t="str">
        <f t="shared" si="21"/>
        <v>PRJ00039</v>
      </c>
    </row>
    <row r="128">
      <c r="A128" s="11" t="str">
        <f>'Generate Dummy Closed WON (Reve'!L115</f>
        <v>PRJ00150</v>
      </c>
      <c r="B128" s="11">
        <f>'Generate Dummy Closed WON (Reve'!O114</f>
        <v>632909.9345</v>
      </c>
      <c r="C128" s="11" t="str">
        <f t="shared" si="15"/>
        <v>PRJ00150</v>
      </c>
      <c r="D128" s="11">
        <f>'Generate Dummy Closed WON (Reve'!P114</f>
        <v>316454.9672</v>
      </c>
      <c r="E128" s="11" t="str">
        <f t="shared" si="16"/>
        <v>PRJ00150</v>
      </c>
      <c r="F128" s="11">
        <f>'Generate Dummy Closed WON (Reve'!Q114</f>
        <v>189872.9803</v>
      </c>
      <c r="G128" s="11" t="str">
        <f t="shared" si="17"/>
        <v>PRJ00150</v>
      </c>
      <c r="H128" s="11">
        <f>'Generate Dummy Closed WON (Reve'!R114</f>
        <v>2215184.771</v>
      </c>
      <c r="I128" s="11" t="str">
        <f t="shared" si="18"/>
        <v>PRJ00150</v>
      </c>
      <c r="J128" s="11">
        <f>'Generate Dummy Closed WON (Reve'!S114</f>
        <v>506327.9476</v>
      </c>
      <c r="K128" s="11" t="str">
        <f t="shared" si="19"/>
        <v>PRJ00150</v>
      </c>
      <c r="L128" s="11">
        <f>'Generate Dummy Closed WON (Reve'!T114</f>
        <v>14240.47353</v>
      </c>
      <c r="M128" s="11" t="str">
        <f t="shared" si="20"/>
        <v>PRJ00150</v>
      </c>
      <c r="N128" s="11">
        <f>'Generate Dummy Closed WON (Reve'!U114</f>
        <v>1908223.452</v>
      </c>
      <c r="O128" s="11" t="str">
        <f t="shared" si="21"/>
        <v>PRJ00150</v>
      </c>
    </row>
    <row r="129">
      <c r="A129" s="11" t="str">
        <f>'Generate Dummy Closed WON (Reve'!L116</f>
        <v>PRJ00220</v>
      </c>
      <c r="B129" s="11">
        <f>'Generate Dummy Closed WON (Reve'!O115</f>
        <v>1265819.869</v>
      </c>
      <c r="C129" s="11" t="str">
        <f t="shared" si="15"/>
        <v>PRJ00220</v>
      </c>
      <c r="D129" s="11">
        <f>'Generate Dummy Closed WON (Reve'!P115</f>
        <v>632909.9345</v>
      </c>
      <c r="E129" s="11" t="str">
        <f t="shared" si="16"/>
        <v>PRJ00220</v>
      </c>
      <c r="F129" s="11">
        <f>'Generate Dummy Closed WON (Reve'!Q115</f>
        <v>379745.9607</v>
      </c>
      <c r="G129" s="11" t="str">
        <f t="shared" si="17"/>
        <v>PRJ00220</v>
      </c>
      <c r="H129" s="11">
        <f>'Generate Dummy Closed WON (Reve'!R115</f>
        <v>4430369.541</v>
      </c>
      <c r="I129" s="11" t="str">
        <f t="shared" si="18"/>
        <v>PRJ00220</v>
      </c>
      <c r="J129" s="11">
        <f>'Generate Dummy Closed WON (Reve'!S115</f>
        <v>1012655.895</v>
      </c>
      <c r="K129" s="11" t="str">
        <f t="shared" si="19"/>
        <v>PRJ00220</v>
      </c>
      <c r="L129" s="11">
        <f>'Generate Dummy Closed WON (Reve'!T115</f>
        <v>28480.94705</v>
      </c>
      <c r="M129" s="11" t="str">
        <f t="shared" si="20"/>
        <v>PRJ00220</v>
      </c>
      <c r="N129" s="11">
        <f>'Generate Dummy Closed WON (Reve'!U115</f>
        <v>3816446.905</v>
      </c>
      <c r="O129" s="11" t="str">
        <f t="shared" si="21"/>
        <v>PRJ00220</v>
      </c>
    </row>
    <row r="130">
      <c r="A130" s="11" t="str">
        <f>'Generate Dummy Closed WON (Reve'!L117</f>
        <v>PRJ00400</v>
      </c>
      <c r="B130" s="11">
        <f>'Generate Dummy Closed WON (Reve'!O116</f>
        <v>1265819.869</v>
      </c>
      <c r="C130" s="11" t="str">
        <f t="shared" si="15"/>
        <v>PRJ00400</v>
      </c>
      <c r="D130" s="11">
        <f>'Generate Dummy Closed WON (Reve'!P116</f>
        <v>632909.9345</v>
      </c>
      <c r="E130" s="11" t="str">
        <f t="shared" si="16"/>
        <v>PRJ00400</v>
      </c>
      <c r="F130" s="11">
        <f>'Generate Dummy Closed WON (Reve'!Q116</f>
        <v>379745.9607</v>
      </c>
      <c r="G130" s="11" t="str">
        <f t="shared" si="17"/>
        <v>PRJ00400</v>
      </c>
      <c r="H130" s="11">
        <f>'Generate Dummy Closed WON (Reve'!R116</f>
        <v>4430369.541</v>
      </c>
      <c r="I130" s="11" t="str">
        <f t="shared" si="18"/>
        <v>PRJ00400</v>
      </c>
      <c r="J130" s="11">
        <f>'Generate Dummy Closed WON (Reve'!S116</f>
        <v>1012655.895</v>
      </c>
      <c r="K130" s="11" t="str">
        <f t="shared" si="19"/>
        <v>PRJ00400</v>
      </c>
      <c r="L130" s="11">
        <f>'Generate Dummy Closed WON (Reve'!T116</f>
        <v>28480.94705</v>
      </c>
      <c r="M130" s="11" t="str">
        <f t="shared" si="20"/>
        <v>PRJ00400</v>
      </c>
      <c r="N130" s="11">
        <f>'Generate Dummy Closed WON (Reve'!U116</f>
        <v>3816446.905</v>
      </c>
      <c r="O130" s="11" t="str">
        <f t="shared" si="21"/>
        <v>PRJ00400</v>
      </c>
    </row>
    <row r="131">
      <c r="A131" s="11" t="str">
        <f>'Generate Dummy Closed WON (Reve'!L118</f>
        <v>PRJ00540</v>
      </c>
      <c r="B131" s="11">
        <f>'Generate Dummy Closed WON (Reve'!O117</f>
        <v>1265819.869</v>
      </c>
      <c r="C131" s="11" t="str">
        <f t="shared" si="15"/>
        <v>PRJ00540</v>
      </c>
      <c r="D131" s="11">
        <f>'Generate Dummy Closed WON (Reve'!P117</f>
        <v>632909.9345</v>
      </c>
      <c r="E131" s="11" t="str">
        <f t="shared" si="16"/>
        <v>PRJ00540</v>
      </c>
      <c r="F131" s="11">
        <f>'Generate Dummy Closed WON (Reve'!Q117</f>
        <v>379745.9607</v>
      </c>
      <c r="G131" s="11" t="str">
        <f t="shared" si="17"/>
        <v>PRJ00540</v>
      </c>
      <c r="H131" s="11">
        <f>'Generate Dummy Closed WON (Reve'!R117</f>
        <v>4430369.541</v>
      </c>
      <c r="I131" s="11" t="str">
        <f t="shared" si="18"/>
        <v>PRJ00540</v>
      </c>
      <c r="J131" s="11">
        <f>'Generate Dummy Closed WON (Reve'!S117</f>
        <v>1012655.895</v>
      </c>
      <c r="K131" s="11" t="str">
        <f t="shared" si="19"/>
        <v>PRJ00540</v>
      </c>
      <c r="L131" s="11">
        <f>'Generate Dummy Closed WON (Reve'!T117</f>
        <v>28480.94705</v>
      </c>
      <c r="M131" s="11" t="str">
        <f t="shared" si="20"/>
        <v>PRJ00540</v>
      </c>
      <c r="N131" s="11">
        <f>'Generate Dummy Closed WON (Reve'!U117</f>
        <v>3816446.905</v>
      </c>
      <c r="O131" s="11" t="str">
        <f t="shared" si="21"/>
        <v>PRJ00540</v>
      </c>
    </row>
    <row r="132">
      <c r="A132" s="11" t="str">
        <f>'Generate Dummy Closed WON (Reve'!L119</f>
        <v>PRJ00590</v>
      </c>
      <c r="B132" s="11">
        <f>'Generate Dummy Closed WON (Reve'!O118</f>
        <v>210969.9782</v>
      </c>
      <c r="C132" s="11" t="str">
        <f t="shared" si="15"/>
        <v>PRJ00590</v>
      </c>
      <c r="D132" s="11">
        <f>'Generate Dummy Closed WON (Reve'!P118</f>
        <v>105484.9891</v>
      </c>
      <c r="E132" s="11" t="str">
        <f t="shared" si="16"/>
        <v>PRJ00590</v>
      </c>
      <c r="F132" s="11">
        <f>'Generate Dummy Closed WON (Reve'!Q118</f>
        <v>63290.99345</v>
      </c>
      <c r="G132" s="11" t="str">
        <f t="shared" si="17"/>
        <v>PRJ00590</v>
      </c>
      <c r="H132" s="11">
        <f>'Generate Dummy Closed WON (Reve'!R118</f>
        <v>738394.9236</v>
      </c>
      <c r="I132" s="11" t="str">
        <f t="shared" si="18"/>
        <v>PRJ00590</v>
      </c>
      <c r="J132" s="11">
        <f>'Generate Dummy Closed WON (Reve'!S118</f>
        <v>168775.9825</v>
      </c>
      <c r="K132" s="11" t="str">
        <f t="shared" si="19"/>
        <v>PRJ00590</v>
      </c>
      <c r="L132" s="11">
        <f>'Generate Dummy Closed WON (Reve'!T118</f>
        <v>4746.824509</v>
      </c>
      <c r="M132" s="11" t="str">
        <f t="shared" si="20"/>
        <v>PRJ00590</v>
      </c>
      <c r="N132" s="11">
        <f>'Generate Dummy Closed WON (Reve'!U118</f>
        <v>636074.4842</v>
      </c>
      <c r="O132" s="11" t="str">
        <f t="shared" si="21"/>
        <v>PRJ00590</v>
      </c>
    </row>
    <row r="133">
      <c r="A133" s="11" t="str">
        <f>'Generate Dummy Closed WON (Reve'!L120</f>
        <v>PRJ00620</v>
      </c>
      <c r="B133" s="11">
        <f>'Generate Dummy Closed WON (Reve'!O119</f>
        <v>1265819.869</v>
      </c>
      <c r="C133" s="11" t="str">
        <f t="shared" si="15"/>
        <v>PRJ00620</v>
      </c>
      <c r="D133" s="11">
        <f>'Generate Dummy Closed WON (Reve'!P119</f>
        <v>632909.9345</v>
      </c>
      <c r="E133" s="11" t="str">
        <f t="shared" si="16"/>
        <v>PRJ00620</v>
      </c>
      <c r="F133" s="11">
        <f>'Generate Dummy Closed WON (Reve'!Q119</f>
        <v>379745.9607</v>
      </c>
      <c r="G133" s="11" t="str">
        <f t="shared" si="17"/>
        <v>PRJ00620</v>
      </c>
      <c r="H133" s="11">
        <f>'Generate Dummy Closed WON (Reve'!R119</f>
        <v>4430369.541</v>
      </c>
      <c r="I133" s="11" t="str">
        <f t="shared" si="18"/>
        <v>PRJ00620</v>
      </c>
      <c r="J133" s="11">
        <f>'Generate Dummy Closed WON (Reve'!S119</f>
        <v>1012655.895</v>
      </c>
      <c r="K133" s="11" t="str">
        <f t="shared" si="19"/>
        <v>PRJ00620</v>
      </c>
      <c r="L133" s="11">
        <f>'Generate Dummy Closed WON (Reve'!T119</f>
        <v>28480.94705</v>
      </c>
      <c r="M133" s="11" t="str">
        <f t="shared" si="20"/>
        <v>PRJ00620</v>
      </c>
      <c r="N133" s="11">
        <f>'Generate Dummy Closed WON (Reve'!U119</f>
        <v>3816446.905</v>
      </c>
      <c r="O133" s="11" t="str">
        <f t="shared" si="21"/>
        <v>PRJ00620</v>
      </c>
    </row>
    <row r="134">
      <c r="A134" s="11" t="str">
        <f>'Generate Dummy Closed WON (Reve'!L121</f>
        <v>PRJ00680</v>
      </c>
      <c r="B134" s="11">
        <f>'Generate Dummy Closed WON (Reve'!O120</f>
        <v>1054849.891</v>
      </c>
      <c r="C134" s="11" t="str">
        <f t="shared" si="15"/>
        <v>PRJ00680</v>
      </c>
      <c r="D134" s="11">
        <f>'Generate Dummy Closed WON (Reve'!P120</f>
        <v>527424.9454</v>
      </c>
      <c r="E134" s="11" t="str">
        <f t="shared" si="16"/>
        <v>PRJ00680</v>
      </c>
      <c r="F134" s="11">
        <f>'Generate Dummy Closed WON (Reve'!Q120</f>
        <v>316454.9672</v>
      </c>
      <c r="G134" s="11" t="str">
        <f t="shared" si="17"/>
        <v>PRJ00680</v>
      </c>
      <c r="H134" s="11">
        <f>'Generate Dummy Closed WON (Reve'!R120</f>
        <v>3691974.618</v>
      </c>
      <c r="I134" s="11" t="str">
        <f t="shared" si="18"/>
        <v>PRJ00680</v>
      </c>
      <c r="J134" s="11">
        <f>'Generate Dummy Closed WON (Reve'!S120</f>
        <v>843879.9127</v>
      </c>
      <c r="K134" s="11" t="str">
        <f t="shared" si="19"/>
        <v>PRJ00680</v>
      </c>
      <c r="L134" s="11">
        <f>'Generate Dummy Closed WON (Reve'!T120</f>
        <v>23734.12254</v>
      </c>
      <c r="M134" s="11" t="str">
        <f t="shared" si="20"/>
        <v>PRJ00680</v>
      </c>
      <c r="N134" s="11">
        <f>'Generate Dummy Closed WON (Reve'!U120</f>
        <v>3180372.421</v>
      </c>
      <c r="O134" s="11" t="str">
        <f t="shared" si="21"/>
        <v>PRJ00680</v>
      </c>
    </row>
    <row r="135">
      <c r="A135" s="11" t="str">
        <f>'Generate Dummy Closed WON (Reve'!L122</f>
        <v>PRJ00770</v>
      </c>
      <c r="B135" s="11">
        <f>'Generate Dummy Closed WON (Reve'!O121</f>
        <v>2109699.782</v>
      </c>
      <c r="C135" s="11" t="str">
        <f t="shared" si="15"/>
        <v>PRJ00770</v>
      </c>
      <c r="D135" s="11">
        <f>'Generate Dummy Closed WON (Reve'!P121</f>
        <v>1054849.891</v>
      </c>
      <c r="E135" s="11" t="str">
        <f t="shared" si="16"/>
        <v>PRJ00770</v>
      </c>
      <c r="F135" s="11">
        <f>'Generate Dummy Closed WON (Reve'!Q121</f>
        <v>632909.9345</v>
      </c>
      <c r="G135" s="11" t="str">
        <f t="shared" si="17"/>
        <v>PRJ00770</v>
      </c>
      <c r="H135" s="11">
        <f>'Generate Dummy Closed WON (Reve'!R121</f>
        <v>7383949.236</v>
      </c>
      <c r="I135" s="11" t="str">
        <f t="shared" si="18"/>
        <v>PRJ00770</v>
      </c>
      <c r="J135" s="11">
        <f>'Generate Dummy Closed WON (Reve'!S121</f>
        <v>1687759.825</v>
      </c>
      <c r="K135" s="11" t="str">
        <f t="shared" si="19"/>
        <v>PRJ00770</v>
      </c>
      <c r="L135" s="11">
        <f>'Generate Dummy Closed WON (Reve'!T121</f>
        <v>47468.24509</v>
      </c>
      <c r="M135" s="11" t="str">
        <f t="shared" si="20"/>
        <v>PRJ00770</v>
      </c>
      <c r="N135" s="11">
        <f>'Generate Dummy Closed WON (Reve'!U121</f>
        <v>6360744.842</v>
      </c>
      <c r="O135" s="11" t="str">
        <f t="shared" si="21"/>
        <v>PRJ00770</v>
      </c>
    </row>
    <row r="136">
      <c r="A136" s="11" t="str">
        <f>'Generate Dummy Closed WON (Reve'!L123</f>
        <v>PRJ00910</v>
      </c>
      <c r="B136" s="11">
        <f>'Generate Dummy Closed WON (Reve'!O122</f>
        <v>421939.9563</v>
      </c>
      <c r="C136" s="11" t="str">
        <f t="shared" si="15"/>
        <v>PRJ00910</v>
      </c>
      <c r="D136" s="11">
        <f>'Generate Dummy Closed WON (Reve'!P122</f>
        <v>210969.9782</v>
      </c>
      <c r="E136" s="11" t="str">
        <f t="shared" si="16"/>
        <v>PRJ00910</v>
      </c>
      <c r="F136" s="11">
        <f>'Generate Dummy Closed WON (Reve'!Q122</f>
        <v>126581.9869</v>
      </c>
      <c r="G136" s="11" t="str">
        <f t="shared" si="17"/>
        <v>PRJ00910</v>
      </c>
      <c r="H136" s="11">
        <f>'Generate Dummy Closed WON (Reve'!R122</f>
        <v>1476789.847</v>
      </c>
      <c r="I136" s="11" t="str">
        <f t="shared" si="18"/>
        <v>PRJ00910</v>
      </c>
      <c r="J136" s="11">
        <f>'Generate Dummy Closed WON (Reve'!S122</f>
        <v>337551.9651</v>
      </c>
      <c r="K136" s="11" t="str">
        <f t="shared" si="19"/>
        <v>PRJ00910</v>
      </c>
      <c r="L136" s="11">
        <f>'Generate Dummy Closed WON (Reve'!T122</f>
        <v>9493.649017</v>
      </c>
      <c r="M136" s="11" t="str">
        <f t="shared" si="20"/>
        <v>PRJ00910</v>
      </c>
      <c r="N136" s="11">
        <f>'Generate Dummy Closed WON (Reve'!U122</f>
        <v>1272148.968</v>
      </c>
      <c r="O136" s="11" t="str">
        <f t="shared" si="21"/>
        <v>PRJ00910</v>
      </c>
    </row>
    <row r="137">
      <c r="A137" s="11" t="str">
        <f>'Generate Dummy Closed WON (Reve'!L124</f>
        <v>PRJ00930</v>
      </c>
      <c r="B137" s="11">
        <f>'Generate Dummy Closed WON (Reve'!O123</f>
        <v>1054849.891</v>
      </c>
      <c r="C137" s="11" t="str">
        <f t="shared" si="15"/>
        <v>PRJ00930</v>
      </c>
      <c r="D137" s="11">
        <f>'Generate Dummy Closed WON (Reve'!P123</f>
        <v>527424.9454</v>
      </c>
      <c r="E137" s="11" t="str">
        <f t="shared" si="16"/>
        <v>PRJ00930</v>
      </c>
      <c r="F137" s="11">
        <f>'Generate Dummy Closed WON (Reve'!Q123</f>
        <v>316454.9672</v>
      </c>
      <c r="G137" s="11" t="str">
        <f t="shared" si="17"/>
        <v>PRJ00930</v>
      </c>
      <c r="H137" s="11">
        <f>'Generate Dummy Closed WON (Reve'!R123</f>
        <v>3691974.618</v>
      </c>
      <c r="I137" s="11" t="str">
        <f t="shared" si="18"/>
        <v>PRJ00930</v>
      </c>
      <c r="J137" s="11">
        <f>'Generate Dummy Closed WON (Reve'!S123</f>
        <v>843879.9127</v>
      </c>
      <c r="K137" s="11" t="str">
        <f t="shared" si="19"/>
        <v>PRJ00930</v>
      </c>
      <c r="L137" s="11">
        <f>'Generate Dummy Closed WON (Reve'!T123</f>
        <v>23734.12254</v>
      </c>
      <c r="M137" s="11" t="str">
        <f t="shared" si="20"/>
        <v>PRJ00930</v>
      </c>
      <c r="N137" s="11">
        <f>'Generate Dummy Closed WON (Reve'!U123</f>
        <v>3180372.421</v>
      </c>
      <c r="O137" s="11" t="str">
        <f t="shared" si="21"/>
        <v>PRJ00930</v>
      </c>
    </row>
    <row r="138">
      <c r="A138" s="11" t="str">
        <f>'Generate Dummy Closed WON (Reve'!L125</f>
        <v>PRJ00986</v>
      </c>
      <c r="B138" s="11">
        <f>'Generate Dummy Closed WON (Reve'!O124</f>
        <v>421939.9563</v>
      </c>
      <c r="C138" s="11" t="str">
        <f t="shared" si="15"/>
        <v>PRJ00986</v>
      </c>
      <c r="D138" s="11">
        <f>'Generate Dummy Closed WON (Reve'!P124</f>
        <v>210969.9782</v>
      </c>
      <c r="E138" s="11" t="str">
        <f t="shared" si="16"/>
        <v>PRJ00986</v>
      </c>
      <c r="F138" s="11">
        <f>'Generate Dummy Closed WON (Reve'!Q124</f>
        <v>126581.9869</v>
      </c>
      <c r="G138" s="11" t="str">
        <f t="shared" si="17"/>
        <v>PRJ00986</v>
      </c>
      <c r="H138" s="11">
        <f>'Generate Dummy Closed WON (Reve'!R124</f>
        <v>1476789.847</v>
      </c>
      <c r="I138" s="11" t="str">
        <f t="shared" si="18"/>
        <v>PRJ00986</v>
      </c>
      <c r="J138" s="11">
        <f>'Generate Dummy Closed WON (Reve'!S124</f>
        <v>337551.9651</v>
      </c>
      <c r="K138" s="11" t="str">
        <f t="shared" si="19"/>
        <v>PRJ00986</v>
      </c>
      <c r="L138" s="11">
        <f>'Generate Dummy Closed WON (Reve'!T124</f>
        <v>9493.649017</v>
      </c>
      <c r="M138" s="11" t="str">
        <f t="shared" si="20"/>
        <v>PRJ00986</v>
      </c>
      <c r="N138" s="11">
        <f>'Generate Dummy Closed WON (Reve'!U124</f>
        <v>1272148.968</v>
      </c>
      <c r="O138" s="11" t="str">
        <f t="shared" si="21"/>
        <v>PRJ00986</v>
      </c>
    </row>
    <row r="139">
      <c r="A139" s="35" t="str">
        <f>'Generate Dummy Closed WON (Reve'!A133</f>
        <v>PRJ00002</v>
      </c>
      <c r="B139" s="11">
        <f>'Generate Dummy Closed WON (Reve'!D133</f>
        <v>357026.1169</v>
      </c>
      <c r="C139" s="11" t="s">
        <v>100</v>
      </c>
      <c r="D139" s="11">
        <f>'Generate Dummy Closed WON (Reve'!E133</f>
        <v>178513.0584</v>
      </c>
      <c r="E139" s="11" t="s">
        <v>100</v>
      </c>
      <c r="F139" s="11">
        <f>'Generate Dummy Closed WON (Reve'!F133</f>
        <v>107107.8351</v>
      </c>
      <c r="G139" s="11" t="s">
        <v>100</v>
      </c>
      <c r="H139" s="11">
        <f>'Generate Dummy Closed WON (Reve'!G133</f>
        <v>1249591.409</v>
      </c>
      <c r="I139" s="11" t="s">
        <v>100</v>
      </c>
      <c r="J139" s="11">
        <f>'Generate Dummy Closed WON (Reve'!H133</f>
        <v>285620.8935</v>
      </c>
      <c r="K139" s="11" t="s">
        <v>100</v>
      </c>
      <c r="L139" s="11">
        <f>'Generate Dummy Closed WON (Reve'!I133</f>
        <v>8033.08763</v>
      </c>
      <c r="M139" s="11" t="s">
        <v>100</v>
      </c>
      <c r="N139" s="11">
        <f>'Generate Dummy Closed WON (Reve'!J133</f>
        <v>1076433.742</v>
      </c>
      <c r="O139" s="11" t="s">
        <v>100</v>
      </c>
    </row>
    <row r="140">
      <c r="A140" s="11" t="str">
        <f>'Generate Dummy Closed WON (Reve'!A134</f>
        <v>PRJ00255</v>
      </c>
      <c r="B140" s="11">
        <f>'Generate Dummy Closed WON (Reve'!D134</f>
        <v>1606617.526</v>
      </c>
      <c r="C140" s="11" t="s">
        <v>414</v>
      </c>
      <c r="D140" s="11">
        <f>'Generate Dummy Closed WON (Reve'!E134</f>
        <v>803308.763</v>
      </c>
      <c r="E140" s="11" t="s">
        <v>414</v>
      </c>
      <c r="F140" s="11">
        <f>'Generate Dummy Closed WON (Reve'!F134</f>
        <v>481985.2578</v>
      </c>
      <c r="G140" s="11" t="s">
        <v>414</v>
      </c>
      <c r="H140" s="11">
        <f>'Generate Dummy Closed WON (Reve'!G134</f>
        <v>5623161.341</v>
      </c>
      <c r="I140" s="11" t="s">
        <v>414</v>
      </c>
      <c r="J140" s="11">
        <f>'Generate Dummy Closed WON (Reve'!H134</f>
        <v>1285294.021</v>
      </c>
      <c r="K140" s="11" t="s">
        <v>414</v>
      </c>
      <c r="L140" s="11">
        <f>'Generate Dummy Closed WON (Reve'!I134</f>
        <v>36148.89434</v>
      </c>
      <c r="M140" s="11" t="s">
        <v>414</v>
      </c>
      <c r="N140" s="11">
        <f>'Generate Dummy Closed WON (Reve'!J134</f>
        <v>4843951.841</v>
      </c>
      <c r="O140" s="11" t="s">
        <v>414</v>
      </c>
    </row>
    <row r="141">
      <c r="A141" s="11" t="str">
        <f>'Generate Dummy Closed WON (Reve'!A135</f>
        <v>PRJ00275</v>
      </c>
      <c r="B141" s="11">
        <f>'Generate Dummy Closed WON (Reve'!D135</f>
        <v>714052.2338</v>
      </c>
      <c r="C141" s="11" t="s">
        <v>417</v>
      </c>
      <c r="D141" s="11">
        <f>'Generate Dummy Closed WON (Reve'!E135</f>
        <v>357026.1169</v>
      </c>
      <c r="E141" s="11" t="s">
        <v>417</v>
      </c>
      <c r="F141" s="11">
        <f>'Generate Dummy Closed WON (Reve'!F135</f>
        <v>214215.6701</v>
      </c>
      <c r="G141" s="11" t="s">
        <v>417</v>
      </c>
      <c r="H141" s="11">
        <f>'Generate Dummy Closed WON (Reve'!G135</f>
        <v>2499182.818</v>
      </c>
      <c r="I141" s="11" t="s">
        <v>417</v>
      </c>
      <c r="J141" s="11">
        <f>'Generate Dummy Closed WON (Reve'!H135</f>
        <v>571241.787</v>
      </c>
      <c r="K141" s="11" t="s">
        <v>417</v>
      </c>
      <c r="L141" s="11">
        <f>'Generate Dummy Closed WON (Reve'!I135</f>
        <v>16066.17526</v>
      </c>
      <c r="M141" s="11" t="s">
        <v>417</v>
      </c>
      <c r="N141" s="11">
        <f>'Generate Dummy Closed WON (Reve'!J135</f>
        <v>2152867.485</v>
      </c>
      <c r="O141" s="11" t="s">
        <v>417</v>
      </c>
    </row>
    <row r="142">
      <c r="A142" s="11" t="str">
        <f>'Generate Dummy Closed WON (Reve'!A136</f>
        <v>PRJ00444</v>
      </c>
      <c r="B142" s="11">
        <f>'Generate Dummy Closed WON (Reve'!D136</f>
        <v>357026.1169</v>
      </c>
      <c r="C142" s="11" t="s">
        <v>418</v>
      </c>
      <c r="D142" s="11">
        <f>'Generate Dummy Closed WON (Reve'!E136</f>
        <v>178513.0584</v>
      </c>
      <c r="E142" s="11" t="s">
        <v>418</v>
      </c>
      <c r="F142" s="11">
        <f>'Generate Dummy Closed WON (Reve'!F136</f>
        <v>107107.8351</v>
      </c>
      <c r="G142" s="11" t="s">
        <v>418</v>
      </c>
      <c r="H142" s="11">
        <f>'Generate Dummy Closed WON (Reve'!G136</f>
        <v>1249591.409</v>
      </c>
      <c r="I142" s="11" t="s">
        <v>418</v>
      </c>
      <c r="J142" s="11">
        <f>'Generate Dummy Closed WON (Reve'!H136</f>
        <v>285620.8935</v>
      </c>
      <c r="K142" s="11" t="s">
        <v>418</v>
      </c>
      <c r="L142" s="11">
        <f>'Generate Dummy Closed WON (Reve'!I136</f>
        <v>8033.08763</v>
      </c>
      <c r="M142" s="11" t="s">
        <v>418</v>
      </c>
      <c r="N142" s="11">
        <f>'Generate Dummy Closed WON (Reve'!J136</f>
        <v>1076433.742</v>
      </c>
      <c r="O142" s="11" t="s">
        <v>418</v>
      </c>
    </row>
    <row r="143">
      <c r="A143" s="11" t="str">
        <f>'Generate Dummy Closed WON (Reve'!A137</f>
        <v>PRJ00484</v>
      </c>
      <c r="B143" s="11">
        <f>'Generate Dummy Closed WON (Reve'!D137</f>
        <v>357026.1169</v>
      </c>
      <c r="C143" s="11" t="s">
        <v>419</v>
      </c>
      <c r="D143" s="11">
        <f>'Generate Dummy Closed WON (Reve'!E137</f>
        <v>178513.0584</v>
      </c>
      <c r="E143" s="11" t="s">
        <v>419</v>
      </c>
      <c r="F143" s="11">
        <f>'Generate Dummy Closed WON (Reve'!F137</f>
        <v>107107.8351</v>
      </c>
      <c r="G143" s="11" t="s">
        <v>419</v>
      </c>
      <c r="H143" s="11">
        <f>'Generate Dummy Closed WON (Reve'!G137</f>
        <v>1249591.409</v>
      </c>
      <c r="I143" s="11" t="s">
        <v>419</v>
      </c>
      <c r="J143" s="11">
        <f>'Generate Dummy Closed WON (Reve'!H137</f>
        <v>285620.8935</v>
      </c>
      <c r="K143" s="11" t="s">
        <v>419</v>
      </c>
      <c r="L143" s="11">
        <f>'Generate Dummy Closed WON (Reve'!I137</f>
        <v>8033.08763</v>
      </c>
      <c r="M143" s="11" t="s">
        <v>419</v>
      </c>
      <c r="N143" s="11">
        <f>'Generate Dummy Closed WON (Reve'!J137</f>
        <v>1076433.742</v>
      </c>
      <c r="O143" s="11" t="s">
        <v>419</v>
      </c>
    </row>
    <row r="144">
      <c r="A144" s="11" t="str">
        <f>'Generate Dummy Closed WON (Reve'!A138</f>
        <v>PRJ00524</v>
      </c>
      <c r="B144" s="11">
        <f>'Generate Dummy Closed WON (Reve'!D138</f>
        <v>1071078.351</v>
      </c>
      <c r="C144" s="11" t="s">
        <v>422</v>
      </c>
      <c r="D144" s="11">
        <f>'Generate Dummy Closed WON (Reve'!E138</f>
        <v>535539.1753</v>
      </c>
      <c r="E144" s="11" t="s">
        <v>422</v>
      </c>
      <c r="F144" s="11">
        <f>'Generate Dummy Closed WON (Reve'!F138</f>
        <v>321323.5052</v>
      </c>
      <c r="G144" s="11" t="s">
        <v>422</v>
      </c>
      <c r="H144" s="11">
        <f>'Generate Dummy Closed WON (Reve'!G138</f>
        <v>3748774.227</v>
      </c>
      <c r="I144" s="11" t="s">
        <v>422</v>
      </c>
      <c r="J144" s="11">
        <f>'Generate Dummy Closed WON (Reve'!H138</f>
        <v>856862.6805</v>
      </c>
      <c r="K144" s="11" t="s">
        <v>422</v>
      </c>
      <c r="L144" s="11">
        <f>'Generate Dummy Closed WON (Reve'!I138</f>
        <v>24099.26289</v>
      </c>
      <c r="M144" s="11" t="s">
        <v>422</v>
      </c>
      <c r="N144" s="11">
        <f>'Generate Dummy Closed WON (Reve'!J138</f>
        <v>3229301.227</v>
      </c>
      <c r="O144" s="11" t="s">
        <v>422</v>
      </c>
    </row>
    <row r="145">
      <c r="A145" s="11" t="str">
        <f>'Generate Dummy Closed WON (Reve'!A139</f>
        <v>PRJ00584</v>
      </c>
      <c r="B145" s="11">
        <f>'Generate Dummy Closed WON (Reve'!D139</f>
        <v>357026.1169</v>
      </c>
      <c r="C145" s="11" t="s">
        <v>423</v>
      </c>
      <c r="D145" s="11">
        <f>'Generate Dummy Closed WON (Reve'!E139</f>
        <v>178513.0584</v>
      </c>
      <c r="E145" s="11" t="s">
        <v>423</v>
      </c>
      <c r="F145" s="11">
        <f>'Generate Dummy Closed WON (Reve'!F139</f>
        <v>107107.8351</v>
      </c>
      <c r="G145" s="11" t="s">
        <v>423</v>
      </c>
      <c r="H145" s="11">
        <f>'Generate Dummy Closed WON (Reve'!G139</f>
        <v>1249591.409</v>
      </c>
      <c r="I145" s="11" t="s">
        <v>423</v>
      </c>
      <c r="J145" s="11">
        <f>'Generate Dummy Closed WON (Reve'!H139</f>
        <v>285620.8935</v>
      </c>
      <c r="K145" s="11" t="s">
        <v>423</v>
      </c>
      <c r="L145" s="11">
        <f>'Generate Dummy Closed WON (Reve'!I139</f>
        <v>8033.08763</v>
      </c>
      <c r="M145" s="11" t="s">
        <v>423</v>
      </c>
      <c r="N145" s="11">
        <f>'Generate Dummy Closed WON (Reve'!J139</f>
        <v>1076433.742</v>
      </c>
      <c r="O145" s="11" t="s">
        <v>423</v>
      </c>
    </row>
    <row r="146">
      <c r="A146" s="11" t="str">
        <f>'Generate Dummy Closed WON (Reve'!A140</f>
        <v>PRJ00615</v>
      </c>
      <c r="B146" s="11">
        <f>'Generate Dummy Closed WON (Reve'!D140</f>
        <v>1071078.351</v>
      </c>
      <c r="C146" s="11" t="s">
        <v>424</v>
      </c>
      <c r="D146" s="11">
        <f>'Generate Dummy Closed WON (Reve'!E140</f>
        <v>535539.1753</v>
      </c>
      <c r="E146" s="11" t="s">
        <v>424</v>
      </c>
      <c r="F146" s="11">
        <f>'Generate Dummy Closed WON (Reve'!F140</f>
        <v>321323.5052</v>
      </c>
      <c r="G146" s="11" t="s">
        <v>424</v>
      </c>
      <c r="H146" s="11">
        <f>'Generate Dummy Closed WON (Reve'!G140</f>
        <v>3748774.227</v>
      </c>
      <c r="I146" s="11" t="s">
        <v>424</v>
      </c>
      <c r="J146" s="11">
        <f>'Generate Dummy Closed WON (Reve'!H140</f>
        <v>856862.6805</v>
      </c>
      <c r="K146" s="11" t="s">
        <v>424</v>
      </c>
      <c r="L146" s="11">
        <f>'Generate Dummy Closed WON (Reve'!I140</f>
        <v>24099.26289</v>
      </c>
      <c r="M146" s="11" t="s">
        <v>424</v>
      </c>
      <c r="N146" s="11">
        <f>'Generate Dummy Closed WON (Reve'!J140</f>
        <v>3229301.227</v>
      </c>
      <c r="O146" s="11" t="s">
        <v>424</v>
      </c>
    </row>
    <row r="147">
      <c r="A147" s="11" t="str">
        <f>'Generate Dummy Closed WON (Reve'!A141</f>
        <v>PRJ00675</v>
      </c>
      <c r="B147" s="11">
        <f>'Generate Dummy Closed WON (Reve'!D141</f>
        <v>892565.2922</v>
      </c>
      <c r="C147" s="11" t="s">
        <v>427</v>
      </c>
      <c r="D147" s="11">
        <f>'Generate Dummy Closed WON (Reve'!E141</f>
        <v>446282.6461</v>
      </c>
      <c r="E147" s="11" t="s">
        <v>427</v>
      </c>
      <c r="F147" s="11">
        <f>'Generate Dummy Closed WON (Reve'!F141</f>
        <v>267769.5877</v>
      </c>
      <c r="G147" s="11" t="s">
        <v>427</v>
      </c>
      <c r="H147" s="11">
        <f>'Generate Dummy Closed WON (Reve'!G141</f>
        <v>3123978.523</v>
      </c>
      <c r="I147" s="11" t="s">
        <v>427</v>
      </c>
      <c r="J147" s="11">
        <f>'Generate Dummy Closed WON (Reve'!H141</f>
        <v>714052.2338</v>
      </c>
      <c r="K147" s="11" t="s">
        <v>427</v>
      </c>
      <c r="L147" s="11">
        <f>'Generate Dummy Closed WON (Reve'!I141</f>
        <v>20082.71908</v>
      </c>
      <c r="M147" s="11" t="s">
        <v>427</v>
      </c>
      <c r="N147" s="11">
        <f>'Generate Dummy Closed WON (Reve'!J141</f>
        <v>2691084.356</v>
      </c>
      <c r="O147" s="11" t="s">
        <v>427</v>
      </c>
    </row>
    <row r="148">
      <c r="A148" s="11" t="str">
        <f>'Generate Dummy Closed WON (Reve'!A142</f>
        <v>PRJ00684</v>
      </c>
      <c r="B148" s="11">
        <f>'Generate Dummy Closed WON (Reve'!D142</f>
        <v>357026.1169</v>
      </c>
      <c r="C148" s="11" t="s">
        <v>430</v>
      </c>
      <c r="D148" s="11">
        <f>'Generate Dummy Closed WON (Reve'!E142</f>
        <v>178513.0584</v>
      </c>
      <c r="E148" s="11" t="s">
        <v>430</v>
      </c>
      <c r="F148" s="11">
        <f>'Generate Dummy Closed WON (Reve'!F142</f>
        <v>107107.8351</v>
      </c>
      <c r="G148" s="11" t="s">
        <v>430</v>
      </c>
      <c r="H148" s="11">
        <f>'Generate Dummy Closed WON (Reve'!G142</f>
        <v>1249591.409</v>
      </c>
      <c r="I148" s="11" t="s">
        <v>430</v>
      </c>
      <c r="J148" s="11">
        <f>'Generate Dummy Closed WON (Reve'!H142</f>
        <v>285620.8935</v>
      </c>
      <c r="K148" s="11" t="s">
        <v>430</v>
      </c>
      <c r="L148" s="11">
        <f>'Generate Dummy Closed WON (Reve'!I142</f>
        <v>8033.08763</v>
      </c>
      <c r="M148" s="11" t="s">
        <v>430</v>
      </c>
      <c r="N148" s="11">
        <f>'Generate Dummy Closed WON (Reve'!J142</f>
        <v>1076433.742</v>
      </c>
      <c r="O148" s="11" t="s">
        <v>430</v>
      </c>
    </row>
    <row r="149">
      <c r="A149" s="11" t="str">
        <f>'Generate Dummy Closed WON (Reve'!A143</f>
        <v>PRJ00695</v>
      </c>
      <c r="B149" s="11">
        <f>'Generate Dummy Closed WON (Reve'!D143</f>
        <v>1071078.351</v>
      </c>
      <c r="C149" s="11" t="s">
        <v>433</v>
      </c>
      <c r="D149" s="11">
        <f>'Generate Dummy Closed WON (Reve'!E143</f>
        <v>535539.1753</v>
      </c>
      <c r="E149" s="11" t="s">
        <v>433</v>
      </c>
      <c r="F149" s="11">
        <f>'Generate Dummy Closed WON (Reve'!F143</f>
        <v>321323.5052</v>
      </c>
      <c r="G149" s="11" t="s">
        <v>433</v>
      </c>
      <c r="H149" s="11">
        <f>'Generate Dummy Closed WON (Reve'!G143</f>
        <v>3748774.227</v>
      </c>
      <c r="I149" s="11" t="s">
        <v>433</v>
      </c>
      <c r="J149" s="11">
        <f>'Generate Dummy Closed WON (Reve'!H143</f>
        <v>856862.6805</v>
      </c>
      <c r="K149" s="11" t="s">
        <v>433</v>
      </c>
      <c r="L149" s="11">
        <f>'Generate Dummy Closed WON (Reve'!I143</f>
        <v>24099.26289</v>
      </c>
      <c r="M149" s="11" t="s">
        <v>433</v>
      </c>
      <c r="N149" s="11">
        <f>'Generate Dummy Closed WON (Reve'!J143</f>
        <v>3229301.227</v>
      </c>
      <c r="O149" s="11" t="s">
        <v>433</v>
      </c>
    </row>
    <row r="150">
      <c r="A150" s="11" t="str">
        <f>'Generate Dummy Closed WON (Reve'!A144</f>
        <v>PRJ00824</v>
      </c>
      <c r="B150" s="11">
        <f>'Generate Dummy Closed WON (Reve'!D144</f>
        <v>1071078.351</v>
      </c>
      <c r="C150" s="11" t="s">
        <v>434</v>
      </c>
      <c r="D150" s="11">
        <f>'Generate Dummy Closed WON (Reve'!E144</f>
        <v>535539.1753</v>
      </c>
      <c r="E150" s="11" t="s">
        <v>434</v>
      </c>
      <c r="F150" s="11">
        <f>'Generate Dummy Closed WON (Reve'!F144</f>
        <v>321323.5052</v>
      </c>
      <c r="G150" s="11" t="s">
        <v>434</v>
      </c>
      <c r="H150" s="11">
        <f>'Generate Dummy Closed WON (Reve'!G144</f>
        <v>3748774.227</v>
      </c>
      <c r="I150" s="11" t="s">
        <v>434</v>
      </c>
      <c r="J150" s="11">
        <f>'Generate Dummy Closed WON (Reve'!H144</f>
        <v>856862.6805</v>
      </c>
      <c r="K150" s="11" t="s">
        <v>434</v>
      </c>
      <c r="L150" s="11">
        <f>'Generate Dummy Closed WON (Reve'!I144</f>
        <v>24099.26289</v>
      </c>
      <c r="M150" s="11" t="s">
        <v>434</v>
      </c>
      <c r="N150" s="11">
        <f>'Generate Dummy Closed WON (Reve'!J144</f>
        <v>3229301.227</v>
      </c>
      <c r="O150" s="11" t="s">
        <v>434</v>
      </c>
    </row>
    <row r="151">
      <c r="A151" s="11" t="str">
        <f>'Generate Dummy Closed WON (Reve'!A145</f>
        <v>PRJ00844</v>
      </c>
      <c r="B151" s="11">
        <f>'Generate Dummy Closed WON (Reve'!D145</f>
        <v>1785130.584</v>
      </c>
      <c r="C151" s="11" t="s">
        <v>436</v>
      </c>
      <c r="D151" s="11">
        <f>'Generate Dummy Closed WON (Reve'!E145</f>
        <v>892565.2922</v>
      </c>
      <c r="E151" s="11" t="s">
        <v>436</v>
      </c>
      <c r="F151" s="11">
        <f>'Generate Dummy Closed WON (Reve'!F145</f>
        <v>535539.1753</v>
      </c>
      <c r="G151" s="11" t="s">
        <v>436</v>
      </c>
      <c r="H151" s="11">
        <f>'Generate Dummy Closed WON (Reve'!G145</f>
        <v>6247957.046</v>
      </c>
      <c r="I151" s="11" t="s">
        <v>436</v>
      </c>
      <c r="J151" s="11">
        <f>'Generate Dummy Closed WON (Reve'!H145</f>
        <v>1428104.468</v>
      </c>
      <c r="K151" s="11" t="s">
        <v>436</v>
      </c>
      <c r="L151" s="11">
        <f>'Generate Dummy Closed WON (Reve'!I145</f>
        <v>40165.43815</v>
      </c>
      <c r="M151" s="11" t="s">
        <v>436</v>
      </c>
      <c r="N151" s="11">
        <f>'Generate Dummy Closed WON (Reve'!J145</f>
        <v>5382168.712</v>
      </c>
      <c r="O151" s="11" t="s">
        <v>436</v>
      </c>
    </row>
    <row r="152">
      <c r="A152" s="11" t="str">
        <f>'Generate Dummy Closed WON (Reve'!A146</f>
        <v>PRJ00884</v>
      </c>
      <c r="B152" s="11">
        <f>'Generate Dummy Closed WON (Reve'!D146</f>
        <v>357026.1169</v>
      </c>
      <c r="C152" s="11" t="s">
        <v>437</v>
      </c>
      <c r="D152" s="11">
        <f>'Generate Dummy Closed WON (Reve'!E146</f>
        <v>178513.0584</v>
      </c>
      <c r="E152" s="11" t="s">
        <v>437</v>
      </c>
      <c r="F152" s="11">
        <f>'Generate Dummy Closed WON (Reve'!F146</f>
        <v>107107.8351</v>
      </c>
      <c r="G152" s="11" t="s">
        <v>437</v>
      </c>
      <c r="H152" s="11">
        <f>'Generate Dummy Closed WON (Reve'!G146</f>
        <v>1249591.409</v>
      </c>
      <c r="I152" s="11" t="s">
        <v>437</v>
      </c>
      <c r="J152" s="11">
        <f>'Generate Dummy Closed WON (Reve'!H146</f>
        <v>285620.8935</v>
      </c>
      <c r="K152" s="11" t="s">
        <v>437</v>
      </c>
      <c r="L152" s="11">
        <f>'Generate Dummy Closed WON (Reve'!I146</f>
        <v>8033.08763</v>
      </c>
      <c r="M152" s="11" t="s">
        <v>437</v>
      </c>
      <c r="N152" s="11">
        <f>'Generate Dummy Closed WON (Reve'!J146</f>
        <v>1076433.742</v>
      </c>
      <c r="O152" s="11" t="s">
        <v>437</v>
      </c>
    </row>
    <row r="153">
      <c r="A153" s="11" t="str">
        <f>'Generate Dummy Closed WON (Reve'!A147</f>
        <v>PRJ00961</v>
      </c>
      <c r="B153" s="11">
        <f>'Generate Dummy Closed WON (Reve'!D147</f>
        <v>1785130.584</v>
      </c>
      <c r="C153" s="11" t="s">
        <v>440</v>
      </c>
      <c r="D153" s="11">
        <f>'Generate Dummy Closed WON (Reve'!E147</f>
        <v>892565.2922</v>
      </c>
      <c r="E153" s="11" t="s">
        <v>440</v>
      </c>
      <c r="F153" s="11">
        <f>'Generate Dummy Closed WON (Reve'!F147</f>
        <v>535539.1753</v>
      </c>
      <c r="G153" s="11" t="s">
        <v>440</v>
      </c>
      <c r="H153" s="11">
        <f>'Generate Dummy Closed WON (Reve'!G147</f>
        <v>6247957.046</v>
      </c>
      <c r="I153" s="11" t="s">
        <v>440</v>
      </c>
      <c r="J153" s="11">
        <f>'Generate Dummy Closed WON (Reve'!H147</f>
        <v>1428104.468</v>
      </c>
      <c r="K153" s="11" t="s">
        <v>440</v>
      </c>
      <c r="L153" s="11">
        <f>'Generate Dummy Closed WON (Reve'!I147</f>
        <v>40165.43815</v>
      </c>
      <c r="M153" s="11" t="s">
        <v>440</v>
      </c>
      <c r="N153" s="11">
        <f>'Generate Dummy Closed WON (Reve'!J147</f>
        <v>5382168.712</v>
      </c>
      <c r="O153" s="11" t="s">
        <v>440</v>
      </c>
    </row>
    <row r="154">
      <c r="A154" s="11" t="str">
        <f>'Generate Dummy Closed WON (Reve'!A148</f>
        <v>PRJ00974</v>
      </c>
      <c r="B154" s="11">
        <f>'Generate Dummy Closed WON (Reve'!D148</f>
        <v>357026.1169</v>
      </c>
      <c r="C154" s="11" t="s">
        <v>447</v>
      </c>
      <c r="D154" s="11">
        <f>'Generate Dummy Closed WON (Reve'!E148</f>
        <v>178513.0584</v>
      </c>
      <c r="E154" s="11" t="s">
        <v>447</v>
      </c>
      <c r="F154" s="11">
        <f>'Generate Dummy Closed WON (Reve'!F148</f>
        <v>107107.8351</v>
      </c>
      <c r="G154" s="11" t="s">
        <v>447</v>
      </c>
      <c r="H154" s="11">
        <f>'Generate Dummy Closed WON (Reve'!G148</f>
        <v>1249591.409</v>
      </c>
      <c r="I154" s="11" t="s">
        <v>447</v>
      </c>
      <c r="J154" s="11">
        <f>'Generate Dummy Closed WON (Reve'!H148</f>
        <v>285620.8935</v>
      </c>
      <c r="K154" s="11" t="s">
        <v>447</v>
      </c>
      <c r="L154" s="11">
        <f>'Generate Dummy Closed WON (Reve'!I148</f>
        <v>8033.08763</v>
      </c>
      <c r="M154" s="11" t="s">
        <v>447</v>
      </c>
      <c r="N154" s="11">
        <f>'Generate Dummy Closed WON (Reve'!J148</f>
        <v>1076433.742</v>
      </c>
      <c r="O154" s="11" t="s">
        <v>447</v>
      </c>
    </row>
    <row r="155">
      <c r="A155" s="11" t="str">
        <f>'Generate Dummy Closed WON (Reve'!A149</f>
        <v/>
      </c>
    </row>
    <row r="156">
      <c r="A156" s="11" t="str">
        <f>'Generate Dummy Closed WON (Reve'!A150</f>
        <v/>
      </c>
    </row>
  </sheetData>
  <drawing r:id="rId1"/>
  <tableParts count="12">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8.75"/>
    <col customWidth="1" min="2" max="2" width="7.75"/>
    <col customWidth="1" min="3" max="3" width="27.13"/>
    <col customWidth="1" min="4" max="4" width="10.0"/>
    <col customWidth="1" min="5" max="5" width="17.63"/>
    <col customWidth="1" min="6" max="6" width="21.13"/>
    <col customWidth="1" min="7" max="7" width="8.38"/>
    <col customWidth="1" min="8" max="8" width="13.38"/>
    <col customWidth="1" min="9" max="9" width="9.38"/>
    <col customWidth="1" min="10" max="10" width="10.25"/>
    <col customWidth="1" min="11" max="11" width="10.38"/>
    <col customWidth="1" min="12" max="12" width="10.88"/>
    <col customWidth="1" min="13" max="13" width="10.5"/>
    <col customWidth="1" min="14" max="14" width="11.13"/>
    <col customWidth="1" min="15" max="15" width="10.38"/>
    <col customWidth="1" min="16" max="16" width="9.75"/>
    <col customWidth="1" min="17" max="17" width="10.88"/>
    <col customWidth="1" min="18" max="18" width="10.75"/>
    <col customWidth="1" min="19" max="19" width="10.38"/>
    <col customWidth="1" min="20" max="20" width="10.88"/>
    <col customWidth="1" min="21" max="21" width="10.75"/>
    <col customWidth="1" min="22" max="22" width="13.25"/>
    <col customWidth="1" min="23" max="23" width="13.38"/>
    <col customWidth="1" min="24" max="24" width="13.88"/>
    <col customWidth="1" min="25" max="25" width="13.38"/>
    <col customWidth="1" min="26" max="26" width="14.13"/>
    <col customWidth="1" min="27" max="27" width="13.38"/>
    <col customWidth="1" min="28" max="28" width="12.75"/>
    <col customWidth="1" min="29" max="29" width="13.75"/>
    <col customWidth="1" min="30" max="30" width="10.75"/>
    <col customWidth="1" min="31" max="31" width="13.38"/>
    <col customWidth="1" min="32" max="33" width="13.75"/>
  </cols>
  <sheetData>
    <row r="1">
      <c r="A1" s="2" t="s">
        <v>0</v>
      </c>
      <c r="B1" s="3" t="s">
        <v>2</v>
      </c>
      <c r="C1" s="3" t="s">
        <v>3</v>
      </c>
      <c r="D1" s="3" t="s">
        <v>4</v>
      </c>
      <c r="E1" s="3" t="s">
        <v>5</v>
      </c>
      <c r="F1" s="3" t="s">
        <v>6</v>
      </c>
      <c r="G1" s="3" t="s">
        <v>9</v>
      </c>
      <c r="H1" s="3" t="s">
        <v>11</v>
      </c>
      <c r="I1" s="3" t="s">
        <v>10</v>
      </c>
      <c r="J1" s="3" t="s">
        <v>13</v>
      </c>
      <c r="K1" s="3" t="s">
        <v>14</v>
      </c>
      <c r="L1" s="3" t="s">
        <v>16</v>
      </c>
      <c r="M1" s="3" t="s">
        <v>17</v>
      </c>
      <c r="N1" s="3" t="s">
        <v>18</v>
      </c>
      <c r="O1" s="3" t="s">
        <v>19</v>
      </c>
      <c r="P1" s="3" t="s">
        <v>21</v>
      </c>
      <c r="Q1" s="3" t="s">
        <v>23</v>
      </c>
      <c r="R1" s="3" t="s">
        <v>24</v>
      </c>
      <c r="S1" s="3" t="s">
        <v>25</v>
      </c>
      <c r="T1" s="3" t="s">
        <v>26</v>
      </c>
      <c r="U1" s="3" t="s">
        <v>28</v>
      </c>
      <c r="V1" s="3" t="s">
        <v>30</v>
      </c>
      <c r="W1" s="3" t="s">
        <v>32</v>
      </c>
      <c r="X1" s="3" t="s">
        <v>34</v>
      </c>
      <c r="Y1" s="3" t="s">
        <v>36</v>
      </c>
      <c r="Z1" s="3" t="s">
        <v>38</v>
      </c>
      <c r="AA1" s="3" t="s">
        <v>40</v>
      </c>
      <c r="AB1" s="3" t="s">
        <v>41</v>
      </c>
      <c r="AC1" s="3" t="s">
        <v>42</v>
      </c>
      <c r="AD1" s="3" t="s">
        <v>44</v>
      </c>
      <c r="AE1" s="3" t="s">
        <v>47</v>
      </c>
      <c r="AF1" s="3" t="s">
        <v>49</v>
      </c>
      <c r="AG1" s="3" t="s">
        <v>51</v>
      </c>
    </row>
    <row r="2">
      <c r="A2" s="3" t="s">
        <v>52</v>
      </c>
      <c r="B2" s="3" t="s">
        <v>55</v>
      </c>
      <c r="C2" s="3" t="str">
        <f t="shared" ref="C2:C1001" si="1">CHOOSE(MOD(ROW()-2, 20)+1, "PT. Maju Jaya", "CV. Sumber Makmur", "PT. Teknologi Nusantara", "PT. Bakti Indonesia", "CV. Amanah Sejahtera", "PT. Digital Solusi Pratama", "PT. Global Niaga Abadi", "PT. Indo Makmur Sentosa", "PT. Citra Mandiri Utama", "PT. Sinar Dunia Baru", "CV. Karya Utama Mandiri", "PT. Pratama Jaya Sentosa", "PT. Abadi Selamanya Jaya", "PT. Mandiri Sejahtera Bersama", "PT. Sejahtera Alam Indonesia", "PT. Indah Kargo Logistik", "PT. Berkah Alam Semesta", "PT. Cahaya Baru Indonesia", "PT. Mentari Pagi Sejahtera", "PT. Bintang Kejora Nusantara")</f>
        <v>PT. Maju Jaya</v>
      </c>
      <c r="D2" s="3" t="s">
        <v>84</v>
      </c>
      <c r="E2" s="3" t="s">
        <v>85</v>
      </c>
      <c r="F2" s="3" t="s">
        <v>86</v>
      </c>
      <c r="G2" s="3" t="s">
        <v>35</v>
      </c>
      <c r="H2" s="3" t="str">
        <f t="array" ref="H2">XLOOKUP(G:G,'Account Manager Data'!A:A,'Account Manager Data'!B:B,0)</f>
        <v>Ahmad Fauzi</v>
      </c>
      <c r="I2" s="11" t="str">
        <f t="array" ref="I2">XLOOKUP($G:$G,'Account Manager Data'!$A:$A,'Account Manager Data'!C:C)</f>
        <v>Sumatera</v>
      </c>
      <c r="J2" s="17">
        <v>2966160.0</v>
      </c>
      <c r="K2" s="17">
        <v>7797707.0</v>
      </c>
      <c r="L2" s="17">
        <v>751234.0</v>
      </c>
      <c r="M2" s="17">
        <v>6323056.0</v>
      </c>
      <c r="N2" s="17">
        <v>0.0</v>
      </c>
      <c r="O2" s="17">
        <v>7185676.0</v>
      </c>
      <c r="P2" s="17">
        <v>1.1266926E7</v>
      </c>
      <c r="Q2" s="17">
        <v>2659407.0</v>
      </c>
      <c r="R2" s="17">
        <v>9503335.0</v>
      </c>
      <c r="S2" s="17">
        <v>3919266.0</v>
      </c>
      <c r="T2" s="17">
        <v>1.4726687E7</v>
      </c>
      <c r="U2" s="17">
        <v>1.7308622E7</v>
      </c>
      <c r="V2" s="11">
        <f t="array" ref="V2">XLOOKUP(A:A,'Raw Revenue'!A:A,'Raw Revenue'!B:B,0)
</f>
        <v>0</v>
      </c>
      <c r="W2" s="11">
        <f t="array" ref="W2">XLOOKUP(A:A,'Raw Revenue'!C:C,'Raw Revenue'!D:D,0)</f>
        <v>0</v>
      </c>
      <c r="X2" s="11">
        <f t="array" ref="X2">XLOOKUP(A:A,'Raw Revenue'!E:E,'Raw Revenue'!F:F,0)</f>
        <v>0</v>
      </c>
      <c r="Y2" s="11">
        <f t="array" ref="Y2">XLOOKUP(A:A,'Raw Revenue'!G:G,'Raw Revenue'!H:H,0)</f>
        <v>0</v>
      </c>
      <c r="Z2" s="11">
        <f t="array" ref="Z2">XLOOKUP(A:A,'Raw Revenue'!I:I,'Raw Revenue'!J:J,0)</f>
        <v>0</v>
      </c>
      <c r="AA2" s="11">
        <f t="array" ref="AA2">XLOOKUP(A:A,'Raw Revenue'!K:K,'Raw Revenue'!L:L,0)</f>
        <v>0</v>
      </c>
      <c r="AB2" s="11">
        <f t="array" ref="AB2">XLOOKUP(A:A,'Raw Revenue'!M:M,'Raw Revenue'!N:N,0)</f>
        <v>0</v>
      </c>
      <c r="AC2" s="3">
        <v>0.0</v>
      </c>
      <c r="AD2" s="3">
        <v>0.0</v>
      </c>
      <c r="AE2" s="3">
        <v>0.0</v>
      </c>
      <c r="AF2" s="3">
        <v>0.0</v>
      </c>
      <c r="AG2" s="3">
        <v>0.0</v>
      </c>
    </row>
    <row r="3">
      <c r="A3" s="3" t="s">
        <v>100</v>
      </c>
      <c r="B3" s="3" t="s">
        <v>102</v>
      </c>
      <c r="C3" s="3" t="str">
        <f t="shared" si="1"/>
        <v>CV. Sumber Makmur</v>
      </c>
      <c r="D3" s="3" t="s">
        <v>103</v>
      </c>
      <c r="E3" s="3" t="s">
        <v>104</v>
      </c>
      <c r="F3" s="3" t="s">
        <v>105</v>
      </c>
      <c r="G3" s="3" t="s">
        <v>78</v>
      </c>
      <c r="H3" s="3" t="str">
        <f t="array" ref="H3">XLOOKUP(G:G,'Account Manager Data'!A:A,'Account Manager Data'!B:B,0)</f>
        <v>Ilham Saputra</v>
      </c>
      <c r="I3" s="11" t="str">
        <f t="array" ref="I3">XLOOKUP($G:$G,'Account Manager Data'!$A:$A,'Account Manager Data'!C:C)</f>
        <v>Jawa</v>
      </c>
      <c r="J3" s="17">
        <v>2567102.0</v>
      </c>
      <c r="K3" s="17">
        <v>8814418.0</v>
      </c>
      <c r="L3" s="17">
        <v>7699551.0</v>
      </c>
      <c r="M3" s="17">
        <v>2258874.0</v>
      </c>
      <c r="N3" s="17">
        <v>4255237.0</v>
      </c>
      <c r="O3" s="17">
        <v>1.037866E7</v>
      </c>
      <c r="P3" s="17">
        <v>1520933.0</v>
      </c>
      <c r="Q3" s="17">
        <v>9481838.0</v>
      </c>
      <c r="R3" s="17">
        <v>0.0</v>
      </c>
      <c r="S3" s="17">
        <v>9772055.0</v>
      </c>
      <c r="T3" s="17">
        <v>659754.0</v>
      </c>
      <c r="U3" s="17">
        <v>1.7477879E7</v>
      </c>
      <c r="V3" s="11">
        <f t="array" ref="V3">XLOOKUP(A:A,'Raw Revenue'!A:A,'Raw Revenue'!B:B,0)
</f>
        <v>357026.1169</v>
      </c>
      <c r="W3" s="11">
        <f t="array" ref="W3">XLOOKUP(A:A,'Raw Revenue'!C:C,'Raw Revenue'!D:D,0)</f>
        <v>178513.0584</v>
      </c>
      <c r="X3" s="11">
        <f t="array" ref="X3">XLOOKUP(A:A,'Raw Revenue'!E:E,'Raw Revenue'!F:F,0)</f>
        <v>107107.8351</v>
      </c>
      <c r="Y3" s="11">
        <f t="array" ref="Y3">XLOOKUP(A:A,'Raw Revenue'!G:G,'Raw Revenue'!H:H,0)</f>
        <v>1249591.409</v>
      </c>
      <c r="Z3" s="11">
        <f t="array" ref="Z3">XLOOKUP(A:A,'Raw Revenue'!I:I,'Raw Revenue'!J:J,0)</f>
        <v>285620.8935</v>
      </c>
      <c r="AA3" s="11">
        <f t="array" ref="AA3">XLOOKUP(A:A,'Raw Revenue'!K:K,'Raw Revenue'!L:L,0)</f>
        <v>8033.08763</v>
      </c>
      <c r="AB3" s="11">
        <f t="array" ref="AB3">XLOOKUP(A:A,'Raw Revenue'!M:M,'Raw Revenue'!N:N,0)</f>
        <v>1076433.742</v>
      </c>
      <c r="AC3" s="3">
        <v>0.0</v>
      </c>
      <c r="AD3" s="3">
        <v>0.0</v>
      </c>
      <c r="AE3" s="3">
        <v>0.0</v>
      </c>
      <c r="AF3" s="3">
        <v>0.0</v>
      </c>
      <c r="AG3" s="3">
        <v>0.0</v>
      </c>
    </row>
    <row r="4">
      <c r="A4" s="3" t="s">
        <v>123</v>
      </c>
      <c r="B4" s="3" t="s">
        <v>125</v>
      </c>
      <c r="C4" s="3" t="str">
        <f t="shared" si="1"/>
        <v>PT. Teknologi Nusantara</v>
      </c>
      <c r="D4" s="3" t="s">
        <v>130</v>
      </c>
      <c r="E4" s="3" t="s">
        <v>104</v>
      </c>
      <c r="F4" s="3" t="s">
        <v>134</v>
      </c>
      <c r="G4" s="3" t="s">
        <v>63</v>
      </c>
      <c r="H4" s="3" t="str">
        <f t="array" ref="H4">XLOOKUP(G:G,'Account Manager Data'!A:A,'Account Manager Data'!B:B,0)</f>
        <v>Hendra Gunawan</v>
      </c>
      <c r="I4" s="11" t="str">
        <f t="array" ref="I4">XLOOKUP($G:$G,'Account Manager Data'!$A:$A,'Account Manager Data'!C:C)</f>
        <v>Kalimantan</v>
      </c>
      <c r="J4" s="17">
        <v>3246821.0</v>
      </c>
      <c r="K4" s="17">
        <v>7539407.0</v>
      </c>
      <c r="L4" s="17">
        <v>5913756.0</v>
      </c>
      <c r="M4" s="17">
        <v>5653365.0</v>
      </c>
      <c r="N4" s="17">
        <v>1.3522904E7</v>
      </c>
      <c r="O4" s="17">
        <v>1.0837711E7</v>
      </c>
      <c r="P4" s="17">
        <v>1511364.0</v>
      </c>
      <c r="Q4" s="17">
        <v>1.096239E7</v>
      </c>
      <c r="R4" s="17">
        <v>9730111.0</v>
      </c>
      <c r="S4" s="17">
        <v>1.5947569E7</v>
      </c>
      <c r="T4" s="17">
        <v>1.6258577E7</v>
      </c>
      <c r="U4" s="17">
        <v>1.1898873E7</v>
      </c>
      <c r="V4" s="11">
        <f t="array" ref="V4">XLOOKUP(A:A,'Raw Revenue'!A:A,'Raw Revenue'!B:B,0)
</f>
        <v>0</v>
      </c>
      <c r="W4" s="11">
        <f t="array" ref="W4">XLOOKUP(A:A,'Raw Revenue'!C:C,'Raw Revenue'!D:D,0)</f>
        <v>0</v>
      </c>
      <c r="X4" s="11">
        <f t="array" ref="X4">XLOOKUP(A:A,'Raw Revenue'!E:E,'Raw Revenue'!F:F,0)</f>
        <v>0</v>
      </c>
      <c r="Y4" s="11">
        <f t="array" ref="Y4">XLOOKUP(A:A,'Raw Revenue'!G:G,'Raw Revenue'!H:H,0)</f>
        <v>0</v>
      </c>
      <c r="Z4" s="11">
        <f t="array" ref="Z4">XLOOKUP(A:A,'Raw Revenue'!I:I,'Raw Revenue'!J:J,0)</f>
        <v>0</v>
      </c>
      <c r="AA4" s="11">
        <f t="array" ref="AA4">XLOOKUP(A:A,'Raw Revenue'!K:K,'Raw Revenue'!L:L,0)</f>
        <v>0</v>
      </c>
      <c r="AB4" s="11">
        <f t="array" ref="AB4">XLOOKUP(A:A,'Raw Revenue'!M:M,'Raw Revenue'!N:N,0)</f>
        <v>0</v>
      </c>
      <c r="AC4" s="3">
        <v>0.0</v>
      </c>
      <c r="AD4" s="3">
        <v>0.0</v>
      </c>
      <c r="AE4" s="3">
        <v>0.0</v>
      </c>
      <c r="AF4" s="3">
        <v>0.0</v>
      </c>
      <c r="AG4" s="3">
        <v>0.0</v>
      </c>
    </row>
    <row r="5">
      <c r="A5" s="3" t="s">
        <v>178</v>
      </c>
      <c r="B5" s="3" t="s">
        <v>179</v>
      </c>
      <c r="C5" s="3" t="str">
        <f t="shared" si="1"/>
        <v>PT. Bakti Indonesia</v>
      </c>
      <c r="D5" s="3" t="s">
        <v>84</v>
      </c>
      <c r="E5" s="3" t="s">
        <v>104</v>
      </c>
      <c r="F5" s="3" t="s">
        <v>134</v>
      </c>
      <c r="G5" s="3" t="s">
        <v>53</v>
      </c>
      <c r="H5" s="3" t="str">
        <f t="array" ref="H5">XLOOKUP(G:G,'Account Manager Data'!A:A,'Account Manager Data'!B:B,0)</f>
        <v>Fajar Ramadhan</v>
      </c>
      <c r="I5" s="11" t="str">
        <f t="array" ref="I5">XLOOKUP($G:$G,'Account Manager Data'!$A:$A,'Account Manager Data'!C:C)</f>
        <v>Sulawesi</v>
      </c>
      <c r="J5" s="17">
        <v>7961114.0</v>
      </c>
      <c r="K5" s="17">
        <v>6416594.0</v>
      </c>
      <c r="L5" s="17">
        <v>1.03407E7</v>
      </c>
      <c r="M5" s="17">
        <v>6438716.0</v>
      </c>
      <c r="N5" s="17">
        <v>8958457.0</v>
      </c>
      <c r="O5" s="17">
        <v>5382337.0</v>
      </c>
      <c r="P5" s="17">
        <v>9460617.0</v>
      </c>
      <c r="Q5" s="17">
        <v>1439939.0</v>
      </c>
      <c r="R5" s="17">
        <v>1.2895421E7</v>
      </c>
      <c r="S5" s="17">
        <v>1857318.0</v>
      </c>
      <c r="T5" s="17">
        <v>5494109.0</v>
      </c>
      <c r="U5" s="17">
        <v>0.0</v>
      </c>
      <c r="V5" s="11">
        <f t="array" ref="V5">XLOOKUP(A:A,'Raw Revenue'!A:A,'Raw Revenue'!B:B,0)
</f>
        <v>0</v>
      </c>
      <c r="W5" s="11">
        <f t="array" ref="W5">XLOOKUP(A:A,'Raw Revenue'!C:C,'Raw Revenue'!D:D,0)</f>
        <v>0</v>
      </c>
      <c r="X5" s="11">
        <f t="array" ref="X5">XLOOKUP(A:A,'Raw Revenue'!E:E,'Raw Revenue'!F:F,0)</f>
        <v>0</v>
      </c>
      <c r="Y5" s="11">
        <f t="array" ref="Y5">XLOOKUP(A:A,'Raw Revenue'!G:G,'Raw Revenue'!H:H,0)</f>
        <v>0</v>
      </c>
      <c r="Z5" s="11">
        <f t="array" ref="Z5">XLOOKUP(A:A,'Raw Revenue'!I:I,'Raw Revenue'!J:J,0)</f>
        <v>0</v>
      </c>
      <c r="AA5" s="11">
        <f t="array" ref="AA5">XLOOKUP(A:A,'Raw Revenue'!K:K,'Raw Revenue'!L:L,0)</f>
        <v>0</v>
      </c>
      <c r="AB5" s="11">
        <f t="array" ref="AB5">XLOOKUP(A:A,'Raw Revenue'!M:M,'Raw Revenue'!N:N,0)</f>
        <v>0</v>
      </c>
      <c r="AC5" s="3">
        <v>0.0</v>
      </c>
      <c r="AD5" s="3">
        <v>0.0</v>
      </c>
      <c r="AE5" s="3">
        <v>0.0</v>
      </c>
      <c r="AF5" s="3">
        <v>0.0</v>
      </c>
      <c r="AG5" s="3">
        <v>0.0</v>
      </c>
    </row>
    <row r="6">
      <c r="A6" s="3" t="s">
        <v>184</v>
      </c>
      <c r="B6" s="3" t="s">
        <v>185</v>
      </c>
      <c r="C6" s="3" t="str">
        <f t="shared" si="1"/>
        <v>CV. Amanah Sejahtera</v>
      </c>
      <c r="D6" s="3" t="s">
        <v>186</v>
      </c>
      <c r="E6" s="3" t="s">
        <v>187</v>
      </c>
      <c r="F6" s="3" t="s">
        <v>188</v>
      </c>
      <c r="G6" s="3" t="s">
        <v>78</v>
      </c>
      <c r="H6" s="3" t="str">
        <f t="array" ref="H6">XLOOKUP(G:G,'Account Manager Data'!A:A,'Account Manager Data'!B:B,0)</f>
        <v>Ilham Saputra</v>
      </c>
      <c r="I6" s="11" t="str">
        <f t="array" ref="I6">XLOOKUP($G:$G,'Account Manager Data'!$A:$A,'Account Manager Data'!C:C)</f>
        <v>Jawa</v>
      </c>
      <c r="J6" s="17">
        <v>694281.0</v>
      </c>
      <c r="K6" s="17">
        <v>4642267.0</v>
      </c>
      <c r="L6" s="17">
        <v>4271204.0</v>
      </c>
      <c r="M6" s="17">
        <v>8871702.0</v>
      </c>
      <c r="N6" s="17">
        <v>3710476.0</v>
      </c>
      <c r="O6" s="17">
        <v>2790727.0</v>
      </c>
      <c r="P6" s="17">
        <v>4940446.0</v>
      </c>
      <c r="Q6" s="17">
        <v>7802209.0</v>
      </c>
      <c r="R6" s="17">
        <v>1.0901441E7</v>
      </c>
      <c r="S6" s="17">
        <v>1.412354E7</v>
      </c>
      <c r="T6" s="17">
        <v>1.1321133E7</v>
      </c>
      <c r="U6" s="17">
        <v>9029935.0</v>
      </c>
      <c r="V6" s="11">
        <f t="array" ref="V6">XLOOKUP(A:A,'Raw Revenue'!A:A,'Raw Revenue'!B:B,0)
</f>
        <v>0</v>
      </c>
      <c r="W6" s="11">
        <f t="array" ref="W6">XLOOKUP(A:A,'Raw Revenue'!C:C,'Raw Revenue'!D:D,0)</f>
        <v>0</v>
      </c>
      <c r="X6" s="11">
        <f t="array" ref="X6">XLOOKUP(A:A,'Raw Revenue'!E:E,'Raw Revenue'!F:F,0)</f>
        <v>0</v>
      </c>
      <c r="Y6" s="11">
        <f t="array" ref="Y6">XLOOKUP(A:A,'Raw Revenue'!G:G,'Raw Revenue'!H:H,0)</f>
        <v>0</v>
      </c>
      <c r="Z6" s="11">
        <f t="array" ref="Z6">XLOOKUP(A:A,'Raw Revenue'!I:I,'Raw Revenue'!J:J,0)</f>
        <v>0</v>
      </c>
      <c r="AA6" s="11">
        <f t="array" ref="AA6">XLOOKUP(A:A,'Raw Revenue'!K:K,'Raw Revenue'!L:L,0)</f>
        <v>0</v>
      </c>
      <c r="AB6" s="11">
        <f t="array" ref="AB6">XLOOKUP(A:A,'Raw Revenue'!M:M,'Raw Revenue'!N:N,0)</f>
        <v>0</v>
      </c>
      <c r="AC6" s="3">
        <v>0.0</v>
      </c>
      <c r="AD6" s="3">
        <v>0.0</v>
      </c>
      <c r="AE6" s="3">
        <v>0.0</v>
      </c>
      <c r="AF6" s="3">
        <v>0.0</v>
      </c>
      <c r="AG6" s="3">
        <v>0.0</v>
      </c>
    </row>
    <row r="7">
      <c r="A7" s="3" t="s">
        <v>192</v>
      </c>
      <c r="B7" s="3" t="s">
        <v>193</v>
      </c>
      <c r="C7" s="3" t="str">
        <f t="shared" si="1"/>
        <v>PT. Digital Solusi Pratama</v>
      </c>
      <c r="D7" s="3" t="s">
        <v>195</v>
      </c>
      <c r="E7" s="3" t="s">
        <v>196</v>
      </c>
      <c r="F7" s="3" t="s">
        <v>197</v>
      </c>
      <c r="G7" s="3" t="s">
        <v>15</v>
      </c>
      <c r="H7" s="3" t="str">
        <f t="array" ref="H7">XLOOKUP(G:G,'Account Manager Data'!A:A,'Account Manager Data'!B:B,0)</f>
        <v>Rizky Maulana</v>
      </c>
      <c r="I7" s="11" t="str">
        <f t="array" ref="I7">XLOOKUP($G:$G,'Account Manager Data'!$A:$A,'Account Manager Data'!C:C)</f>
        <v>Jawa</v>
      </c>
      <c r="J7" s="17">
        <v>1538794.0</v>
      </c>
      <c r="K7" s="17">
        <v>8884412.0</v>
      </c>
      <c r="L7" s="17">
        <v>8615893.0</v>
      </c>
      <c r="M7" s="17">
        <v>1055216.0</v>
      </c>
      <c r="N7" s="17">
        <v>2976622.0</v>
      </c>
      <c r="O7" s="17">
        <v>1.4923256E7</v>
      </c>
      <c r="P7" s="17">
        <v>3676715.0</v>
      </c>
      <c r="Q7" s="17">
        <v>9093131.0</v>
      </c>
      <c r="R7" s="17">
        <v>1002210.0</v>
      </c>
      <c r="S7" s="17">
        <v>1169432.0</v>
      </c>
      <c r="T7" s="17">
        <v>0.0</v>
      </c>
      <c r="U7" s="17">
        <v>1.463206E7</v>
      </c>
      <c r="V7" s="11">
        <f t="array" ref="V7">XLOOKUP(A:A,'Raw Revenue'!A:A,'Raw Revenue'!B:B,0)
</f>
        <v>0</v>
      </c>
      <c r="W7" s="11">
        <f t="array" ref="W7">XLOOKUP(A:A,'Raw Revenue'!C:C,'Raw Revenue'!D:D,0)</f>
        <v>0</v>
      </c>
      <c r="X7" s="11">
        <f t="array" ref="X7">XLOOKUP(A:A,'Raw Revenue'!E:E,'Raw Revenue'!F:F,0)</f>
        <v>0</v>
      </c>
      <c r="Y7" s="11">
        <f t="array" ref="Y7">XLOOKUP(A:A,'Raw Revenue'!G:G,'Raw Revenue'!H:H,0)</f>
        <v>0</v>
      </c>
      <c r="Z7" s="11">
        <f t="array" ref="Z7">XLOOKUP(A:A,'Raw Revenue'!I:I,'Raw Revenue'!J:J,0)</f>
        <v>0</v>
      </c>
      <c r="AA7" s="11">
        <f t="array" ref="AA7">XLOOKUP(A:A,'Raw Revenue'!K:K,'Raw Revenue'!L:L,0)</f>
        <v>0</v>
      </c>
      <c r="AB7" s="11">
        <f t="array" ref="AB7">XLOOKUP(A:A,'Raw Revenue'!M:M,'Raw Revenue'!N:N,0)</f>
        <v>0</v>
      </c>
      <c r="AC7" s="3">
        <v>0.0</v>
      </c>
      <c r="AD7" s="3">
        <v>0.0</v>
      </c>
      <c r="AE7" s="3">
        <v>0.0</v>
      </c>
      <c r="AF7" s="3">
        <v>0.0</v>
      </c>
      <c r="AG7" s="3">
        <v>0.0</v>
      </c>
    </row>
    <row r="8">
      <c r="A8" s="3" t="s">
        <v>203</v>
      </c>
      <c r="B8" s="3" t="s">
        <v>204</v>
      </c>
      <c r="C8" s="3" t="str">
        <f t="shared" si="1"/>
        <v>PT. Global Niaga Abadi</v>
      </c>
      <c r="D8" s="3" t="s">
        <v>103</v>
      </c>
      <c r="E8" s="3" t="s">
        <v>104</v>
      </c>
      <c r="F8" s="3" t="s">
        <v>134</v>
      </c>
      <c r="G8" s="3" t="s">
        <v>74</v>
      </c>
      <c r="H8" s="3" t="str">
        <f t="array" ref="H8">XLOOKUP(G:G,'Account Manager Data'!A:A,'Account Manager Data'!B:B,0)</f>
        <v>Budi Santoso</v>
      </c>
      <c r="I8" s="11" t="str">
        <f t="array" ref="I8">XLOOKUP($G:$G,'Account Manager Data'!$A:$A,'Account Manager Data'!C:C)</f>
        <v>Papua</v>
      </c>
      <c r="J8" s="17">
        <v>2718187.0</v>
      </c>
      <c r="K8" s="17">
        <v>4141754.0</v>
      </c>
      <c r="L8" s="17">
        <v>8835324.0</v>
      </c>
      <c r="M8" s="17">
        <v>379338.0</v>
      </c>
      <c r="N8" s="17">
        <v>1.1051261E7</v>
      </c>
      <c r="O8" s="17">
        <v>9907821.0</v>
      </c>
      <c r="P8" s="17">
        <v>1.5305877E7</v>
      </c>
      <c r="Q8" s="17">
        <v>1.1286631E7</v>
      </c>
      <c r="R8" s="17">
        <v>1.4544387E7</v>
      </c>
      <c r="S8" s="17">
        <v>1654939.0</v>
      </c>
      <c r="T8" s="17">
        <v>1292246.0</v>
      </c>
      <c r="U8" s="17">
        <v>1.7615147E7</v>
      </c>
      <c r="V8" s="11">
        <f t="array" ref="V8">XLOOKUP(A:A,'Raw Revenue'!A:A,'Raw Revenue'!B:B,0)
</f>
        <v>1319117.548</v>
      </c>
      <c r="W8" s="11">
        <f t="array" ref="W8">XLOOKUP(A:A,'Raw Revenue'!C:C,'Raw Revenue'!D:D,0)</f>
        <v>659558.7738</v>
      </c>
      <c r="X8" s="11">
        <f t="array" ref="X8">XLOOKUP(A:A,'Raw Revenue'!E:E,'Raw Revenue'!F:F,0)</f>
        <v>395735.2643</v>
      </c>
      <c r="Y8" s="11">
        <f t="array" ref="Y8">XLOOKUP(A:A,'Raw Revenue'!G:G,'Raw Revenue'!H:H,0)</f>
        <v>4616911.417</v>
      </c>
      <c r="Z8" s="11">
        <f t="array" ref="Z8">XLOOKUP(A:A,'Raw Revenue'!I:I,'Raw Revenue'!J:J,0)</f>
        <v>1055294.038</v>
      </c>
      <c r="AA8" s="11">
        <f t="array" ref="AA8">XLOOKUP(A:A,'Raw Revenue'!K:K,'Raw Revenue'!L:L,0)</f>
        <v>29680.14482</v>
      </c>
      <c r="AB8" s="11">
        <f t="array" ref="AB8">XLOOKUP(A:A,'Raw Revenue'!M:M,'Raw Revenue'!N:N,0)</f>
        <v>3977139.406</v>
      </c>
      <c r="AC8" s="3">
        <v>0.0</v>
      </c>
      <c r="AD8" s="3">
        <v>0.0</v>
      </c>
      <c r="AE8" s="3">
        <v>0.0</v>
      </c>
      <c r="AF8" s="3">
        <v>0.0</v>
      </c>
      <c r="AG8" s="3">
        <v>0.0</v>
      </c>
    </row>
    <row r="9">
      <c r="A9" s="3" t="s">
        <v>211</v>
      </c>
      <c r="B9" s="3" t="s">
        <v>212</v>
      </c>
      <c r="C9" s="3" t="str">
        <f t="shared" si="1"/>
        <v>PT. Indo Makmur Sentosa</v>
      </c>
      <c r="D9" s="3" t="s">
        <v>214</v>
      </c>
      <c r="E9" s="3" t="s">
        <v>215</v>
      </c>
      <c r="F9" s="3" t="s">
        <v>216</v>
      </c>
      <c r="G9" s="3" t="s">
        <v>27</v>
      </c>
      <c r="H9" s="3" t="str">
        <f t="array" ref="H9">XLOOKUP(G:G,'Account Manager Data'!A:A,'Account Manager Data'!B:B,0)</f>
        <v>Dedi Kurniawan</v>
      </c>
      <c r="I9" s="11" t="str">
        <f t="array" ref="I9">XLOOKUP($G:$G,'Account Manager Data'!$A:$A,'Account Manager Data'!C:C)</f>
        <v>Kalimantan</v>
      </c>
      <c r="J9" s="17">
        <v>7902204.0</v>
      </c>
      <c r="K9" s="17">
        <v>4324843.0</v>
      </c>
      <c r="L9" s="17">
        <v>2618601.0</v>
      </c>
      <c r="M9" s="17">
        <v>8685348.0</v>
      </c>
      <c r="N9" s="17">
        <v>5869549.0</v>
      </c>
      <c r="O9" s="17">
        <v>1.4965106E7</v>
      </c>
      <c r="P9" s="17">
        <v>8492410.0</v>
      </c>
      <c r="Q9" s="17">
        <v>2352252.0</v>
      </c>
      <c r="R9" s="17">
        <v>0.0</v>
      </c>
      <c r="S9" s="17">
        <v>1.4061399E7</v>
      </c>
      <c r="T9" s="17">
        <v>1.8896236E7</v>
      </c>
      <c r="U9" s="17">
        <v>0.0</v>
      </c>
      <c r="V9" s="11">
        <f t="array" ref="V9">XLOOKUP(A:A,'Raw Revenue'!A:A,'Raw Revenue'!B:B,0)
</f>
        <v>0</v>
      </c>
      <c r="W9" s="11">
        <f t="array" ref="W9">XLOOKUP(A:A,'Raw Revenue'!C:C,'Raw Revenue'!D:D,0)</f>
        <v>0</v>
      </c>
      <c r="X9" s="11">
        <f t="array" ref="X9">XLOOKUP(A:A,'Raw Revenue'!E:E,'Raw Revenue'!F:F,0)</f>
        <v>0</v>
      </c>
      <c r="Y9" s="11">
        <f t="array" ref="Y9">XLOOKUP(A:A,'Raw Revenue'!G:G,'Raw Revenue'!H:H,0)</f>
        <v>0</v>
      </c>
      <c r="Z9" s="11">
        <f t="array" ref="Z9">XLOOKUP(A:A,'Raw Revenue'!I:I,'Raw Revenue'!J:J,0)</f>
        <v>0</v>
      </c>
      <c r="AA9" s="11">
        <f t="array" ref="AA9">XLOOKUP(A:A,'Raw Revenue'!K:K,'Raw Revenue'!L:L,0)</f>
        <v>0</v>
      </c>
      <c r="AB9" s="11">
        <f t="array" ref="AB9">XLOOKUP(A:A,'Raw Revenue'!M:M,'Raw Revenue'!N:N,0)</f>
        <v>0</v>
      </c>
      <c r="AC9" s="3">
        <v>0.0</v>
      </c>
      <c r="AD9" s="3">
        <v>0.0</v>
      </c>
      <c r="AE9" s="3">
        <v>0.0</v>
      </c>
      <c r="AF9" s="3">
        <v>0.0</v>
      </c>
      <c r="AG9" s="3">
        <v>0.0</v>
      </c>
    </row>
    <row r="10">
      <c r="A10" s="3" t="s">
        <v>223</v>
      </c>
      <c r="B10" s="3" t="s">
        <v>225</v>
      </c>
      <c r="C10" s="3" t="str">
        <f t="shared" si="1"/>
        <v>PT. Citra Mandiri Utama</v>
      </c>
      <c r="D10" s="3" t="s">
        <v>186</v>
      </c>
      <c r="E10" s="3" t="s">
        <v>215</v>
      </c>
      <c r="F10" s="3" t="s">
        <v>227</v>
      </c>
      <c r="G10" s="3" t="s">
        <v>76</v>
      </c>
      <c r="H10" s="3" t="str">
        <f t="array" ref="H10">XLOOKUP(G:G,'Account Manager Data'!A:A,'Account Manager Data'!B:B,0)</f>
        <v>Teguh Wijaya</v>
      </c>
      <c r="I10" s="11" t="str">
        <f t="array" ref="I10">XLOOKUP($G:$G,'Account Manager Data'!$A:$A,'Account Manager Data'!C:C)</f>
        <v>Sulawesi</v>
      </c>
      <c r="J10" s="17">
        <v>982441.0</v>
      </c>
      <c r="K10" s="17">
        <v>4733715.0</v>
      </c>
      <c r="L10" s="17">
        <v>4654353.0</v>
      </c>
      <c r="M10" s="17">
        <v>0.0</v>
      </c>
      <c r="N10" s="17">
        <v>6681782.0</v>
      </c>
      <c r="O10" s="17">
        <v>1.0384501E7</v>
      </c>
      <c r="P10" s="17">
        <v>0.0</v>
      </c>
      <c r="Q10" s="17">
        <v>1276070.0</v>
      </c>
      <c r="R10" s="17">
        <v>256764.0</v>
      </c>
      <c r="S10" s="17">
        <v>1.0545867E7</v>
      </c>
      <c r="T10" s="17">
        <v>4972907.0</v>
      </c>
      <c r="U10" s="17">
        <v>4664936.0</v>
      </c>
      <c r="V10" s="11">
        <f t="array" ref="V10">XLOOKUP(A:A,'Raw Revenue'!A:A,'Raw Revenue'!B:B,0)
</f>
        <v>0</v>
      </c>
      <c r="W10" s="11">
        <f t="array" ref="W10">XLOOKUP(A:A,'Raw Revenue'!C:C,'Raw Revenue'!D:D,0)</f>
        <v>0</v>
      </c>
      <c r="X10" s="11">
        <f t="array" ref="X10">XLOOKUP(A:A,'Raw Revenue'!E:E,'Raw Revenue'!F:F,0)</f>
        <v>0</v>
      </c>
      <c r="Y10" s="11">
        <f t="array" ref="Y10">XLOOKUP(A:A,'Raw Revenue'!G:G,'Raw Revenue'!H:H,0)</f>
        <v>0</v>
      </c>
      <c r="Z10" s="11">
        <f t="array" ref="Z10">XLOOKUP(A:A,'Raw Revenue'!I:I,'Raw Revenue'!J:J,0)</f>
        <v>0</v>
      </c>
      <c r="AA10" s="11">
        <f t="array" ref="AA10">XLOOKUP(A:A,'Raw Revenue'!K:K,'Raw Revenue'!L:L,0)</f>
        <v>0</v>
      </c>
      <c r="AB10" s="11">
        <f t="array" ref="AB10">XLOOKUP(A:A,'Raw Revenue'!M:M,'Raw Revenue'!N:N,0)</f>
        <v>0</v>
      </c>
      <c r="AC10" s="3">
        <v>0.0</v>
      </c>
      <c r="AD10" s="3">
        <v>0.0</v>
      </c>
      <c r="AE10" s="3">
        <v>0.0</v>
      </c>
      <c r="AF10" s="3">
        <v>0.0</v>
      </c>
      <c r="AG10" s="3">
        <v>0.0</v>
      </c>
    </row>
    <row r="11">
      <c r="A11" s="3" t="s">
        <v>236</v>
      </c>
      <c r="B11" s="3" t="s">
        <v>237</v>
      </c>
      <c r="C11" s="3" t="str">
        <f t="shared" si="1"/>
        <v>PT. Sinar Dunia Baru</v>
      </c>
      <c r="D11" s="3" t="s">
        <v>195</v>
      </c>
      <c r="E11" s="3" t="s">
        <v>187</v>
      </c>
      <c r="F11" s="3" t="s">
        <v>188</v>
      </c>
      <c r="G11" s="3" t="s">
        <v>43</v>
      </c>
      <c r="H11" s="3" t="str">
        <f t="array" ref="H11">XLOOKUP(G:G,'Account Manager Data'!A:A,'Account Manager Data'!B:B,0)</f>
        <v>Eko Prasetyo</v>
      </c>
      <c r="I11" s="11" t="str">
        <f t="array" ref="I11">XLOOKUP($G:$G,'Account Manager Data'!$A:$A,'Account Manager Data'!C:C)</f>
        <v>Papua</v>
      </c>
      <c r="J11" s="17">
        <v>6409402.0</v>
      </c>
      <c r="K11" s="17">
        <v>3847942.0</v>
      </c>
      <c r="L11" s="17">
        <v>1.080621E7</v>
      </c>
      <c r="M11" s="17">
        <v>3183351.0</v>
      </c>
      <c r="N11" s="17">
        <v>0.0</v>
      </c>
      <c r="O11" s="17">
        <v>4699677.0</v>
      </c>
      <c r="P11" s="17">
        <v>9405758.0</v>
      </c>
      <c r="Q11" s="17">
        <v>8999847.0</v>
      </c>
      <c r="R11" s="17">
        <v>1.106061E7</v>
      </c>
      <c r="S11" s="17">
        <v>1.6187701E7</v>
      </c>
      <c r="T11" s="17">
        <v>1851791.0</v>
      </c>
      <c r="U11" s="17">
        <v>7555624.0</v>
      </c>
      <c r="V11" s="11">
        <f t="array" ref="V11">XLOOKUP(A:A,'Raw Revenue'!A:A,'Raw Revenue'!B:B,0)
</f>
        <v>0</v>
      </c>
      <c r="W11" s="11">
        <f t="array" ref="W11">XLOOKUP(A:A,'Raw Revenue'!C:C,'Raw Revenue'!D:D,0)</f>
        <v>0</v>
      </c>
      <c r="X11" s="11">
        <f t="array" ref="X11">XLOOKUP(A:A,'Raw Revenue'!E:E,'Raw Revenue'!F:F,0)</f>
        <v>0</v>
      </c>
      <c r="Y11" s="11">
        <f t="array" ref="Y11">XLOOKUP(A:A,'Raw Revenue'!G:G,'Raw Revenue'!H:H,0)</f>
        <v>0</v>
      </c>
      <c r="Z11" s="11">
        <f t="array" ref="Z11">XLOOKUP(A:A,'Raw Revenue'!I:I,'Raw Revenue'!J:J,0)</f>
        <v>0</v>
      </c>
      <c r="AA11" s="11">
        <f t="array" ref="AA11">XLOOKUP(A:A,'Raw Revenue'!K:K,'Raw Revenue'!L:L,0)</f>
        <v>0</v>
      </c>
      <c r="AB11" s="11">
        <f t="array" ref="AB11">XLOOKUP(A:A,'Raw Revenue'!M:M,'Raw Revenue'!N:N,0)</f>
        <v>0</v>
      </c>
      <c r="AC11" s="3">
        <v>0.0</v>
      </c>
      <c r="AD11" s="3">
        <v>0.0</v>
      </c>
      <c r="AE11" s="3">
        <v>0.0</v>
      </c>
      <c r="AF11" s="3">
        <v>0.0</v>
      </c>
      <c r="AG11" s="3">
        <v>0.0</v>
      </c>
    </row>
    <row r="12">
      <c r="A12" s="3" t="s">
        <v>239</v>
      </c>
      <c r="B12" s="3" t="s">
        <v>240</v>
      </c>
      <c r="C12" s="3" t="str">
        <f t="shared" si="1"/>
        <v>CV. Karya Utama Mandiri</v>
      </c>
      <c r="D12" s="3" t="s">
        <v>186</v>
      </c>
      <c r="E12" s="3" t="s">
        <v>85</v>
      </c>
      <c r="F12" s="3" t="s">
        <v>86</v>
      </c>
      <c r="G12" s="3" t="s">
        <v>70</v>
      </c>
      <c r="H12" s="3" t="str">
        <f t="array" ref="H12">XLOOKUP(G:G,'Account Manager Data'!A:A,'Account Manager Data'!B:B,0)</f>
        <v>Yusuf Hidayat</v>
      </c>
      <c r="I12" s="11" t="str">
        <f t="array" ref="I12">XLOOKUP($G:$G,'Account Manager Data'!$A:$A,'Account Manager Data'!C:C)</f>
        <v>Sumatera</v>
      </c>
      <c r="J12" s="17">
        <v>4823795.0</v>
      </c>
      <c r="K12" s="17">
        <v>154947.0</v>
      </c>
      <c r="L12" s="17">
        <v>3183954.0</v>
      </c>
      <c r="M12" s="17">
        <v>1.0934751E7</v>
      </c>
      <c r="N12" s="17">
        <v>9207038.0</v>
      </c>
      <c r="O12" s="17">
        <v>1.1357462E7</v>
      </c>
      <c r="P12" s="17">
        <v>165191.0</v>
      </c>
      <c r="Q12" s="17">
        <v>1.0893205E7</v>
      </c>
      <c r="R12" s="17">
        <v>1.0424593E7</v>
      </c>
      <c r="S12" s="17">
        <v>0.0</v>
      </c>
      <c r="T12" s="17">
        <v>7717241.0</v>
      </c>
      <c r="U12" s="17">
        <v>1.8979294E7</v>
      </c>
      <c r="V12" s="11">
        <f t="array" ref="V12">XLOOKUP(A:A,'Raw Revenue'!A:A,'Raw Revenue'!B:B,0)
</f>
        <v>0</v>
      </c>
      <c r="W12" s="11">
        <f t="array" ref="W12">XLOOKUP(A:A,'Raw Revenue'!C:C,'Raw Revenue'!D:D,0)</f>
        <v>0</v>
      </c>
      <c r="X12" s="11">
        <f t="array" ref="X12">XLOOKUP(A:A,'Raw Revenue'!E:E,'Raw Revenue'!F:F,0)</f>
        <v>0</v>
      </c>
      <c r="Y12" s="11">
        <f t="array" ref="Y12">XLOOKUP(A:A,'Raw Revenue'!G:G,'Raw Revenue'!H:H,0)</f>
        <v>0</v>
      </c>
      <c r="Z12" s="11">
        <f t="array" ref="Z12">XLOOKUP(A:A,'Raw Revenue'!I:I,'Raw Revenue'!J:J,0)</f>
        <v>0</v>
      </c>
      <c r="AA12" s="11">
        <f t="array" ref="AA12">XLOOKUP(A:A,'Raw Revenue'!K:K,'Raw Revenue'!L:L,0)</f>
        <v>0</v>
      </c>
      <c r="AB12" s="11">
        <f t="array" ref="AB12">XLOOKUP(A:A,'Raw Revenue'!M:M,'Raw Revenue'!N:N,0)</f>
        <v>0</v>
      </c>
      <c r="AC12" s="3">
        <v>0.0</v>
      </c>
      <c r="AD12" s="3">
        <v>0.0</v>
      </c>
      <c r="AE12" s="3">
        <v>0.0</v>
      </c>
      <c r="AF12" s="3">
        <v>0.0</v>
      </c>
      <c r="AG12" s="3">
        <v>0.0</v>
      </c>
    </row>
    <row r="13">
      <c r="A13" s="3" t="s">
        <v>243</v>
      </c>
      <c r="B13" s="3" t="s">
        <v>244</v>
      </c>
      <c r="C13" s="3" t="str">
        <f t="shared" si="1"/>
        <v>PT. Pratama Jaya Sentosa</v>
      </c>
      <c r="D13" s="3" t="s">
        <v>130</v>
      </c>
      <c r="E13" s="3" t="s">
        <v>215</v>
      </c>
      <c r="F13" s="3" t="s">
        <v>227</v>
      </c>
      <c r="G13" s="3" t="s">
        <v>63</v>
      </c>
      <c r="H13" s="3" t="str">
        <f t="array" ref="H13">XLOOKUP(G:G,'Account Manager Data'!A:A,'Account Manager Data'!B:B,0)</f>
        <v>Hendra Gunawan</v>
      </c>
      <c r="I13" s="11" t="str">
        <f t="array" ref="I13">XLOOKUP($G:$G,'Account Manager Data'!$A:$A,'Account Manager Data'!C:C)</f>
        <v>Kalimantan</v>
      </c>
      <c r="J13" s="17">
        <v>8045081.0</v>
      </c>
      <c r="K13" s="17">
        <v>7998027.0</v>
      </c>
      <c r="L13" s="17">
        <v>7543878.0</v>
      </c>
      <c r="M13" s="17">
        <v>6422080.0</v>
      </c>
      <c r="N13" s="17">
        <v>1.14379E7</v>
      </c>
      <c r="O13" s="17">
        <v>4705504.0</v>
      </c>
      <c r="P13" s="17">
        <v>1.0019906E7</v>
      </c>
      <c r="Q13" s="17">
        <v>1.5614123E7</v>
      </c>
      <c r="R13" s="17">
        <v>0.0</v>
      </c>
      <c r="S13" s="17">
        <v>1.1574329E7</v>
      </c>
      <c r="T13" s="17">
        <v>7669399.0</v>
      </c>
      <c r="U13" s="17">
        <v>1.116102E7</v>
      </c>
      <c r="V13" s="11">
        <f t="array" ref="V13">XLOOKUP(A:A,'Raw Revenue'!A:A,'Raw Revenue'!B:B,0)
</f>
        <v>0</v>
      </c>
      <c r="W13" s="11">
        <f t="array" ref="W13">XLOOKUP(A:A,'Raw Revenue'!C:C,'Raw Revenue'!D:D,0)</f>
        <v>0</v>
      </c>
      <c r="X13" s="11">
        <f t="array" ref="X13">XLOOKUP(A:A,'Raw Revenue'!E:E,'Raw Revenue'!F:F,0)</f>
        <v>0</v>
      </c>
      <c r="Y13" s="11">
        <f t="array" ref="Y13">XLOOKUP(A:A,'Raw Revenue'!G:G,'Raw Revenue'!H:H,0)</f>
        <v>0</v>
      </c>
      <c r="Z13" s="11">
        <f t="array" ref="Z13">XLOOKUP(A:A,'Raw Revenue'!I:I,'Raw Revenue'!J:J,0)</f>
        <v>0</v>
      </c>
      <c r="AA13" s="11">
        <f t="array" ref="AA13">XLOOKUP(A:A,'Raw Revenue'!K:K,'Raw Revenue'!L:L,0)</f>
        <v>0</v>
      </c>
      <c r="AB13" s="11">
        <f t="array" ref="AB13">XLOOKUP(A:A,'Raw Revenue'!M:M,'Raw Revenue'!N:N,0)</f>
        <v>0</v>
      </c>
      <c r="AC13" s="3">
        <v>0.0</v>
      </c>
      <c r="AD13" s="3">
        <v>0.0</v>
      </c>
      <c r="AE13" s="3">
        <v>0.0</v>
      </c>
      <c r="AF13" s="3">
        <v>0.0</v>
      </c>
      <c r="AG13" s="3">
        <v>0.0</v>
      </c>
    </row>
    <row r="14">
      <c r="A14" s="3" t="s">
        <v>202</v>
      </c>
      <c r="B14" s="3" t="s">
        <v>247</v>
      </c>
      <c r="C14" s="3" t="str">
        <f t="shared" si="1"/>
        <v>PT. Abadi Selamanya Jaya</v>
      </c>
      <c r="D14" s="3" t="s">
        <v>103</v>
      </c>
      <c r="E14" s="3" t="s">
        <v>85</v>
      </c>
      <c r="F14" s="3" t="s">
        <v>248</v>
      </c>
      <c r="G14" s="3" t="s">
        <v>35</v>
      </c>
      <c r="H14" s="3" t="str">
        <f t="array" ref="H14">XLOOKUP(G:G,'Account Manager Data'!A:A,'Account Manager Data'!B:B,0)</f>
        <v>Ahmad Fauzi</v>
      </c>
      <c r="I14" s="11" t="str">
        <f t="array" ref="I14">XLOOKUP($G:$G,'Account Manager Data'!$A:$A,'Account Manager Data'!C:C)</f>
        <v>Sumatera</v>
      </c>
      <c r="J14" s="17">
        <v>1165988.0</v>
      </c>
      <c r="K14" s="17">
        <v>460612.0</v>
      </c>
      <c r="L14" s="17">
        <v>1122677.0</v>
      </c>
      <c r="M14" s="17">
        <v>6736760.0</v>
      </c>
      <c r="N14" s="17">
        <v>2608616.0</v>
      </c>
      <c r="O14" s="17">
        <v>1.1192784E7</v>
      </c>
      <c r="P14" s="17">
        <v>1852652.0</v>
      </c>
      <c r="Q14" s="17">
        <v>1680578.0</v>
      </c>
      <c r="R14" s="17">
        <v>0.0</v>
      </c>
      <c r="S14" s="17">
        <v>4456588.0</v>
      </c>
      <c r="T14" s="17">
        <v>1.8307123E7</v>
      </c>
      <c r="U14" s="17">
        <v>1.5905179E7</v>
      </c>
      <c r="V14" s="11">
        <f t="array" ref="V14">XLOOKUP(A:A,'Raw Revenue'!A:A,'Raw Revenue'!B:B,0)
</f>
        <v>6426470.104</v>
      </c>
      <c r="W14" s="11">
        <f t="array" ref="W14">XLOOKUP(A:A,'Raw Revenue'!C:C,'Raw Revenue'!D:D,0)</f>
        <v>6426470.104</v>
      </c>
      <c r="X14" s="11">
        <f t="array" ref="X14">XLOOKUP(A:A,'Raw Revenue'!E:E,'Raw Revenue'!F:F,0)</f>
        <v>12852940.21</v>
      </c>
      <c r="Y14" s="11">
        <f t="array" ref="Y14">XLOOKUP(A:A,'Raw Revenue'!G:G,'Raw Revenue'!H:H,0)</f>
        <v>10496567.84</v>
      </c>
      <c r="Z14" s="11">
        <f t="array" ref="Z14">XLOOKUP(A:A,'Raw Revenue'!I:I,'Raw Revenue'!J:J,0)</f>
        <v>9425489.486</v>
      </c>
      <c r="AA14" s="11">
        <f t="array" ref="AA14">XLOOKUP(A:A,'Raw Revenue'!K:K,'Raw Revenue'!L:L,0)</f>
        <v>24099262.89</v>
      </c>
      <c r="AB14" s="11">
        <f t="array" ref="AB14">XLOOKUP(A:A,'Raw Revenue'!M:M,'Raw Revenue'!N:N,0)</f>
        <v>22171321.86</v>
      </c>
      <c r="AC14" s="3">
        <v>0.0</v>
      </c>
      <c r="AD14" s="3">
        <v>0.0</v>
      </c>
      <c r="AE14" s="3">
        <v>0.0</v>
      </c>
      <c r="AF14" s="3">
        <v>0.0</v>
      </c>
      <c r="AG14" s="3">
        <v>0.0</v>
      </c>
    </row>
    <row r="15">
      <c r="A15" s="3" t="s">
        <v>250</v>
      </c>
      <c r="B15" s="3" t="s">
        <v>251</v>
      </c>
      <c r="C15" s="3" t="str">
        <f t="shared" si="1"/>
        <v>PT. Mandiri Sejahtera Bersama</v>
      </c>
      <c r="D15" s="3" t="s">
        <v>130</v>
      </c>
      <c r="E15" s="3" t="s">
        <v>104</v>
      </c>
      <c r="F15" s="3" t="s">
        <v>252</v>
      </c>
      <c r="G15" s="3" t="s">
        <v>27</v>
      </c>
      <c r="H15" s="3" t="str">
        <f t="array" ref="H15">XLOOKUP(G:G,'Account Manager Data'!A:A,'Account Manager Data'!B:B,0)</f>
        <v>Dedi Kurniawan</v>
      </c>
      <c r="I15" s="11" t="str">
        <f t="array" ref="I15">XLOOKUP($G:$G,'Account Manager Data'!$A:$A,'Account Manager Data'!C:C)</f>
        <v>Kalimantan</v>
      </c>
      <c r="J15" s="17">
        <v>2858230.0</v>
      </c>
      <c r="K15" s="17">
        <v>735843.0</v>
      </c>
      <c r="L15" s="17">
        <v>299030.0</v>
      </c>
      <c r="M15" s="17">
        <v>3133902.0</v>
      </c>
      <c r="N15" s="17">
        <v>8667180.0</v>
      </c>
      <c r="O15" s="17">
        <v>0.0</v>
      </c>
      <c r="P15" s="17">
        <v>1.1152185E7</v>
      </c>
      <c r="Q15" s="17">
        <v>7919023.0</v>
      </c>
      <c r="R15" s="17">
        <v>8009425.0</v>
      </c>
      <c r="S15" s="17">
        <v>7686919.0</v>
      </c>
      <c r="T15" s="17">
        <v>1.5876571E7</v>
      </c>
      <c r="U15" s="17">
        <v>1.1237419E7</v>
      </c>
      <c r="V15" s="11">
        <f t="array" ref="V15">XLOOKUP(A:A,'Raw Revenue'!A:A,'Raw Revenue'!B:B,0)
</f>
        <v>0</v>
      </c>
      <c r="W15" s="11">
        <f t="array" ref="W15">XLOOKUP(A:A,'Raw Revenue'!C:C,'Raw Revenue'!D:D,0)</f>
        <v>0</v>
      </c>
      <c r="X15" s="11">
        <f t="array" ref="X15">XLOOKUP(A:A,'Raw Revenue'!E:E,'Raw Revenue'!F:F,0)</f>
        <v>0</v>
      </c>
      <c r="Y15" s="11">
        <f t="array" ref="Y15">XLOOKUP(A:A,'Raw Revenue'!G:G,'Raw Revenue'!H:H,0)</f>
        <v>0</v>
      </c>
      <c r="Z15" s="11">
        <f t="array" ref="Z15">XLOOKUP(A:A,'Raw Revenue'!I:I,'Raw Revenue'!J:J,0)</f>
        <v>0</v>
      </c>
      <c r="AA15" s="11">
        <f t="array" ref="AA15">XLOOKUP(A:A,'Raw Revenue'!K:K,'Raw Revenue'!L:L,0)</f>
        <v>0</v>
      </c>
      <c r="AB15" s="11">
        <f t="array" ref="AB15">XLOOKUP(A:A,'Raw Revenue'!M:M,'Raw Revenue'!N:N,0)</f>
        <v>0</v>
      </c>
      <c r="AC15" s="3">
        <v>0.0</v>
      </c>
      <c r="AD15" s="3">
        <v>0.0</v>
      </c>
      <c r="AE15" s="3">
        <v>0.0</v>
      </c>
      <c r="AF15" s="3">
        <v>0.0</v>
      </c>
      <c r="AG15" s="3">
        <v>0.0</v>
      </c>
    </row>
    <row r="16">
      <c r="A16" s="3" t="s">
        <v>254</v>
      </c>
      <c r="B16" s="3" t="s">
        <v>255</v>
      </c>
      <c r="C16" s="3" t="str">
        <f t="shared" si="1"/>
        <v>PT. Sejahtera Alam Indonesia</v>
      </c>
      <c r="D16" s="3" t="s">
        <v>214</v>
      </c>
      <c r="E16" s="3" t="s">
        <v>104</v>
      </c>
      <c r="F16" s="3" t="s">
        <v>134</v>
      </c>
      <c r="G16" s="3" t="s">
        <v>15</v>
      </c>
      <c r="H16" s="3" t="str">
        <f t="array" ref="H16">XLOOKUP(G:G,'Account Manager Data'!A:A,'Account Manager Data'!B:B,0)</f>
        <v>Rizky Maulana</v>
      </c>
      <c r="I16" s="11" t="str">
        <f t="array" ref="I16">XLOOKUP($G:$G,'Account Manager Data'!$A:$A,'Account Manager Data'!C:C)</f>
        <v>Jawa</v>
      </c>
      <c r="J16" s="17">
        <v>8036426.0</v>
      </c>
      <c r="K16" s="17">
        <v>4447942.0</v>
      </c>
      <c r="L16" s="17">
        <v>8607492.0</v>
      </c>
      <c r="M16" s="17">
        <v>7228985.0</v>
      </c>
      <c r="N16" s="17">
        <v>1.0498979E7</v>
      </c>
      <c r="O16" s="17">
        <v>7544494.0</v>
      </c>
      <c r="P16" s="17">
        <v>1.4114668E7</v>
      </c>
      <c r="Q16" s="17">
        <v>1.275123E7</v>
      </c>
      <c r="R16" s="17">
        <v>160749.0</v>
      </c>
      <c r="S16" s="17">
        <v>4028632.0</v>
      </c>
      <c r="T16" s="17">
        <v>1.8083244E7</v>
      </c>
      <c r="U16" s="17">
        <v>1.9181684E7</v>
      </c>
      <c r="V16" s="11">
        <f t="array" ref="V16">XLOOKUP(A:A,'Raw Revenue'!A:A,'Raw Revenue'!B:B,0)
</f>
        <v>0</v>
      </c>
      <c r="W16" s="11">
        <f t="array" ref="W16">XLOOKUP(A:A,'Raw Revenue'!C:C,'Raw Revenue'!D:D,0)</f>
        <v>0</v>
      </c>
      <c r="X16" s="11">
        <f t="array" ref="X16">XLOOKUP(A:A,'Raw Revenue'!E:E,'Raw Revenue'!F:F,0)</f>
        <v>0</v>
      </c>
      <c r="Y16" s="11">
        <f t="array" ref="Y16">XLOOKUP(A:A,'Raw Revenue'!G:G,'Raw Revenue'!H:H,0)</f>
        <v>0</v>
      </c>
      <c r="Z16" s="11">
        <f t="array" ref="Z16">XLOOKUP(A:A,'Raw Revenue'!I:I,'Raw Revenue'!J:J,0)</f>
        <v>0</v>
      </c>
      <c r="AA16" s="11">
        <f t="array" ref="AA16">XLOOKUP(A:A,'Raw Revenue'!K:K,'Raw Revenue'!L:L,0)</f>
        <v>0</v>
      </c>
      <c r="AB16" s="11">
        <f t="array" ref="AB16">XLOOKUP(A:A,'Raw Revenue'!M:M,'Raw Revenue'!N:N,0)</f>
        <v>0</v>
      </c>
      <c r="AC16" s="3">
        <v>0.0</v>
      </c>
      <c r="AD16" s="3">
        <v>0.0</v>
      </c>
      <c r="AE16" s="3">
        <v>0.0</v>
      </c>
      <c r="AF16" s="3">
        <v>0.0</v>
      </c>
      <c r="AG16" s="3">
        <v>0.0</v>
      </c>
    </row>
    <row r="17">
      <c r="A17" s="3" t="s">
        <v>257</v>
      </c>
      <c r="B17" s="3" t="s">
        <v>258</v>
      </c>
      <c r="C17" s="3" t="str">
        <f t="shared" si="1"/>
        <v>PT. Indah Kargo Logistik</v>
      </c>
      <c r="D17" s="3" t="s">
        <v>214</v>
      </c>
      <c r="E17" s="3" t="s">
        <v>196</v>
      </c>
      <c r="F17" s="3" t="s">
        <v>260</v>
      </c>
      <c r="G17" s="3" t="s">
        <v>53</v>
      </c>
      <c r="H17" s="3" t="str">
        <f t="array" ref="H17">XLOOKUP(G:G,'Account Manager Data'!A:A,'Account Manager Data'!B:B,0)</f>
        <v>Fajar Ramadhan</v>
      </c>
      <c r="I17" s="11" t="str">
        <f t="array" ref="I17">XLOOKUP($G:$G,'Account Manager Data'!$A:$A,'Account Manager Data'!C:C)</f>
        <v>Sulawesi</v>
      </c>
      <c r="J17" s="17">
        <v>610354.0</v>
      </c>
      <c r="K17" s="17">
        <v>7210068.0</v>
      </c>
      <c r="L17" s="17">
        <v>1315518.0</v>
      </c>
      <c r="M17" s="17">
        <v>8748359.0</v>
      </c>
      <c r="N17" s="17">
        <v>4474226.0</v>
      </c>
      <c r="O17" s="17">
        <v>5491051.0</v>
      </c>
      <c r="P17" s="17">
        <v>0.0</v>
      </c>
      <c r="Q17" s="17">
        <v>2684915.0</v>
      </c>
      <c r="R17" s="17">
        <v>2352607.0</v>
      </c>
      <c r="S17" s="17">
        <v>2814394.0</v>
      </c>
      <c r="T17" s="17">
        <v>0.0</v>
      </c>
      <c r="U17" s="17">
        <v>1.7631248E7</v>
      </c>
      <c r="V17" s="11">
        <f t="array" ref="V17">XLOOKUP(A:A,'Raw Revenue'!A:A,'Raw Revenue'!B:B,0)
</f>
        <v>0</v>
      </c>
      <c r="W17" s="11">
        <f t="array" ref="W17">XLOOKUP(A:A,'Raw Revenue'!C:C,'Raw Revenue'!D:D,0)</f>
        <v>0</v>
      </c>
      <c r="X17" s="11">
        <f t="array" ref="X17">XLOOKUP(A:A,'Raw Revenue'!E:E,'Raw Revenue'!F:F,0)</f>
        <v>0</v>
      </c>
      <c r="Y17" s="11">
        <f t="array" ref="Y17">XLOOKUP(A:A,'Raw Revenue'!G:G,'Raw Revenue'!H:H,0)</f>
        <v>0</v>
      </c>
      <c r="Z17" s="11">
        <f t="array" ref="Z17">XLOOKUP(A:A,'Raw Revenue'!I:I,'Raw Revenue'!J:J,0)</f>
        <v>0</v>
      </c>
      <c r="AA17" s="11">
        <f t="array" ref="AA17">XLOOKUP(A:A,'Raw Revenue'!K:K,'Raw Revenue'!L:L,0)</f>
        <v>0</v>
      </c>
      <c r="AB17" s="11">
        <f t="array" ref="AB17">XLOOKUP(A:A,'Raw Revenue'!M:M,'Raw Revenue'!N:N,0)</f>
        <v>0</v>
      </c>
      <c r="AC17" s="3">
        <v>0.0</v>
      </c>
      <c r="AD17" s="3">
        <v>0.0</v>
      </c>
      <c r="AE17" s="3">
        <v>0.0</v>
      </c>
      <c r="AF17" s="3">
        <v>0.0</v>
      </c>
      <c r="AG17" s="3">
        <v>0.0</v>
      </c>
    </row>
    <row r="18">
      <c r="A18" s="3" t="s">
        <v>264</v>
      </c>
      <c r="B18" s="3" t="s">
        <v>265</v>
      </c>
      <c r="C18" s="3" t="str">
        <f t="shared" si="1"/>
        <v>PT. Berkah Alam Semesta</v>
      </c>
      <c r="D18" s="3" t="s">
        <v>84</v>
      </c>
      <c r="E18" s="3" t="s">
        <v>196</v>
      </c>
      <c r="F18" s="3" t="s">
        <v>260</v>
      </c>
      <c r="G18" s="3" t="s">
        <v>76</v>
      </c>
      <c r="H18" s="3" t="str">
        <f t="array" ref="H18">XLOOKUP(G:G,'Account Manager Data'!A:A,'Account Manager Data'!B:B,0)</f>
        <v>Teguh Wijaya</v>
      </c>
      <c r="I18" s="11" t="str">
        <f t="array" ref="I18">XLOOKUP($G:$G,'Account Manager Data'!$A:$A,'Account Manager Data'!C:C)</f>
        <v>Sulawesi</v>
      </c>
      <c r="J18" s="17">
        <v>3755793.0</v>
      </c>
      <c r="K18" s="17">
        <v>2822412.0</v>
      </c>
      <c r="L18" s="17">
        <v>4792059.0</v>
      </c>
      <c r="M18" s="17">
        <v>3978288.0</v>
      </c>
      <c r="N18" s="17">
        <v>1.2734076E7</v>
      </c>
      <c r="O18" s="17">
        <v>3922097.0</v>
      </c>
      <c r="P18" s="17">
        <v>7104092.0</v>
      </c>
      <c r="Q18" s="17">
        <v>3199518.0</v>
      </c>
      <c r="R18" s="17">
        <v>4934839.0</v>
      </c>
      <c r="S18" s="17">
        <v>1.1488324E7</v>
      </c>
      <c r="T18" s="17">
        <v>1.8444156E7</v>
      </c>
      <c r="U18" s="17">
        <v>6789450.0</v>
      </c>
      <c r="V18" s="11">
        <f t="array" ref="V18">XLOOKUP(A:A,'Raw Revenue'!A:A,'Raw Revenue'!B:B,0)
</f>
        <v>0</v>
      </c>
      <c r="W18" s="11">
        <f t="array" ref="W18">XLOOKUP(A:A,'Raw Revenue'!C:C,'Raw Revenue'!D:D,0)</f>
        <v>0</v>
      </c>
      <c r="X18" s="11">
        <f t="array" ref="X18">XLOOKUP(A:A,'Raw Revenue'!E:E,'Raw Revenue'!F:F,0)</f>
        <v>0</v>
      </c>
      <c r="Y18" s="11">
        <f t="array" ref="Y18">XLOOKUP(A:A,'Raw Revenue'!G:G,'Raw Revenue'!H:H,0)</f>
        <v>0</v>
      </c>
      <c r="Z18" s="11">
        <f t="array" ref="Z18">XLOOKUP(A:A,'Raw Revenue'!I:I,'Raw Revenue'!J:J,0)</f>
        <v>0</v>
      </c>
      <c r="AA18" s="11">
        <f t="array" ref="AA18">XLOOKUP(A:A,'Raw Revenue'!K:K,'Raw Revenue'!L:L,0)</f>
        <v>0</v>
      </c>
      <c r="AB18" s="11">
        <f t="array" ref="AB18">XLOOKUP(A:A,'Raw Revenue'!M:M,'Raw Revenue'!N:N,0)</f>
        <v>0</v>
      </c>
      <c r="AC18" s="3">
        <v>0.0</v>
      </c>
      <c r="AD18" s="3">
        <v>0.0</v>
      </c>
      <c r="AE18" s="3">
        <v>0.0</v>
      </c>
      <c r="AF18" s="3">
        <v>0.0</v>
      </c>
      <c r="AG18" s="3">
        <v>0.0</v>
      </c>
    </row>
    <row r="19">
      <c r="A19" s="3" t="s">
        <v>267</v>
      </c>
      <c r="B19" s="3" t="s">
        <v>268</v>
      </c>
      <c r="C19" s="3" t="str">
        <f t="shared" si="1"/>
        <v>PT. Cahaya Baru Indonesia</v>
      </c>
      <c r="D19" s="3" t="s">
        <v>186</v>
      </c>
      <c r="E19" s="3" t="s">
        <v>187</v>
      </c>
      <c r="F19" s="3" t="s">
        <v>269</v>
      </c>
      <c r="G19" s="3" t="s">
        <v>78</v>
      </c>
      <c r="H19" s="3" t="str">
        <f t="array" ref="H19">XLOOKUP(G:G,'Account Manager Data'!A:A,'Account Manager Data'!B:B,0)</f>
        <v>Ilham Saputra</v>
      </c>
      <c r="I19" s="11" t="str">
        <f t="array" ref="I19">XLOOKUP($G:$G,'Account Manager Data'!$A:$A,'Account Manager Data'!C:C)</f>
        <v>Jawa</v>
      </c>
      <c r="J19" s="17">
        <v>2878890.0</v>
      </c>
      <c r="K19" s="17">
        <v>6870806.0</v>
      </c>
      <c r="L19" s="17">
        <v>7433054.0</v>
      </c>
      <c r="M19" s="17">
        <v>1.0228341E7</v>
      </c>
      <c r="N19" s="17">
        <v>1.377352E7</v>
      </c>
      <c r="O19" s="17">
        <v>257027.0</v>
      </c>
      <c r="P19" s="17">
        <v>2610800.0</v>
      </c>
      <c r="Q19" s="17">
        <v>2817737.0</v>
      </c>
      <c r="R19" s="17">
        <v>0.0</v>
      </c>
      <c r="S19" s="17">
        <v>1.0924161E7</v>
      </c>
      <c r="T19" s="17">
        <v>1.7536407E7</v>
      </c>
      <c r="U19" s="17">
        <v>1.2737178E7</v>
      </c>
      <c r="V19" s="11">
        <f t="array" ref="V19">XLOOKUP(A:A,'Raw Revenue'!A:A,'Raw Revenue'!B:B,0)
</f>
        <v>0</v>
      </c>
      <c r="W19" s="11">
        <f t="array" ref="W19">XLOOKUP(A:A,'Raw Revenue'!C:C,'Raw Revenue'!D:D,0)</f>
        <v>0</v>
      </c>
      <c r="X19" s="11">
        <f t="array" ref="X19">XLOOKUP(A:A,'Raw Revenue'!E:E,'Raw Revenue'!F:F,0)</f>
        <v>0</v>
      </c>
      <c r="Y19" s="11">
        <f t="array" ref="Y19">XLOOKUP(A:A,'Raw Revenue'!G:G,'Raw Revenue'!H:H,0)</f>
        <v>0</v>
      </c>
      <c r="Z19" s="11">
        <f t="array" ref="Z19">XLOOKUP(A:A,'Raw Revenue'!I:I,'Raw Revenue'!J:J,0)</f>
        <v>0</v>
      </c>
      <c r="AA19" s="11">
        <f t="array" ref="AA19">XLOOKUP(A:A,'Raw Revenue'!K:K,'Raw Revenue'!L:L,0)</f>
        <v>0</v>
      </c>
      <c r="AB19" s="11">
        <f t="array" ref="AB19">XLOOKUP(A:A,'Raw Revenue'!M:M,'Raw Revenue'!N:N,0)</f>
        <v>0</v>
      </c>
      <c r="AC19" s="3">
        <v>0.0</v>
      </c>
      <c r="AD19" s="3">
        <v>0.0</v>
      </c>
      <c r="AE19" s="3">
        <v>0.0</v>
      </c>
      <c r="AF19" s="3">
        <v>0.0</v>
      </c>
      <c r="AG19" s="3">
        <v>0.0</v>
      </c>
    </row>
    <row r="20">
      <c r="A20" s="3" t="s">
        <v>282</v>
      </c>
      <c r="B20" s="3" t="s">
        <v>283</v>
      </c>
      <c r="C20" s="3" t="str">
        <f t="shared" si="1"/>
        <v>PT. Mentari Pagi Sejahtera</v>
      </c>
      <c r="D20" s="3" t="s">
        <v>214</v>
      </c>
      <c r="E20" s="3" t="s">
        <v>85</v>
      </c>
      <c r="F20" s="3" t="s">
        <v>86</v>
      </c>
      <c r="G20" s="3" t="s">
        <v>74</v>
      </c>
      <c r="H20" s="3" t="str">
        <f t="array" ref="H20">XLOOKUP(G:G,'Account Manager Data'!A:A,'Account Manager Data'!B:B,0)</f>
        <v>Budi Santoso</v>
      </c>
      <c r="I20" s="11" t="str">
        <f t="array" ref="I20">XLOOKUP($G:$G,'Account Manager Data'!$A:$A,'Account Manager Data'!C:C)</f>
        <v>Papua</v>
      </c>
      <c r="J20" s="17">
        <v>5619984.0</v>
      </c>
      <c r="K20" s="17">
        <v>7300752.0</v>
      </c>
      <c r="L20" s="17">
        <v>3376416.0</v>
      </c>
      <c r="M20" s="17">
        <v>0.0</v>
      </c>
      <c r="N20" s="17">
        <v>1.0944831E7</v>
      </c>
      <c r="O20" s="17">
        <v>3301269.0</v>
      </c>
      <c r="P20" s="17">
        <v>1.3344217E7</v>
      </c>
      <c r="Q20" s="17">
        <v>8765420.0</v>
      </c>
      <c r="R20" s="17">
        <v>1685560.0</v>
      </c>
      <c r="S20" s="17">
        <v>9560027.0</v>
      </c>
      <c r="T20" s="17">
        <v>9283118.0</v>
      </c>
      <c r="U20" s="17">
        <v>1.1006275E7</v>
      </c>
      <c r="V20" s="11">
        <f t="array" ref="V20">XLOOKUP(A:A,'Raw Revenue'!A:A,'Raw Revenue'!B:B,0)
</f>
        <v>0</v>
      </c>
      <c r="W20" s="11">
        <f t="array" ref="W20">XLOOKUP(A:A,'Raw Revenue'!C:C,'Raw Revenue'!D:D,0)</f>
        <v>0</v>
      </c>
      <c r="X20" s="11">
        <f t="array" ref="X20">XLOOKUP(A:A,'Raw Revenue'!E:E,'Raw Revenue'!F:F,0)</f>
        <v>0</v>
      </c>
      <c r="Y20" s="11">
        <f t="array" ref="Y20">XLOOKUP(A:A,'Raw Revenue'!G:G,'Raw Revenue'!H:H,0)</f>
        <v>0</v>
      </c>
      <c r="Z20" s="11">
        <f t="array" ref="Z20">XLOOKUP(A:A,'Raw Revenue'!I:I,'Raw Revenue'!J:J,0)</f>
        <v>0</v>
      </c>
      <c r="AA20" s="11">
        <f t="array" ref="AA20">XLOOKUP(A:A,'Raw Revenue'!K:K,'Raw Revenue'!L:L,0)</f>
        <v>0</v>
      </c>
      <c r="AB20" s="11">
        <f t="array" ref="AB20">XLOOKUP(A:A,'Raw Revenue'!M:M,'Raw Revenue'!N:N,0)</f>
        <v>0</v>
      </c>
      <c r="AC20" s="3">
        <v>0.0</v>
      </c>
      <c r="AD20" s="3">
        <v>0.0</v>
      </c>
      <c r="AE20" s="3">
        <v>0.0</v>
      </c>
      <c r="AF20" s="3">
        <v>0.0</v>
      </c>
      <c r="AG20" s="3">
        <v>0.0</v>
      </c>
    </row>
    <row r="21">
      <c r="A21" s="3" t="s">
        <v>285</v>
      </c>
      <c r="B21" s="3" t="s">
        <v>286</v>
      </c>
      <c r="C21" s="3" t="str">
        <f t="shared" si="1"/>
        <v>PT. Bintang Kejora Nusantara</v>
      </c>
      <c r="D21" s="3" t="s">
        <v>186</v>
      </c>
      <c r="E21" s="3" t="s">
        <v>85</v>
      </c>
      <c r="F21" s="3" t="s">
        <v>248</v>
      </c>
      <c r="G21" s="3" t="s">
        <v>43</v>
      </c>
      <c r="H21" s="3" t="str">
        <f t="array" ref="H21">XLOOKUP(G:G,'Account Manager Data'!A:A,'Account Manager Data'!B:B,0)</f>
        <v>Eko Prasetyo</v>
      </c>
      <c r="I21" s="11" t="str">
        <f t="array" ref="I21">XLOOKUP($G:$G,'Account Manager Data'!$A:$A,'Account Manager Data'!C:C)</f>
        <v>Papua</v>
      </c>
      <c r="J21" s="17">
        <v>4594181.0</v>
      </c>
      <c r="K21" s="17">
        <v>3288166.0</v>
      </c>
      <c r="L21" s="17">
        <v>5486534.0</v>
      </c>
      <c r="M21" s="17">
        <v>8050218.0</v>
      </c>
      <c r="N21" s="17">
        <v>1098968.0</v>
      </c>
      <c r="O21" s="17">
        <v>8795786.0</v>
      </c>
      <c r="P21" s="17">
        <v>1.5323796E7</v>
      </c>
      <c r="Q21" s="17">
        <v>1.0943114E7</v>
      </c>
      <c r="R21" s="17">
        <v>1.2838122E7</v>
      </c>
      <c r="S21" s="17">
        <v>1.4338738E7</v>
      </c>
      <c r="T21" s="17">
        <v>9301809.0</v>
      </c>
      <c r="U21" s="17">
        <v>8418864.0</v>
      </c>
      <c r="V21" s="11">
        <f t="array" ref="V21">XLOOKUP(A:A,'Raw Revenue'!A:A,'Raw Revenue'!B:B,0)
</f>
        <v>0</v>
      </c>
      <c r="W21" s="11">
        <f t="array" ref="W21">XLOOKUP(A:A,'Raw Revenue'!C:C,'Raw Revenue'!D:D,0)</f>
        <v>0</v>
      </c>
      <c r="X21" s="11">
        <f t="array" ref="X21">XLOOKUP(A:A,'Raw Revenue'!E:E,'Raw Revenue'!F:F,0)</f>
        <v>0</v>
      </c>
      <c r="Y21" s="11">
        <f t="array" ref="Y21">XLOOKUP(A:A,'Raw Revenue'!G:G,'Raw Revenue'!H:H,0)</f>
        <v>0</v>
      </c>
      <c r="Z21" s="11">
        <f t="array" ref="Z21">XLOOKUP(A:A,'Raw Revenue'!I:I,'Raw Revenue'!J:J,0)</f>
        <v>0</v>
      </c>
      <c r="AA21" s="11">
        <f t="array" ref="AA21">XLOOKUP(A:A,'Raw Revenue'!K:K,'Raw Revenue'!L:L,0)</f>
        <v>0</v>
      </c>
      <c r="AB21" s="11">
        <f t="array" ref="AB21">XLOOKUP(A:A,'Raw Revenue'!M:M,'Raw Revenue'!N:N,0)</f>
        <v>0</v>
      </c>
      <c r="AC21" s="3">
        <v>0.0</v>
      </c>
      <c r="AD21" s="3">
        <v>0.0</v>
      </c>
      <c r="AE21" s="3">
        <v>0.0</v>
      </c>
      <c r="AF21" s="3">
        <v>0.0</v>
      </c>
      <c r="AG21" s="3">
        <v>0.0</v>
      </c>
    </row>
    <row r="22">
      <c r="A22" s="3" t="s">
        <v>289</v>
      </c>
      <c r="B22" s="3" t="s">
        <v>290</v>
      </c>
      <c r="C22" s="3" t="str">
        <f t="shared" si="1"/>
        <v>PT. Maju Jaya</v>
      </c>
      <c r="D22" s="3" t="s">
        <v>195</v>
      </c>
      <c r="E22" s="3" t="s">
        <v>104</v>
      </c>
      <c r="F22" s="3" t="s">
        <v>105</v>
      </c>
      <c r="G22" s="3" t="s">
        <v>70</v>
      </c>
      <c r="H22" s="3" t="str">
        <f t="array" ref="H22">XLOOKUP(G:G,'Account Manager Data'!A:A,'Account Manager Data'!B:B,0)</f>
        <v>Yusuf Hidayat</v>
      </c>
      <c r="I22" s="11" t="str">
        <f t="array" ref="I22">XLOOKUP($G:$G,'Account Manager Data'!$A:$A,'Account Manager Data'!C:C)</f>
        <v>Sumatera</v>
      </c>
      <c r="J22" s="17">
        <v>5734650.0</v>
      </c>
      <c r="K22" s="17">
        <v>4102619.0</v>
      </c>
      <c r="L22" s="17">
        <v>4459562.0</v>
      </c>
      <c r="M22" s="17">
        <v>2170900.0</v>
      </c>
      <c r="N22" s="17">
        <v>334501.0</v>
      </c>
      <c r="O22" s="17">
        <v>6478399.0</v>
      </c>
      <c r="P22" s="17">
        <v>2498063.0</v>
      </c>
      <c r="Q22" s="17">
        <v>5573086.0</v>
      </c>
      <c r="R22" s="17">
        <v>6650460.0</v>
      </c>
      <c r="S22" s="17">
        <v>9050186.0</v>
      </c>
      <c r="T22" s="17">
        <v>1.2393814E7</v>
      </c>
      <c r="U22" s="17">
        <v>0.0</v>
      </c>
      <c r="V22" s="11">
        <f t="array" ref="V22">XLOOKUP(A:A,'Raw Revenue'!A:A,'Raw Revenue'!B:B,0)
</f>
        <v>0</v>
      </c>
      <c r="W22" s="11">
        <f t="array" ref="W22">XLOOKUP(A:A,'Raw Revenue'!C:C,'Raw Revenue'!D:D,0)</f>
        <v>0</v>
      </c>
      <c r="X22" s="11">
        <f t="array" ref="X22">XLOOKUP(A:A,'Raw Revenue'!E:E,'Raw Revenue'!F:F,0)</f>
        <v>0</v>
      </c>
      <c r="Y22" s="11">
        <f t="array" ref="Y22">XLOOKUP(A:A,'Raw Revenue'!G:G,'Raw Revenue'!H:H,0)</f>
        <v>0</v>
      </c>
      <c r="Z22" s="11">
        <f t="array" ref="Z22">XLOOKUP(A:A,'Raw Revenue'!I:I,'Raw Revenue'!J:J,0)</f>
        <v>0</v>
      </c>
      <c r="AA22" s="11">
        <f t="array" ref="AA22">XLOOKUP(A:A,'Raw Revenue'!K:K,'Raw Revenue'!L:L,0)</f>
        <v>0</v>
      </c>
      <c r="AB22" s="11">
        <f t="array" ref="AB22">XLOOKUP(A:A,'Raw Revenue'!M:M,'Raw Revenue'!N:N,0)</f>
        <v>0</v>
      </c>
      <c r="AC22" s="3">
        <v>0.0</v>
      </c>
      <c r="AD22" s="3">
        <v>0.0</v>
      </c>
      <c r="AE22" s="3">
        <v>0.0</v>
      </c>
      <c r="AF22" s="3">
        <v>0.0</v>
      </c>
      <c r="AG22" s="3">
        <v>0.0</v>
      </c>
    </row>
    <row r="23">
      <c r="A23" s="3" t="s">
        <v>293</v>
      </c>
      <c r="B23" s="3" t="s">
        <v>294</v>
      </c>
      <c r="C23" s="3" t="str">
        <f t="shared" si="1"/>
        <v>CV. Sumber Makmur</v>
      </c>
      <c r="D23" s="3" t="s">
        <v>195</v>
      </c>
      <c r="E23" s="3" t="s">
        <v>187</v>
      </c>
      <c r="F23" s="3" t="s">
        <v>295</v>
      </c>
      <c r="G23" s="3" t="s">
        <v>15</v>
      </c>
      <c r="H23" s="3" t="str">
        <f t="array" ref="H23">XLOOKUP(G:G,'Account Manager Data'!A:A,'Account Manager Data'!B:B,0)</f>
        <v>Rizky Maulana</v>
      </c>
      <c r="I23" s="11" t="str">
        <f t="array" ref="I23">XLOOKUP($G:$G,'Account Manager Data'!$A:$A,'Account Manager Data'!C:C)</f>
        <v>Jawa</v>
      </c>
      <c r="J23" s="17">
        <v>6446592.0</v>
      </c>
      <c r="K23" s="17">
        <v>7162011.0</v>
      </c>
      <c r="L23" s="17">
        <v>9961828.0</v>
      </c>
      <c r="M23" s="17">
        <v>1.1241697E7</v>
      </c>
      <c r="N23" s="17">
        <v>7236370.0</v>
      </c>
      <c r="O23" s="17">
        <v>1.1784076E7</v>
      </c>
      <c r="P23" s="17">
        <v>1.0431635E7</v>
      </c>
      <c r="Q23" s="17">
        <v>1.3264734E7</v>
      </c>
      <c r="R23" s="17">
        <v>9468262.0</v>
      </c>
      <c r="S23" s="17">
        <v>2888062.0</v>
      </c>
      <c r="T23" s="17">
        <v>1.436985E7</v>
      </c>
      <c r="U23" s="17">
        <v>9772863.0</v>
      </c>
      <c r="V23" s="11">
        <f t="array" ref="V23">XLOOKUP(A:A,'Raw Revenue'!A:A,'Raw Revenue'!B:B,0)
</f>
        <v>0</v>
      </c>
      <c r="W23" s="11">
        <f t="array" ref="W23">XLOOKUP(A:A,'Raw Revenue'!C:C,'Raw Revenue'!D:D,0)</f>
        <v>0</v>
      </c>
      <c r="X23" s="11">
        <f t="array" ref="X23">XLOOKUP(A:A,'Raw Revenue'!E:E,'Raw Revenue'!F:F,0)</f>
        <v>0</v>
      </c>
      <c r="Y23" s="11">
        <f t="array" ref="Y23">XLOOKUP(A:A,'Raw Revenue'!G:G,'Raw Revenue'!H:H,0)</f>
        <v>0</v>
      </c>
      <c r="Z23" s="11">
        <f t="array" ref="Z23">XLOOKUP(A:A,'Raw Revenue'!I:I,'Raw Revenue'!J:J,0)</f>
        <v>0</v>
      </c>
      <c r="AA23" s="11">
        <f t="array" ref="AA23">XLOOKUP(A:A,'Raw Revenue'!K:K,'Raw Revenue'!L:L,0)</f>
        <v>0</v>
      </c>
      <c r="AB23" s="11">
        <f t="array" ref="AB23">XLOOKUP(A:A,'Raw Revenue'!M:M,'Raw Revenue'!N:N,0)</f>
        <v>0</v>
      </c>
      <c r="AC23" s="3">
        <v>0.0</v>
      </c>
      <c r="AD23" s="3">
        <v>0.0</v>
      </c>
      <c r="AE23" s="3">
        <v>0.0</v>
      </c>
      <c r="AF23" s="3">
        <v>0.0</v>
      </c>
      <c r="AG23" s="3">
        <v>0.0</v>
      </c>
    </row>
    <row r="24">
      <c r="A24" s="3" t="s">
        <v>297</v>
      </c>
      <c r="B24" s="3" t="s">
        <v>298</v>
      </c>
      <c r="C24" s="3" t="str">
        <f t="shared" si="1"/>
        <v>PT. Teknologi Nusantara</v>
      </c>
      <c r="D24" s="3" t="s">
        <v>103</v>
      </c>
      <c r="E24" s="3" t="s">
        <v>215</v>
      </c>
      <c r="F24" s="3" t="s">
        <v>300</v>
      </c>
      <c r="G24" s="3" t="s">
        <v>63</v>
      </c>
      <c r="H24" s="3" t="str">
        <f t="array" ref="H24">XLOOKUP(G:G,'Account Manager Data'!A:A,'Account Manager Data'!B:B,0)</f>
        <v>Hendra Gunawan</v>
      </c>
      <c r="I24" s="11" t="str">
        <f t="array" ref="I24">XLOOKUP($G:$G,'Account Manager Data'!$A:$A,'Account Manager Data'!C:C)</f>
        <v>Kalimantan</v>
      </c>
      <c r="J24" s="17">
        <v>2697400.0</v>
      </c>
      <c r="K24" s="17">
        <v>6914053.0</v>
      </c>
      <c r="L24" s="17">
        <v>7281102.0</v>
      </c>
      <c r="M24" s="17">
        <v>8774148.0</v>
      </c>
      <c r="N24" s="17">
        <v>9190636.0</v>
      </c>
      <c r="O24" s="17">
        <v>9324595.0</v>
      </c>
      <c r="P24" s="17">
        <v>4314220.0</v>
      </c>
      <c r="Q24" s="17">
        <v>1.5693283E7</v>
      </c>
      <c r="R24" s="17">
        <v>1.445606E7</v>
      </c>
      <c r="S24" s="17">
        <v>6509360.0</v>
      </c>
      <c r="T24" s="17">
        <v>1.5119389E7</v>
      </c>
      <c r="U24" s="17">
        <v>7104194.0</v>
      </c>
      <c r="V24" s="11">
        <f t="array" ref="V24">XLOOKUP(A:A,'Raw Revenue'!A:A,'Raw Revenue'!B:B,0)
</f>
        <v>1326097.006</v>
      </c>
      <c r="W24" s="11">
        <f t="array" ref="W24">XLOOKUP(A:A,'Raw Revenue'!C:C,'Raw Revenue'!D:D,0)</f>
        <v>1326097.006</v>
      </c>
      <c r="X24" s="11">
        <f t="array" ref="X24">XLOOKUP(A:A,'Raw Revenue'!E:E,'Raw Revenue'!F:F,0)</f>
        <v>2652194.011</v>
      </c>
      <c r="Y24" s="11">
        <f t="array" ref="Y24">XLOOKUP(A:A,'Raw Revenue'!G:G,'Raw Revenue'!H:H,0)</f>
        <v>2165958.442</v>
      </c>
      <c r="Z24" s="11">
        <f t="array" ref="Z24">XLOOKUP(A:A,'Raw Revenue'!I:I,'Raw Revenue'!J:J,0)</f>
        <v>1944942.275</v>
      </c>
      <c r="AA24" s="11">
        <f t="array" ref="AA24">XLOOKUP(A:A,'Raw Revenue'!K:K,'Raw Revenue'!L:L,0)</f>
        <v>4972863.771</v>
      </c>
      <c r="AB24" s="11">
        <f t="array" ref="AB24">XLOOKUP(A:A,'Raw Revenue'!M:M,'Raw Revenue'!N:N,0)</f>
        <v>4575034.669</v>
      </c>
      <c r="AC24" s="3">
        <v>0.0</v>
      </c>
      <c r="AD24" s="3">
        <v>0.0</v>
      </c>
      <c r="AE24" s="3">
        <v>0.0</v>
      </c>
      <c r="AF24" s="3">
        <v>0.0</v>
      </c>
      <c r="AG24" s="3">
        <v>0.0</v>
      </c>
    </row>
    <row r="25">
      <c r="A25" s="3" t="s">
        <v>302</v>
      </c>
      <c r="B25" s="3" t="s">
        <v>303</v>
      </c>
      <c r="C25" s="3" t="str">
        <f t="shared" si="1"/>
        <v>PT. Bakti Indonesia</v>
      </c>
      <c r="D25" s="3" t="s">
        <v>186</v>
      </c>
      <c r="E25" s="3" t="s">
        <v>187</v>
      </c>
      <c r="F25" s="3" t="s">
        <v>269</v>
      </c>
      <c r="G25" s="3" t="s">
        <v>53</v>
      </c>
      <c r="H25" s="3" t="str">
        <f t="array" ref="H25">XLOOKUP(G:G,'Account Manager Data'!A:A,'Account Manager Data'!B:B,0)</f>
        <v>Fajar Ramadhan</v>
      </c>
      <c r="I25" s="11" t="str">
        <f t="array" ref="I25">XLOOKUP($G:$G,'Account Manager Data'!$A:$A,'Account Manager Data'!C:C)</f>
        <v>Sulawesi</v>
      </c>
      <c r="J25" s="17">
        <v>252490.0</v>
      </c>
      <c r="K25" s="17">
        <v>8832163.0</v>
      </c>
      <c r="L25" s="17">
        <v>8894182.0</v>
      </c>
      <c r="M25" s="17">
        <v>7706621.0</v>
      </c>
      <c r="N25" s="17">
        <v>1.2223291E7</v>
      </c>
      <c r="O25" s="17">
        <v>3489734.0</v>
      </c>
      <c r="P25" s="17">
        <v>0.0</v>
      </c>
      <c r="Q25" s="17">
        <v>5563917.0</v>
      </c>
      <c r="R25" s="17">
        <v>1.3348134E7</v>
      </c>
      <c r="S25" s="17">
        <v>8760129.0</v>
      </c>
      <c r="T25" s="17">
        <v>1.8241341E7</v>
      </c>
      <c r="U25" s="17">
        <v>1.3589677E7</v>
      </c>
      <c r="V25" s="11">
        <f t="array" ref="V25">XLOOKUP(A:A,'Raw Revenue'!A:A,'Raw Revenue'!B:B,0)
</f>
        <v>0</v>
      </c>
      <c r="W25" s="11">
        <f t="array" ref="W25">XLOOKUP(A:A,'Raw Revenue'!C:C,'Raw Revenue'!D:D,0)</f>
        <v>0</v>
      </c>
      <c r="X25" s="11">
        <f t="array" ref="X25">XLOOKUP(A:A,'Raw Revenue'!E:E,'Raw Revenue'!F:F,0)</f>
        <v>0</v>
      </c>
      <c r="Y25" s="11">
        <f t="array" ref="Y25">XLOOKUP(A:A,'Raw Revenue'!G:G,'Raw Revenue'!H:H,0)</f>
        <v>0</v>
      </c>
      <c r="Z25" s="11">
        <f t="array" ref="Z25">XLOOKUP(A:A,'Raw Revenue'!I:I,'Raw Revenue'!J:J,0)</f>
        <v>0</v>
      </c>
      <c r="AA25" s="11">
        <f t="array" ref="AA25">XLOOKUP(A:A,'Raw Revenue'!K:K,'Raw Revenue'!L:L,0)</f>
        <v>0</v>
      </c>
      <c r="AB25" s="11">
        <f t="array" ref="AB25">XLOOKUP(A:A,'Raw Revenue'!M:M,'Raw Revenue'!N:N,0)</f>
        <v>0</v>
      </c>
      <c r="AC25" s="3">
        <v>0.0</v>
      </c>
      <c r="AD25" s="3">
        <v>0.0</v>
      </c>
      <c r="AE25" s="3">
        <v>0.0</v>
      </c>
      <c r="AF25" s="3">
        <v>0.0</v>
      </c>
      <c r="AG25" s="3">
        <v>0.0</v>
      </c>
    </row>
    <row r="26">
      <c r="A26" s="3" t="s">
        <v>306</v>
      </c>
      <c r="B26" s="3" t="s">
        <v>307</v>
      </c>
      <c r="C26" s="3" t="str">
        <f t="shared" si="1"/>
        <v>CV. Amanah Sejahtera</v>
      </c>
      <c r="D26" s="3" t="s">
        <v>84</v>
      </c>
      <c r="E26" s="3" t="s">
        <v>187</v>
      </c>
      <c r="F26" s="3" t="s">
        <v>188</v>
      </c>
      <c r="G26" s="3" t="s">
        <v>27</v>
      </c>
      <c r="H26" s="3" t="str">
        <f t="array" ref="H26">XLOOKUP(G:G,'Account Manager Data'!A:A,'Account Manager Data'!B:B,0)</f>
        <v>Dedi Kurniawan</v>
      </c>
      <c r="I26" s="11" t="str">
        <f t="array" ref="I26">XLOOKUP($G:$G,'Account Manager Data'!$A:$A,'Account Manager Data'!C:C)</f>
        <v>Kalimantan</v>
      </c>
      <c r="J26" s="17">
        <v>4214597.0</v>
      </c>
      <c r="K26" s="17">
        <v>5839402.0</v>
      </c>
      <c r="L26" s="17">
        <v>1545199.0</v>
      </c>
      <c r="M26" s="17">
        <v>6640459.0</v>
      </c>
      <c r="N26" s="17">
        <v>7664397.0</v>
      </c>
      <c r="O26" s="17">
        <v>1.4060789E7</v>
      </c>
      <c r="P26" s="17">
        <v>1.1391332E7</v>
      </c>
      <c r="Q26" s="17">
        <v>9417640.0</v>
      </c>
      <c r="R26" s="17">
        <v>9513089.0</v>
      </c>
      <c r="S26" s="17">
        <v>129798.0</v>
      </c>
      <c r="T26" s="17">
        <v>1.3142593E7</v>
      </c>
      <c r="U26" s="17">
        <v>1.2481849E7</v>
      </c>
      <c r="V26" s="11">
        <f t="array" ref="V26">XLOOKUP(A:A,'Raw Revenue'!A:A,'Raw Revenue'!B:B,0)
</f>
        <v>0</v>
      </c>
      <c r="W26" s="11">
        <f t="array" ref="W26">XLOOKUP(A:A,'Raw Revenue'!C:C,'Raw Revenue'!D:D,0)</f>
        <v>0</v>
      </c>
      <c r="X26" s="11">
        <f t="array" ref="X26">XLOOKUP(A:A,'Raw Revenue'!E:E,'Raw Revenue'!F:F,0)</f>
        <v>0</v>
      </c>
      <c r="Y26" s="11">
        <f t="array" ref="Y26">XLOOKUP(A:A,'Raw Revenue'!G:G,'Raw Revenue'!H:H,0)</f>
        <v>0</v>
      </c>
      <c r="Z26" s="11">
        <f t="array" ref="Z26">XLOOKUP(A:A,'Raw Revenue'!I:I,'Raw Revenue'!J:J,0)</f>
        <v>0</v>
      </c>
      <c r="AA26" s="11">
        <f t="array" ref="AA26">XLOOKUP(A:A,'Raw Revenue'!K:K,'Raw Revenue'!L:L,0)</f>
        <v>0</v>
      </c>
      <c r="AB26" s="11">
        <f t="array" ref="AB26">XLOOKUP(A:A,'Raw Revenue'!M:M,'Raw Revenue'!N:N,0)</f>
        <v>0</v>
      </c>
      <c r="AC26" s="3">
        <v>0.0</v>
      </c>
      <c r="AD26" s="3">
        <v>0.0</v>
      </c>
      <c r="AE26" s="3">
        <v>0.0</v>
      </c>
      <c r="AF26" s="3">
        <v>0.0</v>
      </c>
      <c r="AG26" s="3">
        <v>0.0</v>
      </c>
    </row>
    <row r="27">
      <c r="A27" s="3" t="s">
        <v>310</v>
      </c>
      <c r="B27" s="3" t="s">
        <v>311</v>
      </c>
      <c r="C27" s="3" t="str">
        <f t="shared" si="1"/>
        <v>PT. Digital Solusi Pratama</v>
      </c>
      <c r="D27" s="3" t="s">
        <v>195</v>
      </c>
      <c r="E27" s="3" t="s">
        <v>85</v>
      </c>
      <c r="F27" s="3" t="s">
        <v>248</v>
      </c>
      <c r="G27" s="3" t="s">
        <v>78</v>
      </c>
      <c r="H27" s="3" t="str">
        <f t="array" ref="H27">XLOOKUP(G:G,'Account Manager Data'!A:A,'Account Manager Data'!B:B,0)</f>
        <v>Ilham Saputra</v>
      </c>
      <c r="I27" s="11" t="str">
        <f t="array" ref="I27">XLOOKUP($G:$G,'Account Manager Data'!$A:$A,'Account Manager Data'!C:C)</f>
        <v>Jawa</v>
      </c>
      <c r="J27" s="17">
        <v>8030066.0</v>
      </c>
      <c r="K27" s="17">
        <v>7244308.0</v>
      </c>
      <c r="L27" s="17">
        <v>5534612.0</v>
      </c>
      <c r="M27" s="17">
        <v>4375901.0</v>
      </c>
      <c r="N27" s="17">
        <v>1.0852915E7</v>
      </c>
      <c r="O27" s="17">
        <v>9990619.0</v>
      </c>
      <c r="P27" s="17">
        <v>0.0</v>
      </c>
      <c r="Q27" s="17">
        <v>1.2044904E7</v>
      </c>
      <c r="R27" s="17">
        <v>1288147.0</v>
      </c>
      <c r="S27" s="17">
        <v>0.0</v>
      </c>
      <c r="T27" s="17">
        <v>7085745.0</v>
      </c>
      <c r="U27" s="17">
        <v>1.2640508E7</v>
      </c>
      <c r="V27" s="11">
        <f t="array" ref="V27">XLOOKUP(A:A,'Raw Revenue'!A:A,'Raw Revenue'!B:B,0)
</f>
        <v>0</v>
      </c>
      <c r="W27" s="11">
        <f t="array" ref="W27">XLOOKUP(A:A,'Raw Revenue'!C:C,'Raw Revenue'!D:D,0)</f>
        <v>0</v>
      </c>
      <c r="X27" s="11">
        <f t="array" ref="X27">XLOOKUP(A:A,'Raw Revenue'!E:E,'Raw Revenue'!F:F,0)</f>
        <v>0</v>
      </c>
      <c r="Y27" s="11">
        <f t="array" ref="Y27">XLOOKUP(A:A,'Raw Revenue'!G:G,'Raw Revenue'!H:H,0)</f>
        <v>0</v>
      </c>
      <c r="Z27" s="11">
        <f t="array" ref="Z27">XLOOKUP(A:A,'Raw Revenue'!I:I,'Raw Revenue'!J:J,0)</f>
        <v>0</v>
      </c>
      <c r="AA27" s="11">
        <f t="array" ref="AA27">XLOOKUP(A:A,'Raw Revenue'!K:K,'Raw Revenue'!L:L,0)</f>
        <v>0</v>
      </c>
      <c r="AB27" s="11">
        <f t="array" ref="AB27">XLOOKUP(A:A,'Raw Revenue'!M:M,'Raw Revenue'!N:N,0)</f>
        <v>0</v>
      </c>
      <c r="AC27" s="3">
        <v>0.0</v>
      </c>
      <c r="AD27" s="3">
        <v>0.0</v>
      </c>
      <c r="AE27" s="3">
        <v>0.0</v>
      </c>
      <c r="AF27" s="3">
        <v>0.0</v>
      </c>
      <c r="AG27" s="3">
        <v>0.0</v>
      </c>
    </row>
    <row r="28">
      <c r="A28" s="3" t="s">
        <v>313</v>
      </c>
      <c r="B28" s="3" t="s">
        <v>314</v>
      </c>
      <c r="C28" s="3" t="str">
        <f t="shared" si="1"/>
        <v>PT. Global Niaga Abadi</v>
      </c>
      <c r="D28" s="3" t="s">
        <v>195</v>
      </c>
      <c r="E28" s="3" t="s">
        <v>196</v>
      </c>
      <c r="F28" s="3" t="s">
        <v>315</v>
      </c>
      <c r="G28" s="3" t="s">
        <v>35</v>
      </c>
      <c r="H28" s="3" t="str">
        <f t="array" ref="H28">XLOOKUP(G:G,'Account Manager Data'!A:A,'Account Manager Data'!B:B,0)</f>
        <v>Ahmad Fauzi</v>
      </c>
      <c r="I28" s="11" t="str">
        <f t="array" ref="I28">XLOOKUP($G:$G,'Account Manager Data'!$A:$A,'Account Manager Data'!C:C)</f>
        <v>Sumatera</v>
      </c>
      <c r="J28" s="17">
        <v>5243849.0</v>
      </c>
      <c r="K28" s="17">
        <v>7747261.0</v>
      </c>
      <c r="L28" s="17">
        <v>2539135.0</v>
      </c>
      <c r="M28" s="17">
        <v>6057286.0</v>
      </c>
      <c r="N28" s="17">
        <v>4959929.0</v>
      </c>
      <c r="O28" s="17">
        <v>8248927.0</v>
      </c>
      <c r="P28" s="17">
        <v>6200743.0</v>
      </c>
      <c r="Q28" s="17">
        <v>1.4237149E7</v>
      </c>
      <c r="R28" s="17">
        <v>9917007.0</v>
      </c>
      <c r="S28" s="17">
        <v>1.4367855E7</v>
      </c>
      <c r="T28" s="17">
        <v>1.0667363E7</v>
      </c>
      <c r="U28" s="17">
        <v>2600105.0</v>
      </c>
      <c r="V28" s="11">
        <f t="array" ref="V28">XLOOKUP(A:A,'Raw Revenue'!A:A,'Raw Revenue'!B:B,0)
</f>
        <v>0</v>
      </c>
      <c r="W28" s="11">
        <f t="array" ref="W28">XLOOKUP(A:A,'Raw Revenue'!C:C,'Raw Revenue'!D:D,0)</f>
        <v>0</v>
      </c>
      <c r="X28" s="11">
        <f t="array" ref="X28">XLOOKUP(A:A,'Raw Revenue'!E:E,'Raw Revenue'!F:F,0)</f>
        <v>0</v>
      </c>
      <c r="Y28" s="11">
        <f t="array" ref="Y28">XLOOKUP(A:A,'Raw Revenue'!G:G,'Raw Revenue'!H:H,0)</f>
        <v>0</v>
      </c>
      <c r="Z28" s="11">
        <f t="array" ref="Z28">XLOOKUP(A:A,'Raw Revenue'!I:I,'Raw Revenue'!J:J,0)</f>
        <v>0</v>
      </c>
      <c r="AA28" s="11">
        <f t="array" ref="AA28">XLOOKUP(A:A,'Raw Revenue'!K:K,'Raw Revenue'!L:L,0)</f>
        <v>0</v>
      </c>
      <c r="AB28" s="11">
        <f t="array" ref="AB28">XLOOKUP(A:A,'Raw Revenue'!M:M,'Raw Revenue'!N:N,0)</f>
        <v>0</v>
      </c>
      <c r="AC28" s="3">
        <v>0.0</v>
      </c>
      <c r="AD28" s="3">
        <v>0.0</v>
      </c>
      <c r="AE28" s="3">
        <v>0.0</v>
      </c>
      <c r="AF28" s="3">
        <v>0.0</v>
      </c>
      <c r="AG28" s="3">
        <v>0.0</v>
      </c>
    </row>
    <row r="29">
      <c r="A29" s="3" t="s">
        <v>318</v>
      </c>
      <c r="B29" s="3" t="s">
        <v>319</v>
      </c>
      <c r="C29" s="3" t="str">
        <f t="shared" si="1"/>
        <v>PT. Indo Makmur Sentosa</v>
      </c>
      <c r="D29" s="3" t="s">
        <v>130</v>
      </c>
      <c r="E29" s="3" t="s">
        <v>85</v>
      </c>
      <c r="F29" s="3" t="s">
        <v>248</v>
      </c>
      <c r="G29" s="3" t="s">
        <v>74</v>
      </c>
      <c r="H29" s="3" t="str">
        <f t="array" ref="H29">XLOOKUP(G:G,'Account Manager Data'!A:A,'Account Manager Data'!B:B,0)</f>
        <v>Budi Santoso</v>
      </c>
      <c r="I29" s="11" t="str">
        <f t="array" ref="I29">XLOOKUP($G:$G,'Account Manager Data'!$A:$A,'Account Manager Data'!C:C)</f>
        <v>Papua</v>
      </c>
      <c r="J29" s="17">
        <v>6086092.0</v>
      </c>
      <c r="K29" s="17">
        <v>7468892.0</v>
      </c>
      <c r="L29" s="17">
        <v>5186830.0</v>
      </c>
      <c r="M29" s="17">
        <v>6317682.0</v>
      </c>
      <c r="N29" s="17">
        <v>1.1198944E7</v>
      </c>
      <c r="O29" s="17">
        <v>1.4346687E7</v>
      </c>
      <c r="P29" s="17">
        <v>1.3707499E7</v>
      </c>
      <c r="Q29" s="17">
        <v>2074799.0</v>
      </c>
      <c r="R29" s="17">
        <v>2221921.0</v>
      </c>
      <c r="S29" s="17">
        <v>7023036.0</v>
      </c>
      <c r="T29" s="17">
        <v>998707.0</v>
      </c>
      <c r="U29" s="17">
        <v>1437400.0</v>
      </c>
      <c r="V29" s="11">
        <f t="array" ref="V29">XLOOKUP(A:A,'Raw Revenue'!A:A,'Raw Revenue'!B:B,0)
</f>
        <v>0</v>
      </c>
      <c r="W29" s="11">
        <f t="array" ref="W29">XLOOKUP(A:A,'Raw Revenue'!C:C,'Raw Revenue'!D:D,0)</f>
        <v>0</v>
      </c>
      <c r="X29" s="11">
        <f t="array" ref="X29">XLOOKUP(A:A,'Raw Revenue'!E:E,'Raw Revenue'!F:F,0)</f>
        <v>0</v>
      </c>
      <c r="Y29" s="11">
        <f t="array" ref="Y29">XLOOKUP(A:A,'Raw Revenue'!G:G,'Raw Revenue'!H:H,0)</f>
        <v>0</v>
      </c>
      <c r="Z29" s="11">
        <f t="array" ref="Z29">XLOOKUP(A:A,'Raw Revenue'!I:I,'Raw Revenue'!J:J,0)</f>
        <v>0</v>
      </c>
      <c r="AA29" s="11">
        <f t="array" ref="AA29">XLOOKUP(A:A,'Raw Revenue'!K:K,'Raw Revenue'!L:L,0)</f>
        <v>0</v>
      </c>
      <c r="AB29" s="11">
        <f t="array" ref="AB29">XLOOKUP(A:A,'Raw Revenue'!M:M,'Raw Revenue'!N:N,0)</f>
        <v>0</v>
      </c>
      <c r="AC29" s="3">
        <v>0.0</v>
      </c>
      <c r="AD29" s="3">
        <v>0.0</v>
      </c>
      <c r="AE29" s="3">
        <v>0.0</v>
      </c>
      <c r="AF29" s="3">
        <v>0.0</v>
      </c>
      <c r="AG29" s="3">
        <v>0.0</v>
      </c>
    </row>
    <row r="30">
      <c r="A30" s="3" t="s">
        <v>320</v>
      </c>
      <c r="B30" s="3" t="s">
        <v>321</v>
      </c>
      <c r="C30" s="3" t="str">
        <f t="shared" si="1"/>
        <v>PT. Citra Mandiri Utama</v>
      </c>
      <c r="D30" s="3" t="s">
        <v>84</v>
      </c>
      <c r="E30" s="3" t="s">
        <v>215</v>
      </c>
      <c r="F30" s="3" t="s">
        <v>300</v>
      </c>
      <c r="G30" s="3" t="s">
        <v>43</v>
      </c>
      <c r="H30" s="3" t="str">
        <f t="array" ref="H30">XLOOKUP(G:G,'Account Manager Data'!A:A,'Account Manager Data'!B:B,0)</f>
        <v>Eko Prasetyo</v>
      </c>
      <c r="I30" s="11" t="str">
        <f t="array" ref="I30">XLOOKUP($G:$G,'Account Manager Data'!$A:$A,'Account Manager Data'!C:C)</f>
        <v>Papua</v>
      </c>
      <c r="J30" s="17">
        <v>5604363.0</v>
      </c>
      <c r="K30" s="17">
        <v>6086830.0</v>
      </c>
      <c r="L30" s="17">
        <v>1223660.0</v>
      </c>
      <c r="M30" s="17">
        <v>9602158.0</v>
      </c>
      <c r="N30" s="17">
        <v>7301561.0</v>
      </c>
      <c r="O30" s="17">
        <v>7943709.0</v>
      </c>
      <c r="P30" s="17">
        <v>2015977.0</v>
      </c>
      <c r="Q30" s="17">
        <v>1.1669179E7</v>
      </c>
      <c r="R30" s="17">
        <v>9170952.0</v>
      </c>
      <c r="S30" s="17">
        <v>5994948.0</v>
      </c>
      <c r="T30" s="17">
        <v>2165429.0</v>
      </c>
      <c r="U30" s="17">
        <v>1.3407032E7</v>
      </c>
      <c r="V30" s="11">
        <f t="array" ref="V30">XLOOKUP(A:A,'Raw Revenue'!A:A,'Raw Revenue'!B:B,0)
</f>
        <v>0</v>
      </c>
      <c r="W30" s="11">
        <f t="array" ref="W30">XLOOKUP(A:A,'Raw Revenue'!C:C,'Raw Revenue'!D:D,0)</f>
        <v>0</v>
      </c>
      <c r="X30" s="11">
        <f t="array" ref="X30">XLOOKUP(A:A,'Raw Revenue'!E:E,'Raw Revenue'!F:F,0)</f>
        <v>0</v>
      </c>
      <c r="Y30" s="11">
        <f t="array" ref="Y30">XLOOKUP(A:A,'Raw Revenue'!G:G,'Raw Revenue'!H:H,0)</f>
        <v>0</v>
      </c>
      <c r="Z30" s="11">
        <f t="array" ref="Z30">XLOOKUP(A:A,'Raw Revenue'!I:I,'Raw Revenue'!J:J,0)</f>
        <v>0</v>
      </c>
      <c r="AA30" s="11">
        <f t="array" ref="AA30">XLOOKUP(A:A,'Raw Revenue'!K:K,'Raw Revenue'!L:L,0)</f>
        <v>0</v>
      </c>
      <c r="AB30" s="11">
        <f t="array" ref="AB30">XLOOKUP(A:A,'Raw Revenue'!M:M,'Raw Revenue'!N:N,0)</f>
        <v>0</v>
      </c>
      <c r="AC30" s="3">
        <v>0.0</v>
      </c>
      <c r="AD30" s="3">
        <v>0.0</v>
      </c>
      <c r="AE30" s="3">
        <v>0.0</v>
      </c>
      <c r="AF30" s="3">
        <v>0.0</v>
      </c>
      <c r="AG30" s="3">
        <v>0.0</v>
      </c>
    </row>
    <row r="31">
      <c r="A31" s="3" t="s">
        <v>322</v>
      </c>
      <c r="B31" s="3" t="s">
        <v>323</v>
      </c>
      <c r="C31" s="3" t="str">
        <f t="shared" si="1"/>
        <v>PT. Sinar Dunia Baru</v>
      </c>
      <c r="D31" s="3" t="s">
        <v>103</v>
      </c>
      <c r="E31" s="3" t="s">
        <v>104</v>
      </c>
      <c r="F31" s="3" t="s">
        <v>252</v>
      </c>
      <c r="G31" s="3" t="s">
        <v>76</v>
      </c>
      <c r="H31" s="3" t="str">
        <f t="array" ref="H31">XLOOKUP(G:G,'Account Manager Data'!A:A,'Account Manager Data'!B:B,0)</f>
        <v>Teguh Wijaya</v>
      </c>
      <c r="I31" s="11" t="str">
        <f t="array" ref="I31">XLOOKUP($G:$G,'Account Manager Data'!$A:$A,'Account Manager Data'!C:C)</f>
        <v>Sulawesi</v>
      </c>
      <c r="J31" s="17">
        <v>913708.0</v>
      </c>
      <c r="K31" s="17">
        <v>2590283.0</v>
      </c>
      <c r="L31" s="17">
        <v>8832151.0</v>
      </c>
      <c r="M31" s="17">
        <v>9644361.0</v>
      </c>
      <c r="N31" s="17">
        <v>1.2802337E7</v>
      </c>
      <c r="O31" s="17">
        <v>1.2554595E7</v>
      </c>
      <c r="P31" s="17">
        <v>1762226.0</v>
      </c>
      <c r="Q31" s="17">
        <v>1.2691205E7</v>
      </c>
      <c r="R31" s="17">
        <v>1.0687095E7</v>
      </c>
      <c r="S31" s="17">
        <v>1.2947603E7</v>
      </c>
      <c r="T31" s="17">
        <v>1.0091398E7</v>
      </c>
      <c r="U31" s="17">
        <v>1.8566001E7</v>
      </c>
      <c r="V31" s="11">
        <f t="array" ref="V31">XLOOKUP(A:A,'Raw Revenue'!A:A,'Raw Revenue'!B:B,0)
</f>
        <v>210969.9782</v>
      </c>
      <c r="W31" s="11">
        <f t="array" ref="W31">XLOOKUP(A:A,'Raw Revenue'!C:C,'Raw Revenue'!D:D,0)</f>
        <v>105484.9891</v>
      </c>
      <c r="X31" s="11">
        <f t="array" ref="X31">XLOOKUP(A:A,'Raw Revenue'!E:E,'Raw Revenue'!F:F,0)</f>
        <v>63290.99345</v>
      </c>
      <c r="Y31" s="11">
        <f t="array" ref="Y31">XLOOKUP(A:A,'Raw Revenue'!G:G,'Raw Revenue'!H:H,0)</f>
        <v>738394.9236</v>
      </c>
      <c r="Z31" s="11">
        <f t="array" ref="Z31">XLOOKUP(A:A,'Raw Revenue'!I:I,'Raw Revenue'!J:J,0)</f>
        <v>168775.9825</v>
      </c>
      <c r="AA31" s="11">
        <f t="array" ref="AA31">XLOOKUP(A:A,'Raw Revenue'!K:K,'Raw Revenue'!L:L,0)</f>
        <v>4746.824509</v>
      </c>
      <c r="AB31" s="11">
        <f t="array" ref="AB31">XLOOKUP(A:A,'Raw Revenue'!M:M,'Raw Revenue'!N:N,0)</f>
        <v>636074.4842</v>
      </c>
      <c r="AC31" s="3">
        <v>0.0</v>
      </c>
      <c r="AD31" s="3">
        <v>0.0</v>
      </c>
      <c r="AE31" s="3">
        <v>0.0</v>
      </c>
      <c r="AF31" s="3">
        <v>0.0</v>
      </c>
      <c r="AG31" s="3">
        <v>0.0</v>
      </c>
    </row>
    <row r="32">
      <c r="A32" s="3" t="s">
        <v>324</v>
      </c>
      <c r="B32" s="3" t="s">
        <v>325</v>
      </c>
      <c r="C32" s="3" t="str">
        <f t="shared" si="1"/>
        <v>CV. Karya Utama Mandiri</v>
      </c>
      <c r="D32" s="3" t="s">
        <v>195</v>
      </c>
      <c r="E32" s="3" t="s">
        <v>104</v>
      </c>
      <c r="F32" s="3" t="s">
        <v>134</v>
      </c>
      <c r="G32" s="3" t="s">
        <v>70</v>
      </c>
      <c r="H32" s="3" t="str">
        <f t="array" ref="H32">XLOOKUP(G:G,'Account Manager Data'!A:A,'Account Manager Data'!B:B,0)</f>
        <v>Yusuf Hidayat</v>
      </c>
      <c r="I32" s="11" t="str">
        <f t="array" ref="I32">XLOOKUP($G:$G,'Account Manager Data'!$A:$A,'Account Manager Data'!C:C)</f>
        <v>Sumatera</v>
      </c>
      <c r="J32" s="17">
        <v>5909632.0</v>
      </c>
      <c r="K32" s="17">
        <v>622115.0</v>
      </c>
      <c r="L32" s="17">
        <v>0.0</v>
      </c>
      <c r="M32" s="17">
        <v>1.1397196E7</v>
      </c>
      <c r="N32" s="17">
        <v>9690638.0</v>
      </c>
      <c r="O32" s="17">
        <v>2215785.0</v>
      </c>
      <c r="P32" s="17">
        <v>3856959.0</v>
      </c>
      <c r="Q32" s="17">
        <v>1.4600703E7</v>
      </c>
      <c r="R32" s="17">
        <v>4877340.0</v>
      </c>
      <c r="S32" s="17">
        <v>1.2005391E7</v>
      </c>
      <c r="T32" s="17">
        <v>1.7704769E7</v>
      </c>
      <c r="U32" s="17">
        <v>4653333.0</v>
      </c>
      <c r="V32" s="11">
        <f t="array" ref="V32">XLOOKUP(A:A,'Raw Revenue'!A:A,'Raw Revenue'!B:B,0)
</f>
        <v>0</v>
      </c>
      <c r="W32" s="11">
        <f t="array" ref="W32">XLOOKUP(A:A,'Raw Revenue'!C:C,'Raw Revenue'!D:D,0)</f>
        <v>0</v>
      </c>
      <c r="X32" s="11">
        <f t="array" ref="X32">XLOOKUP(A:A,'Raw Revenue'!E:E,'Raw Revenue'!F:F,0)</f>
        <v>0</v>
      </c>
      <c r="Y32" s="11">
        <f t="array" ref="Y32">XLOOKUP(A:A,'Raw Revenue'!G:G,'Raw Revenue'!H:H,0)</f>
        <v>0</v>
      </c>
      <c r="Z32" s="11">
        <f t="array" ref="Z32">XLOOKUP(A:A,'Raw Revenue'!I:I,'Raw Revenue'!J:J,0)</f>
        <v>0</v>
      </c>
      <c r="AA32" s="11">
        <f t="array" ref="AA32">XLOOKUP(A:A,'Raw Revenue'!K:K,'Raw Revenue'!L:L,0)</f>
        <v>0</v>
      </c>
      <c r="AB32" s="11">
        <f t="array" ref="AB32">XLOOKUP(A:A,'Raw Revenue'!M:M,'Raw Revenue'!N:N,0)</f>
        <v>0</v>
      </c>
      <c r="AC32" s="3">
        <v>0.0</v>
      </c>
      <c r="AD32" s="3">
        <v>0.0</v>
      </c>
      <c r="AE32" s="3">
        <v>0.0</v>
      </c>
      <c r="AF32" s="3">
        <v>0.0</v>
      </c>
      <c r="AG32" s="3">
        <v>0.0</v>
      </c>
    </row>
    <row r="33">
      <c r="A33" s="3" t="s">
        <v>326</v>
      </c>
      <c r="B33" s="3" t="s">
        <v>327</v>
      </c>
      <c r="C33" s="3" t="str">
        <f t="shared" si="1"/>
        <v>PT. Pratama Jaya Sentosa</v>
      </c>
      <c r="D33" s="3" t="s">
        <v>195</v>
      </c>
      <c r="E33" s="3" t="s">
        <v>104</v>
      </c>
      <c r="F33" s="3" t="s">
        <v>134</v>
      </c>
      <c r="G33" s="3" t="s">
        <v>27</v>
      </c>
      <c r="H33" s="3" t="str">
        <f t="array" ref="H33">XLOOKUP(G:G,'Account Manager Data'!A:A,'Account Manager Data'!B:B,0)</f>
        <v>Dedi Kurniawan</v>
      </c>
      <c r="I33" s="11" t="str">
        <f t="array" ref="I33">XLOOKUP($G:$G,'Account Manager Data'!$A:$A,'Account Manager Data'!C:C)</f>
        <v>Kalimantan</v>
      </c>
      <c r="J33" s="17">
        <v>3333068.0</v>
      </c>
      <c r="K33" s="17">
        <v>5836189.0</v>
      </c>
      <c r="L33" s="17">
        <v>2646618.0</v>
      </c>
      <c r="M33" s="17">
        <v>2487920.0</v>
      </c>
      <c r="N33" s="17">
        <v>9189829.0</v>
      </c>
      <c r="O33" s="17">
        <v>9036090.0</v>
      </c>
      <c r="P33" s="17">
        <v>1811976.0</v>
      </c>
      <c r="Q33" s="17">
        <v>1.4432818E7</v>
      </c>
      <c r="R33" s="17">
        <v>6556079.0</v>
      </c>
      <c r="S33" s="17">
        <v>1.2163622E7</v>
      </c>
      <c r="T33" s="17">
        <v>0.0</v>
      </c>
      <c r="U33" s="17">
        <v>5967551.0</v>
      </c>
      <c r="V33" s="11">
        <f t="array" ref="V33">XLOOKUP(A:A,'Raw Revenue'!A:A,'Raw Revenue'!B:B,0)
</f>
        <v>0</v>
      </c>
      <c r="W33" s="11">
        <f t="array" ref="W33">XLOOKUP(A:A,'Raw Revenue'!C:C,'Raw Revenue'!D:D,0)</f>
        <v>0</v>
      </c>
      <c r="X33" s="11">
        <f t="array" ref="X33">XLOOKUP(A:A,'Raw Revenue'!E:E,'Raw Revenue'!F:F,0)</f>
        <v>0</v>
      </c>
      <c r="Y33" s="11">
        <f t="array" ref="Y33">XLOOKUP(A:A,'Raw Revenue'!G:G,'Raw Revenue'!H:H,0)</f>
        <v>0</v>
      </c>
      <c r="Z33" s="11">
        <f t="array" ref="Z33">XLOOKUP(A:A,'Raw Revenue'!I:I,'Raw Revenue'!J:J,0)</f>
        <v>0</v>
      </c>
      <c r="AA33" s="11">
        <f t="array" ref="AA33">XLOOKUP(A:A,'Raw Revenue'!K:K,'Raw Revenue'!L:L,0)</f>
        <v>0</v>
      </c>
      <c r="AB33" s="11">
        <f t="array" ref="AB33">XLOOKUP(A:A,'Raw Revenue'!M:M,'Raw Revenue'!N:N,0)</f>
        <v>0</v>
      </c>
      <c r="AC33" s="3">
        <v>0.0</v>
      </c>
      <c r="AD33" s="3">
        <v>0.0</v>
      </c>
      <c r="AE33" s="3">
        <v>0.0</v>
      </c>
      <c r="AF33" s="3">
        <v>0.0</v>
      </c>
      <c r="AG33" s="3">
        <v>0.0</v>
      </c>
    </row>
    <row r="34">
      <c r="A34" s="3" t="s">
        <v>328</v>
      </c>
      <c r="B34" s="3" t="s">
        <v>329</v>
      </c>
      <c r="C34" s="3" t="str">
        <f t="shared" si="1"/>
        <v>PT. Abadi Selamanya Jaya</v>
      </c>
      <c r="D34" s="3" t="s">
        <v>195</v>
      </c>
      <c r="E34" s="3" t="s">
        <v>85</v>
      </c>
      <c r="F34" s="3" t="s">
        <v>248</v>
      </c>
      <c r="G34" s="3" t="s">
        <v>15</v>
      </c>
      <c r="H34" s="3" t="str">
        <f t="array" ref="H34">XLOOKUP(G:G,'Account Manager Data'!A:A,'Account Manager Data'!B:B,0)</f>
        <v>Rizky Maulana</v>
      </c>
      <c r="I34" s="11" t="str">
        <f t="array" ref="I34">XLOOKUP($G:$G,'Account Manager Data'!$A:$A,'Account Manager Data'!C:C)</f>
        <v>Jawa</v>
      </c>
      <c r="J34" s="17">
        <v>2987233.0</v>
      </c>
      <c r="K34" s="17">
        <v>7561886.0</v>
      </c>
      <c r="L34" s="17">
        <v>9289629.0</v>
      </c>
      <c r="M34" s="17">
        <v>4836397.0</v>
      </c>
      <c r="N34" s="17">
        <v>1661796.0</v>
      </c>
      <c r="O34" s="17">
        <v>7496795.0</v>
      </c>
      <c r="P34" s="17">
        <v>0.0</v>
      </c>
      <c r="Q34" s="17">
        <v>7548333.0</v>
      </c>
      <c r="R34" s="17">
        <v>3285888.0</v>
      </c>
      <c r="S34" s="17">
        <v>1.0234249E7</v>
      </c>
      <c r="T34" s="17">
        <v>2345309.0</v>
      </c>
      <c r="U34" s="17">
        <v>1.0807812E7</v>
      </c>
      <c r="V34" s="11">
        <f t="array" ref="V34">XLOOKUP(A:A,'Raw Revenue'!A:A,'Raw Revenue'!B:B,0)
</f>
        <v>0</v>
      </c>
      <c r="W34" s="11">
        <f t="array" ref="W34">XLOOKUP(A:A,'Raw Revenue'!C:C,'Raw Revenue'!D:D,0)</f>
        <v>0</v>
      </c>
      <c r="X34" s="11">
        <f t="array" ref="X34">XLOOKUP(A:A,'Raw Revenue'!E:E,'Raw Revenue'!F:F,0)</f>
        <v>0</v>
      </c>
      <c r="Y34" s="11">
        <f t="array" ref="Y34">XLOOKUP(A:A,'Raw Revenue'!G:G,'Raw Revenue'!H:H,0)</f>
        <v>0</v>
      </c>
      <c r="Z34" s="11">
        <f t="array" ref="Z34">XLOOKUP(A:A,'Raw Revenue'!I:I,'Raw Revenue'!J:J,0)</f>
        <v>0</v>
      </c>
      <c r="AA34" s="11">
        <f t="array" ref="AA34">XLOOKUP(A:A,'Raw Revenue'!K:K,'Raw Revenue'!L:L,0)</f>
        <v>0</v>
      </c>
      <c r="AB34" s="11">
        <f t="array" ref="AB34">XLOOKUP(A:A,'Raw Revenue'!M:M,'Raw Revenue'!N:N,0)</f>
        <v>0</v>
      </c>
      <c r="AC34" s="3">
        <v>0.0</v>
      </c>
      <c r="AD34" s="3">
        <v>0.0</v>
      </c>
      <c r="AE34" s="3">
        <v>0.0</v>
      </c>
      <c r="AF34" s="3">
        <v>0.0</v>
      </c>
      <c r="AG34" s="3">
        <v>0.0</v>
      </c>
    </row>
    <row r="35">
      <c r="A35" s="3" t="s">
        <v>330</v>
      </c>
      <c r="B35" s="3" t="s">
        <v>331</v>
      </c>
      <c r="C35" s="3" t="str">
        <f t="shared" si="1"/>
        <v>PT. Mandiri Sejahtera Bersama</v>
      </c>
      <c r="D35" s="3" t="s">
        <v>195</v>
      </c>
      <c r="E35" s="3" t="s">
        <v>196</v>
      </c>
      <c r="F35" s="3" t="s">
        <v>315</v>
      </c>
      <c r="G35" s="3" t="s">
        <v>63</v>
      </c>
      <c r="H35" s="3" t="str">
        <f t="array" ref="H35">XLOOKUP(G:G,'Account Manager Data'!A:A,'Account Manager Data'!B:B,0)</f>
        <v>Hendra Gunawan</v>
      </c>
      <c r="I35" s="11" t="str">
        <f t="array" ref="I35">XLOOKUP($G:$G,'Account Manager Data'!$A:$A,'Account Manager Data'!C:C)</f>
        <v>Kalimantan</v>
      </c>
      <c r="J35" s="17">
        <v>7805682.0</v>
      </c>
      <c r="K35" s="17">
        <v>2346009.0</v>
      </c>
      <c r="L35" s="17">
        <v>7314207.0</v>
      </c>
      <c r="M35" s="17">
        <v>7105184.0</v>
      </c>
      <c r="N35" s="17">
        <v>3274642.0</v>
      </c>
      <c r="O35" s="17">
        <v>1.3644107E7</v>
      </c>
      <c r="P35" s="17">
        <v>3113247.0</v>
      </c>
      <c r="Q35" s="17">
        <v>1075048.0</v>
      </c>
      <c r="R35" s="17">
        <v>1.1973796E7</v>
      </c>
      <c r="S35" s="17">
        <v>1.0407348E7</v>
      </c>
      <c r="T35" s="17">
        <v>8344533.0</v>
      </c>
      <c r="U35" s="17">
        <v>1.1813184E7</v>
      </c>
      <c r="V35" s="11">
        <f t="array" ref="V35">XLOOKUP(A:A,'Raw Revenue'!A:A,'Raw Revenue'!B:B,0)
</f>
        <v>0</v>
      </c>
      <c r="W35" s="11">
        <f t="array" ref="W35">XLOOKUP(A:A,'Raw Revenue'!C:C,'Raw Revenue'!D:D,0)</f>
        <v>0</v>
      </c>
      <c r="X35" s="11">
        <f t="array" ref="X35">XLOOKUP(A:A,'Raw Revenue'!E:E,'Raw Revenue'!F:F,0)</f>
        <v>0</v>
      </c>
      <c r="Y35" s="11">
        <f t="array" ref="Y35">XLOOKUP(A:A,'Raw Revenue'!G:G,'Raw Revenue'!H:H,0)</f>
        <v>0</v>
      </c>
      <c r="Z35" s="11">
        <f t="array" ref="Z35">XLOOKUP(A:A,'Raw Revenue'!I:I,'Raw Revenue'!J:J,0)</f>
        <v>0</v>
      </c>
      <c r="AA35" s="11">
        <f t="array" ref="AA35">XLOOKUP(A:A,'Raw Revenue'!K:K,'Raw Revenue'!L:L,0)</f>
        <v>0</v>
      </c>
      <c r="AB35" s="11">
        <f t="array" ref="AB35">XLOOKUP(A:A,'Raw Revenue'!M:M,'Raw Revenue'!N:N,0)</f>
        <v>0</v>
      </c>
      <c r="AC35" s="3">
        <v>0.0</v>
      </c>
      <c r="AD35" s="3">
        <v>0.0</v>
      </c>
      <c r="AE35" s="3">
        <v>0.0</v>
      </c>
      <c r="AF35" s="3">
        <v>0.0</v>
      </c>
      <c r="AG35" s="3">
        <v>0.0</v>
      </c>
    </row>
    <row r="36">
      <c r="A36" s="3" t="s">
        <v>332</v>
      </c>
      <c r="B36" s="3" t="s">
        <v>333</v>
      </c>
      <c r="C36" s="3" t="str">
        <f t="shared" si="1"/>
        <v>PT. Sejahtera Alam Indonesia</v>
      </c>
      <c r="D36" s="3" t="s">
        <v>195</v>
      </c>
      <c r="E36" s="3" t="s">
        <v>187</v>
      </c>
      <c r="F36" s="3" t="s">
        <v>295</v>
      </c>
      <c r="G36" s="3" t="s">
        <v>78</v>
      </c>
      <c r="H36" s="3" t="str">
        <f t="array" ref="H36">XLOOKUP(G:G,'Account Manager Data'!A:A,'Account Manager Data'!B:B,0)</f>
        <v>Ilham Saputra</v>
      </c>
      <c r="I36" s="11" t="str">
        <f t="array" ref="I36">XLOOKUP($G:$G,'Account Manager Data'!$A:$A,'Account Manager Data'!C:C)</f>
        <v>Jawa</v>
      </c>
      <c r="J36" s="17">
        <v>1781132.0</v>
      </c>
      <c r="K36" s="17">
        <v>1110407.0</v>
      </c>
      <c r="L36" s="17">
        <v>3427607.0</v>
      </c>
      <c r="M36" s="17">
        <v>2193075.0</v>
      </c>
      <c r="N36" s="17">
        <v>8568235.0</v>
      </c>
      <c r="O36" s="17">
        <v>4071174.0</v>
      </c>
      <c r="P36" s="17">
        <v>8985924.0</v>
      </c>
      <c r="Q36" s="17">
        <v>5583517.0</v>
      </c>
      <c r="R36" s="17">
        <v>1.2318931E7</v>
      </c>
      <c r="S36" s="17">
        <v>4704998.0</v>
      </c>
      <c r="T36" s="17">
        <v>1.2865827E7</v>
      </c>
      <c r="U36" s="17">
        <v>1.8529286E7</v>
      </c>
      <c r="V36" s="11">
        <f t="array" ref="V36">XLOOKUP(A:A,'Raw Revenue'!A:A,'Raw Revenue'!B:B,0)
</f>
        <v>0</v>
      </c>
      <c r="W36" s="11">
        <f t="array" ref="W36">XLOOKUP(A:A,'Raw Revenue'!C:C,'Raw Revenue'!D:D,0)</f>
        <v>0</v>
      </c>
      <c r="X36" s="11">
        <f t="array" ref="X36">XLOOKUP(A:A,'Raw Revenue'!E:E,'Raw Revenue'!F:F,0)</f>
        <v>0</v>
      </c>
      <c r="Y36" s="11">
        <f t="array" ref="Y36">XLOOKUP(A:A,'Raw Revenue'!G:G,'Raw Revenue'!H:H,0)</f>
        <v>0</v>
      </c>
      <c r="Z36" s="11">
        <f t="array" ref="Z36">XLOOKUP(A:A,'Raw Revenue'!I:I,'Raw Revenue'!J:J,0)</f>
        <v>0</v>
      </c>
      <c r="AA36" s="11">
        <f t="array" ref="AA36">XLOOKUP(A:A,'Raw Revenue'!K:K,'Raw Revenue'!L:L,0)</f>
        <v>0</v>
      </c>
      <c r="AB36" s="11">
        <f t="array" ref="AB36">XLOOKUP(A:A,'Raw Revenue'!M:M,'Raw Revenue'!N:N,0)</f>
        <v>0</v>
      </c>
      <c r="AC36" s="3">
        <v>0.0</v>
      </c>
      <c r="AD36" s="3">
        <v>0.0</v>
      </c>
      <c r="AE36" s="3">
        <v>0.0</v>
      </c>
      <c r="AF36" s="3">
        <v>0.0</v>
      </c>
      <c r="AG36" s="3">
        <v>0.0</v>
      </c>
    </row>
    <row r="37">
      <c r="A37" s="3" t="s">
        <v>334</v>
      </c>
      <c r="B37" s="3" t="s">
        <v>335</v>
      </c>
      <c r="C37" s="3" t="str">
        <f t="shared" si="1"/>
        <v>PT. Indah Kargo Logistik</v>
      </c>
      <c r="D37" s="3" t="s">
        <v>130</v>
      </c>
      <c r="E37" s="3" t="s">
        <v>104</v>
      </c>
      <c r="F37" s="3" t="s">
        <v>252</v>
      </c>
      <c r="G37" s="3" t="s">
        <v>53</v>
      </c>
      <c r="H37" s="3" t="str">
        <f t="array" ref="H37">XLOOKUP(G:G,'Account Manager Data'!A:A,'Account Manager Data'!B:B,0)</f>
        <v>Fajar Ramadhan</v>
      </c>
      <c r="I37" s="11" t="str">
        <f t="array" ref="I37">XLOOKUP($G:$G,'Account Manager Data'!$A:$A,'Account Manager Data'!C:C)</f>
        <v>Sulawesi</v>
      </c>
      <c r="J37" s="17">
        <v>2770729.0</v>
      </c>
      <c r="K37" s="17">
        <v>42265.0</v>
      </c>
      <c r="L37" s="17">
        <v>2500119.0</v>
      </c>
      <c r="M37" s="17">
        <v>1.1722577E7</v>
      </c>
      <c r="N37" s="17">
        <v>9543292.0</v>
      </c>
      <c r="O37" s="17">
        <v>9659981.0</v>
      </c>
      <c r="P37" s="17">
        <v>3468733.0</v>
      </c>
      <c r="Q37" s="17">
        <v>2386326.0</v>
      </c>
      <c r="R37" s="17">
        <v>1543884.0</v>
      </c>
      <c r="S37" s="17">
        <v>6231216.0</v>
      </c>
      <c r="T37" s="17">
        <v>1.4046718E7</v>
      </c>
      <c r="U37" s="17">
        <v>8526503.0</v>
      </c>
      <c r="V37" s="11">
        <f t="array" ref="V37">XLOOKUP(A:A,'Raw Revenue'!A:A,'Raw Revenue'!B:B,0)
</f>
        <v>0</v>
      </c>
      <c r="W37" s="11">
        <f t="array" ref="W37">XLOOKUP(A:A,'Raw Revenue'!C:C,'Raw Revenue'!D:D,0)</f>
        <v>0</v>
      </c>
      <c r="X37" s="11">
        <f t="array" ref="X37">XLOOKUP(A:A,'Raw Revenue'!E:E,'Raw Revenue'!F:F,0)</f>
        <v>0</v>
      </c>
      <c r="Y37" s="11">
        <f t="array" ref="Y37">XLOOKUP(A:A,'Raw Revenue'!G:G,'Raw Revenue'!H:H,0)</f>
        <v>0</v>
      </c>
      <c r="Z37" s="11">
        <f t="array" ref="Z37">XLOOKUP(A:A,'Raw Revenue'!I:I,'Raw Revenue'!J:J,0)</f>
        <v>0</v>
      </c>
      <c r="AA37" s="11">
        <f t="array" ref="AA37">XLOOKUP(A:A,'Raw Revenue'!K:K,'Raw Revenue'!L:L,0)</f>
        <v>0</v>
      </c>
      <c r="AB37" s="11">
        <f t="array" ref="AB37">XLOOKUP(A:A,'Raw Revenue'!M:M,'Raw Revenue'!N:N,0)</f>
        <v>0</v>
      </c>
      <c r="AC37" s="3">
        <v>0.0</v>
      </c>
      <c r="AD37" s="3">
        <v>0.0</v>
      </c>
      <c r="AE37" s="3">
        <v>0.0</v>
      </c>
      <c r="AF37" s="3">
        <v>0.0</v>
      </c>
      <c r="AG37" s="3">
        <v>0.0</v>
      </c>
    </row>
    <row r="38">
      <c r="A38" s="3" t="s">
        <v>336</v>
      </c>
      <c r="B38" s="3" t="s">
        <v>337</v>
      </c>
      <c r="C38" s="3" t="str">
        <f t="shared" si="1"/>
        <v>PT. Berkah Alam Semesta</v>
      </c>
      <c r="D38" s="3" t="s">
        <v>186</v>
      </c>
      <c r="E38" s="3" t="s">
        <v>215</v>
      </c>
      <c r="F38" s="3" t="s">
        <v>300</v>
      </c>
      <c r="G38" s="3" t="s">
        <v>35</v>
      </c>
      <c r="H38" s="3" t="str">
        <f t="array" ref="H38">XLOOKUP(G:G,'Account Manager Data'!A:A,'Account Manager Data'!B:B,0)</f>
        <v>Ahmad Fauzi</v>
      </c>
      <c r="I38" s="11" t="str">
        <f t="array" ref="I38">XLOOKUP($G:$G,'Account Manager Data'!$A:$A,'Account Manager Data'!C:C)</f>
        <v>Sumatera</v>
      </c>
      <c r="J38" s="17">
        <v>2736086.0</v>
      </c>
      <c r="K38" s="17">
        <v>364311.0</v>
      </c>
      <c r="L38" s="17">
        <v>8079857.0</v>
      </c>
      <c r="M38" s="17">
        <v>1.0856679E7</v>
      </c>
      <c r="N38" s="17">
        <v>8718142.0</v>
      </c>
      <c r="O38" s="17">
        <v>8954812.0</v>
      </c>
      <c r="P38" s="17">
        <v>2096490.0</v>
      </c>
      <c r="Q38" s="17">
        <v>9498748.0</v>
      </c>
      <c r="R38" s="17">
        <v>1.5103731E7</v>
      </c>
      <c r="S38" s="17">
        <v>0.0</v>
      </c>
      <c r="T38" s="17">
        <v>1.0049324E7</v>
      </c>
      <c r="U38" s="17">
        <v>0.0</v>
      </c>
      <c r="V38" s="11">
        <f t="array" ref="V38">XLOOKUP(A:A,'Raw Revenue'!A:A,'Raw Revenue'!B:B,0)
</f>
        <v>0</v>
      </c>
      <c r="W38" s="11">
        <f t="array" ref="W38">XLOOKUP(A:A,'Raw Revenue'!C:C,'Raw Revenue'!D:D,0)</f>
        <v>0</v>
      </c>
      <c r="X38" s="11">
        <f t="array" ref="X38">XLOOKUP(A:A,'Raw Revenue'!E:E,'Raw Revenue'!F:F,0)</f>
        <v>0</v>
      </c>
      <c r="Y38" s="11">
        <f t="array" ref="Y38">XLOOKUP(A:A,'Raw Revenue'!G:G,'Raw Revenue'!H:H,0)</f>
        <v>0</v>
      </c>
      <c r="Z38" s="11">
        <f t="array" ref="Z38">XLOOKUP(A:A,'Raw Revenue'!I:I,'Raw Revenue'!J:J,0)</f>
        <v>0</v>
      </c>
      <c r="AA38" s="11">
        <f t="array" ref="AA38">XLOOKUP(A:A,'Raw Revenue'!K:K,'Raw Revenue'!L:L,0)</f>
        <v>0</v>
      </c>
      <c r="AB38" s="11">
        <f t="array" ref="AB38">XLOOKUP(A:A,'Raw Revenue'!M:M,'Raw Revenue'!N:N,0)</f>
        <v>0</v>
      </c>
      <c r="AC38" s="3">
        <v>0.0</v>
      </c>
      <c r="AD38" s="3">
        <v>0.0</v>
      </c>
      <c r="AE38" s="3">
        <v>0.0</v>
      </c>
      <c r="AF38" s="3">
        <v>0.0</v>
      </c>
      <c r="AG38" s="3">
        <v>0.0</v>
      </c>
    </row>
    <row r="39">
      <c r="A39" s="3" t="s">
        <v>234</v>
      </c>
      <c r="B39" s="3" t="s">
        <v>338</v>
      </c>
      <c r="C39" s="3" t="str">
        <f t="shared" si="1"/>
        <v>PT. Cahaya Baru Indonesia</v>
      </c>
      <c r="D39" s="3" t="s">
        <v>103</v>
      </c>
      <c r="E39" s="3" t="s">
        <v>215</v>
      </c>
      <c r="F39" s="3" t="s">
        <v>216</v>
      </c>
      <c r="G39" s="3" t="s">
        <v>43</v>
      </c>
      <c r="H39" s="3" t="str">
        <f t="array" ref="H39">XLOOKUP(G:G,'Account Manager Data'!A:A,'Account Manager Data'!B:B,0)</f>
        <v>Eko Prasetyo</v>
      </c>
      <c r="I39" s="11" t="str">
        <f t="array" ref="I39">XLOOKUP($G:$G,'Account Manager Data'!$A:$A,'Account Manager Data'!C:C)</f>
        <v>Papua</v>
      </c>
      <c r="J39" s="17">
        <v>4983290.0</v>
      </c>
      <c r="K39" s="17">
        <v>0.0</v>
      </c>
      <c r="L39" s="17">
        <v>1500544.0</v>
      </c>
      <c r="M39" s="17">
        <v>8135941.0</v>
      </c>
      <c r="N39" s="17">
        <v>947999.0</v>
      </c>
      <c r="O39" s="17">
        <v>1.4271601E7</v>
      </c>
      <c r="P39" s="17">
        <v>8357235.0</v>
      </c>
      <c r="Q39" s="17">
        <v>2250263.0</v>
      </c>
      <c r="R39" s="17">
        <v>9592038.0</v>
      </c>
      <c r="S39" s="17">
        <v>4330992.0</v>
      </c>
      <c r="T39" s="17">
        <v>1.3966579E7</v>
      </c>
      <c r="U39" s="17">
        <v>1.5277708E7</v>
      </c>
      <c r="V39" s="11">
        <f t="array" ref="V39">XLOOKUP(A:A,'Raw Revenue'!A:A,'Raw Revenue'!B:B,0)
</f>
        <v>8011079.171</v>
      </c>
      <c r="W39" s="11">
        <f t="array" ref="W39">XLOOKUP(A:A,'Raw Revenue'!C:C,'Raw Revenue'!D:D,0)</f>
        <v>8011079.171</v>
      </c>
      <c r="X39" s="11">
        <f t="array" ref="X39">XLOOKUP(A:A,'Raw Revenue'!E:E,'Raw Revenue'!F:F,0)</f>
        <v>16022158.34</v>
      </c>
      <c r="Y39" s="11">
        <f t="array" ref="Y39">XLOOKUP(A:A,'Raw Revenue'!G:G,'Raw Revenue'!H:H,0)</f>
        <v>13084762.65</v>
      </c>
      <c r="Z39" s="11">
        <f t="array" ref="Z39">XLOOKUP(A:A,'Raw Revenue'!I:I,'Raw Revenue'!J:J,0)</f>
        <v>11749582.78</v>
      </c>
      <c r="AA39" s="11">
        <f t="array" ref="AA39">XLOOKUP(A:A,'Raw Revenue'!K:K,'Raw Revenue'!L:L,0)</f>
        <v>30041546.89</v>
      </c>
      <c r="AB39" s="11">
        <f t="array" ref="AB39">XLOOKUP(A:A,'Raw Revenue'!M:M,'Raw Revenue'!N:N,0)</f>
        <v>27638223.14</v>
      </c>
      <c r="AC39" s="3">
        <v>0.0</v>
      </c>
      <c r="AD39" s="3">
        <v>0.0</v>
      </c>
      <c r="AE39" s="3">
        <v>0.0</v>
      </c>
      <c r="AF39" s="3">
        <v>0.0</v>
      </c>
      <c r="AG39" s="3">
        <v>0.0</v>
      </c>
    </row>
    <row r="40">
      <c r="A40" s="3" t="s">
        <v>339</v>
      </c>
      <c r="B40" s="3" t="s">
        <v>340</v>
      </c>
      <c r="C40" s="3" t="str">
        <f t="shared" si="1"/>
        <v>PT. Mentari Pagi Sejahtera</v>
      </c>
      <c r="D40" s="3" t="s">
        <v>103</v>
      </c>
      <c r="E40" s="3" t="s">
        <v>215</v>
      </c>
      <c r="F40" s="3" t="s">
        <v>227</v>
      </c>
      <c r="G40" s="3" t="s">
        <v>76</v>
      </c>
      <c r="H40" s="3" t="str">
        <f t="array" ref="H40">XLOOKUP(G:G,'Account Manager Data'!A:A,'Account Manager Data'!B:B,0)</f>
        <v>Teguh Wijaya</v>
      </c>
      <c r="I40" s="11" t="str">
        <f t="array" ref="I40">XLOOKUP($G:$G,'Account Manager Data'!$A:$A,'Account Manager Data'!C:C)</f>
        <v>Sulawesi</v>
      </c>
      <c r="J40" s="17">
        <v>0.0</v>
      </c>
      <c r="K40" s="17">
        <v>0.0</v>
      </c>
      <c r="L40" s="17">
        <v>7229749.0</v>
      </c>
      <c r="M40" s="17">
        <v>5769809.0</v>
      </c>
      <c r="N40" s="17">
        <v>4896009.0</v>
      </c>
      <c r="O40" s="17">
        <v>2058962.0</v>
      </c>
      <c r="P40" s="17">
        <v>0.0</v>
      </c>
      <c r="Q40" s="17">
        <v>2395160.0</v>
      </c>
      <c r="R40" s="17">
        <v>1.0585321E7</v>
      </c>
      <c r="S40" s="17">
        <v>1.305195E7</v>
      </c>
      <c r="T40" s="17">
        <v>221769.0</v>
      </c>
      <c r="U40" s="17">
        <v>1.8088985E7</v>
      </c>
      <c r="V40" s="11">
        <f t="array" ref="V40">XLOOKUP(A:A,'Raw Revenue'!A:A,'Raw Revenue'!B:B,0)
</f>
        <v>1054849.891</v>
      </c>
      <c r="W40" s="11">
        <f t="array" ref="W40">XLOOKUP(A:A,'Raw Revenue'!C:C,'Raw Revenue'!D:D,0)</f>
        <v>527424.9454</v>
      </c>
      <c r="X40" s="11">
        <f t="array" ref="X40">XLOOKUP(A:A,'Raw Revenue'!E:E,'Raw Revenue'!F:F,0)</f>
        <v>316454.9672</v>
      </c>
      <c r="Y40" s="11">
        <f t="array" ref="Y40">XLOOKUP(A:A,'Raw Revenue'!G:G,'Raw Revenue'!H:H,0)</f>
        <v>3691974.618</v>
      </c>
      <c r="Z40" s="11">
        <f t="array" ref="Z40">XLOOKUP(A:A,'Raw Revenue'!I:I,'Raw Revenue'!J:J,0)</f>
        <v>843879.9127</v>
      </c>
      <c r="AA40" s="11">
        <f t="array" ref="AA40">XLOOKUP(A:A,'Raw Revenue'!K:K,'Raw Revenue'!L:L,0)</f>
        <v>23734.12254</v>
      </c>
      <c r="AB40" s="11">
        <f t="array" ref="AB40">XLOOKUP(A:A,'Raw Revenue'!M:M,'Raw Revenue'!N:N,0)</f>
        <v>3180372.421</v>
      </c>
      <c r="AC40" s="3">
        <v>0.0</v>
      </c>
      <c r="AD40" s="3">
        <v>0.0</v>
      </c>
      <c r="AE40" s="3">
        <v>0.0</v>
      </c>
      <c r="AF40" s="3">
        <v>0.0</v>
      </c>
      <c r="AG40" s="3">
        <v>0.0</v>
      </c>
    </row>
    <row r="41">
      <c r="A41" s="3" t="s">
        <v>341</v>
      </c>
      <c r="B41" s="3" t="s">
        <v>342</v>
      </c>
      <c r="C41" s="3" t="str">
        <f t="shared" si="1"/>
        <v>PT. Bintang Kejora Nusantara</v>
      </c>
      <c r="D41" s="3" t="s">
        <v>103</v>
      </c>
      <c r="E41" s="3" t="s">
        <v>104</v>
      </c>
      <c r="F41" s="3" t="s">
        <v>252</v>
      </c>
      <c r="G41" s="3" t="s">
        <v>74</v>
      </c>
      <c r="H41" s="3" t="str">
        <f t="array" ref="H41">XLOOKUP(G:G,'Account Manager Data'!A:A,'Account Manager Data'!B:B,0)</f>
        <v>Budi Santoso</v>
      </c>
      <c r="I41" s="11" t="str">
        <f t="array" ref="I41">XLOOKUP($G:$G,'Account Manager Data'!$A:$A,'Account Manager Data'!C:C)</f>
        <v>Papua</v>
      </c>
      <c r="J41" s="17">
        <v>2042902.0</v>
      </c>
      <c r="K41" s="17">
        <v>4612278.0</v>
      </c>
      <c r="L41" s="17">
        <v>6719897.0</v>
      </c>
      <c r="M41" s="17">
        <v>9804645.0</v>
      </c>
      <c r="N41" s="17">
        <v>1.2237123E7</v>
      </c>
      <c r="O41" s="17">
        <v>7944250.0</v>
      </c>
      <c r="P41" s="17">
        <v>1.497599E7</v>
      </c>
      <c r="Q41" s="17">
        <v>5937802.0</v>
      </c>
      <c r="R41" s="17">
        <v>1.1527686E7</v>
      </c>
      <c r="S41" s="17">
        <v>4113712.0</v>
      </c>
      <c r="T41" s="17">
        <v>1.0627665E7</v>
      </c>
      <c r="U41" s="17">
        <v>1.2585081E7</v>
      </c>
      <c r="V41" s="11">
        <f t="array" ref="V41">XLOOKUP(A:A,'Raw Revenue'!A:A,'Raw Revenue'!B:B,0)
</f>
        <v>1319117.548</v>
      </c>
      <c r="W41" s="11">
        <f t="array" ref="W41">XLOOKUP(A:A,'Raw Revenue'!C:C,'Raw Revenue'!D:D,0)</f>
        <v>659558.7738</v>
      </c>
      <c r="X41" s="11">
        <f t="array" ref="X41">XLOOKUP(A:A,'Raw Revenue'!E:E,'Raw Revenue'!F:F,0)</f>
        <v>395735.2643</v>
      </c>
      <c r="Y41" s="11">
        <f t="array" ref="Y41">XLOOKUP(A:A,'Raw Revenue'!G:G,'Raw Revenue'!H:H,0)</f>
        <v>4616911.417</v>
      </c>
      <c r="Z41" s="11">
        <f t="array" ref="Z41">XLOOKUP(A:A,'Raw Revenue'!I:I,'Raw Revenue'!J:J,0)</f>
        <v>1055294.038</v>
      </c>
      <c r="AA41" s="11">
        <f t="array" ref="AA41">XLOOKUP(A:A,'Raw Revenue'!K:K,'Raw Revenue'!L:L,0)</f>
        <v>29680.14482</v>
      </c>
      <c r="AB41" s="11">
        <f t="array" ref="AB41">XLOOKUP(A:A,'Raw Revenue'!M:M,'Raw Revenue'!N:N,0)</f>
        <v>3977139.406</v>
      </c>
      <c r="AC41" s="3">
        <v>0.0</v>
      </c>
      <c r="AD41" s="3">
        <v>0.0</v>
      </c>
      <c r="AE41" s="3">
        <v>0.0</v>
      </c>
      <c r="AF41" s="3">
        <v>0.0</v>
      </c>
      <c r="AG41" s="3">
        <v>0.0</v>
      </c>
    </row>
    <row r="42">
      <c r="A42" s="3" t="s">
        <v>343</v>
      </c>
      <c r="B42" s="3" t="s">
        <v>344</v>
      </c>
      <c r="C42" s="3" t="str">
        <f t="shared" si="1"/>
        <v>PT. Maju Jaya</v>
      </c>
      <c r="D42" s="3" t="s">
        <v>103</v>
      </c>
      <c r="E42" s="3" t="s">
        <v>104</v>
      </c>
      <c r="F42" s="3" t="s">
        <v>105</v>
      </c>
      <c r="G42" s="3" t="s">
        <v>70</v>
      </c>
      <c r="H42" s="3" t="str">
        <f t="array" ref="H42">XLOOKUP(G:G,'Account Manager Data'!A:A,'Account Manager Data'!B:B,0)</f>
        <v>Yusuf Hidayat</v>
      </c>
      <c r="I42" s="11" t="str">
        <f t="array" ref="I42">XLOOKUP($G:$G,'Account Manager Data'!$A:$A,'Account Manager Data'!C:C)</f>
        <v>Sumatera</v>
      </c>
      <c r="J42" s="17">
        <v>5226374.0</v>
      </c>
      <c r="K42" s="17">
        <v>2570624.0</v>
      </c>
      <c r="L42" s="17">
        <v>7048019.0</v>
      </c>
      <c r="M42" s="17">
        <v>7559152.0</v>
      </c>
      <c r="N42" s="17">
        <v>0.0</v>
      </c>
      <c r="O42" s="17">
        <v>1.5128651E7</v>
      </c>
      <c r="P42" s="17">
        <v>0.0</v>
      </c>
      <c r="Q42" s="17">
        <v>307458.0</v>
      </c>
      <c r="R42" s="17">
        <v>2337422.0</v>
      </c>
      <c r="S42" s="17">
        <v>6097956.0</v>
      </c>
      <c r="T42" s="17">
        <v>1.9374682E7</v>
      </c>
      <c r="U42" s="17">
        <v>1.2938388E7</v>
      </c>
      <c r="V42" s="11">
        <f t="array" ref="V42">XLOOKUP(A:A,'Raw Revenue'!A:A,'Raw Revenue'!B:B,0)
</f>
        <v>580167.4399</v>
      </c>
      <c r="W42" s="11">
        <f t="array" ref="W42">XLOOKUP(A:A,'Raw Revenue'!C:C,'Raw Revenue'!D:D,0)</f>
        <v>290083.72</v>
      </c>
      <c r="X42" s="11">
        <f t="array" ref="X42">XLOOKUP(A:A,'Raw Revenue'!E:E,'Raw Revenue'!F:F,0)</f>
        <v>174050.232</v>
      </c>
      <c r="Y42" s="11">
        <f t="array" ref="Y42">XLOOKUP(A:A,'Raw Revenue'!G:G,'Raw Revenue'!H:H,0)</f>
        <v>2030586.04</v>
      </c>
      <c r="Z42" s="11">
        <f t="array" ref="Z42">XLOOKUP(A:A,'Raw Revenue'!I:I,'Raw Revenue'!J:J,0)</f>
        <v>464133.952</v>
      </c>
      <c r="AA42" s="11">
        <f t="array" ref="AA42">XLOOKUP(A:A,'Raw Revenue'!K:K,'Raw Revenue'!L:L,0)</f>
        <v>13053.7674</v>
      </c>
      <c r="AB42" s="11">
        <f t="array" ref="AB42">XLOOKUP(A:A,'Raw Revenue'!M:M,'Raw Revenue'!N:N,0)</f>
        <v>1749204.831</v>
      </c>
      <c r="AC42" s="3">
        <v>0.0</v>
      </c>
      <c r="AD42" s="3">
        <v>0.0</v>
      </c>
      <c r="AE42" s="3">
        <v>0.0</v>
      </c>
      <c r="AF42" s="3">
        <v>0.0</v>
      </c>
      <c r="AG42" s="3">
        <v>0.0</v>
      </c>
    </row>
    <row r="43">
      <c r="A43" s="3" t="s">
        <v>345</v>
      </c>
      <c r="B43" s="3" t="s">
        <v>346</v>
      </c>
      <c r="C43" s="3" t="str">
        <f t="shared" si="1"/>
        <v>CV. Sumber Makmur</v>
      </c>
      <c r="D43" s="3" t="s">
        <v>186</v>
      </c>
      <c r="E43" s="3" t="s">
        <v>215</v>
      </c>
      <c r="F43" s="3" t="s">
        <v>300</v>
      </c>
      <c r="G43" s="3" t="s">
        <v>15</v>
      </c>
      <c r="H43" s="3" t="str">
        <f t="array" ref="H43">XLOOKUP(G:G,'Account Manager Data'!A:A,'Account Manager Data'!B:B,0)</f>
        <v>Rizky Maulana</v>
      </c>
      <c r="I43" s="11" t="str">
        <f t="array" ref="I43">XLOOKUP($G:$G,'Account Manager Data'!$A:$A,'Account Manager Data'!C:C)</f>
        <v>Jawa</v>
      </c>
      <c r="J43" s="17">
        <v>2548568.0</v>
      </c>
      <c r="K43" s="17">
        <v>3823628.0</v>
      </c>
      <c r="L43" s="17">
        <v>1.0787969E7</v>
      </c>
      <c r="M43" s="17">
        <v>4950065.0</v>
      </c>
      <c r="N43" s="17">
        <v>1.325031E7</v>
      </c>
      <c r="O43" s="17">
        <v>1.3950164E7</v>
      </c>
      <c r="P43" s="17">
        <v>1.4463017E7</v>
      </c>
      <c r="Q43" s="17">
        <v>1.0232231E7</v>
      </c>
      <c r="R43" s="17">
        <v>869155.0</v>
      </c>
      <c r="S43" s="17">
        <v>264353.0</v>
      </c>
      <c r="T43" s="17">
        <v>1.8170138E7</v>
      </c>
      <c r="U43" s="17">
        <v>0.0</v>
      </c>
      <c r="V43" s="11">
        <f t="array" ref="V43">XLOOKUP(A:A,'Raw Revenue'!A:A,'Raw Revenue'!B:B,0)
</f>
        <v>0</v>
      </c>
      <c r="W43" s="11">
        <f t="array" ref="W43">XLOOKUP(A:A,'Raw Revenue'!C:C,'Raw Revenue'!D:D,0)</f>
        <v>0</v>
      </c>
      <c r="X43" s="11">
        <f t="array" ref="X43">XLOOKUP(A:A,'Raw Revenue'!E:E,'Raw Revenue'!F:F,0)</f>
        <v>0</v>
      </c>
      <c r="Y43" s="11">
        <f t="array" ref="Y43">XLOOKUP(A:A,'Raw Revenue'!G:G,'Raw Revenue'!H:H,0)</f>
        <v>0</v>
      </c>
      <c r="Z43" s="11">
        <f t="array" ref="Z43">XLOOKUP(A:A,'Raw Revenue'!I:I,'Raw Revenue'!J:J,0)</f>
        <v>0</v>
      </c>
      <c r="AA43" s="11">
        <f t="array" ref="AA43">XLOOKUP(A:A,'Raw Revenue'!K:K,'Raw Revenue'!L:L,0)</f>
        <v>0</v>
      </c>
      <c r="AB43" s="11">
        <f t="array" ref="AB43">XLOOKUP(A:A,'Raw Revenue'!M:M,'Raw Revenue'!N:N,0)</f>
        <v>0</v>
      </c>
      <c r="AC43" s="3">
        <v>0.0</v>
      </c>
      <c r="AD43" s="3">
        <v>0.0</v>
      </c>
      <c r="AE43" s="3">
        <v>0.0</v>
      </c>
      <c r="AF43" s="3">
        <v>0.0</v>
      </c>
      <c r="AG43" s="3">
        <v>0.0</v>
      </c>
    </row>
    <row r="44">
      <c r="A44" s="3" t="s">
        <v>347</v>
      </c>
      <c r="B44" s="3" t="s">
        <v>348</v>
      </c>
      <c r="C44" s="3" t="str">
        <f t="shared" si="1"/>
        <v>PT. Teknologi Nusantara</v>
      </c>
      <c r="D44" s="3" t="s">
        <v>84</v>
      </c>
      <c r="E44" s="3" t="s">
        <v>187</v>
      </c>
      <c r="F44" s="3" t="s">
        <v>188</v>
      </c>
      <c r="G44" s="3" t="s">
        <v>27</v>
      </c>
      <c r="H44" s="3" t="str">
        <f t="array" ref="H44">XLOOKUP(G:G,'Account Manager Data'!A:A,'Account Manager Data'!B:B,0)</f>
        <v>Dedi Kurniawan</v>
      </c>
      <c r="I44" s="11" t="str">
        <f t="array" ref="I44">XLOOKUP($G:$G,'Account Manager Data'!$A:$A,'Account Manager Data'!C:C)</f>
        <v>Kalimantan</v>
      </c>
      <c r="J44" s="17">
        <v>4373392.0</v>
      </c>
      <c r="K44" s="17">
        <v>6992473.0</v>
      </c>
      <c r="L44" s="17">
        <v>5798556.0</v>
      </c>
      <c r="M44" s="17">
        <v>4662152.0</v>
      </c>
      <c r="N44" s="17">
        <v>1778467.0</v>
      </c>
      <c r="O44" s="17">
        <v>8981506.0</v>
      </c>
      <c r="P44" s="17">
        <v>290783.0</v>
      </c>
      <c r="Q44" s="17">
        <v>7019127.0</v>
      </c>
      <c r="R44" s="17">
        <v>3124734.0</v>
      </c>
      <c r="S44" s="17">
        <v>4876880.0</v>
      </c>
      <c r="T44" s="17">
        <v>9516081.0</v>
      </c>
      <c r="U44" s="17">
        <v>1.1923496E7</v>
      </c>
      <c r="V44" s="11">
        <f t="array" ref="V44">XLOOKUP(A:A,'Raw Revenue'!A:A,'Raw Revenue'!B:B,0)
</f>
        <v>0</v>
      </c>
      <c r="W44" s="11">
        <f t="array" ref="W44">XLOOKUP(A:A,'Raw Revenue'!C:C,'Raw Revenue'!D:D,0)</f>
        <v>0</v>
      </c>
      <c r="X44" s="11">
        <f t="array" ref="X44">XLOOKUP(A:A,'Raw Revenue'!E:E,'Raw Revenue'!F:F,0)</f>
        <v>0</v>
      </c>
      <c r="Y44" s="11">
        <f t="array" ref="Y44">XLOOKUP(A:A,'Raw Revenue'!G:G,'Raw Revenue'!H:H,0)</f>
        <v>0</v>
      </c>
      <c r="Z44" s="11">
        <f t="array" ref="Z44">XLOOKUP(A:A,'Raw Revenue'!I:I,'Raw Revenue'!J:J,0)</f>
        <v>0</v>
      </c>
      <c r="AA44" s="11">
        <f t="array" ref="AA44">XLOOKUP(A:A,'Raw Revenue'!K:K,'Raw Revenue'!L:L,0)</f>
        <v>0</v>
      </c>
      <c r="AB44" s="11">
        <f t="array" ref="AB44">XLOOKUP(A:A,'Raw Revenue'!M:M,'Raw Revenue'!N:N,0)</f>
        <v>0</v>
      </c>
      <c r="AC44" s="3">
        <v>0.0</v>
      </c>
      <c r="AD44" s="3">
        <v>0.0</v>
      </c>
      <c r="AE44" s="3">
        <v>0.0</v>
      </c>
      <c r="AF44" s="3">
        <v>0.0</v>
      </c>
      <c r="AG44" s="3">
        <v>0.0</v>
      </c>
    </row>
    <row r="45">
      <c r="A45" s="3" t="s">
        <v>349</v>
      </c>
      <c r="B45" s="3" t="s">
        <v>350</v>
      </c>
      <c r="C45" s="3" t="str">
        <f t="shared" si="1"/>
        <v>PT. Bakti Indonesia</v>
      </c>
      <c r="D45" s="3" t="s">
        <v>195</v>
      </c>
      <c r="E45" s="3" t="s">
        <v>215</v>
      </c>
      <c r="F45" s="3" t="s">
        <v>216</v>
      </c>
      <c r="G45" s="3" t="s">
        <v>53</v>
      </c>
      <c r="H45" s="3" t="str">
        <f t="array" ref="H45">XLOOKUP(G:G,'Account Manager Data'!A:A,'Account Manager Data'!B:B,0)</f>
        <v>Fajar Ramadhan</v>
      </c>
      <c r="I45" s="11" t="str">
        <f t="array" ref="I45">XLOOKUP($G:$G,'Account Manager Data'!$A:$A,'Account Manager Data'!C:C)</f>
        <v>Sulawesi</v>
      </c>
      <c r="J45" s="17">
        <v>581729.0</v>
      </c>
      <c r="K45" s="17">
        <v>3521275.0</v>
      </c>
      <c r="L45" s="17">
        <v>6347186.0</v>
      </c>
      <c r="M45" s="17">
        <v>2689452.0</v>
      </c>
      <c r="N45" s="17">
        <v>8819857.0</v>
      </c>
      <c r="O45" s="17">
        <v>1.167713E7</v>
      </c>
      <c r="P45" s="17">
        <v>7193046.0</v>
      </c>
      <c r="Q45" s="17">
        <v>1.0129949E7</v>
      </c>
      <c r="R45" s="17">
        <v>8581922.0</v>
      </c>
      <c r="S45" s="17">
        <v>1.2021174E7</v>
      </c>
      <c r="T45" s="17">
        <v>0.0</v>
      </c>
      <c r="U45" s="17">
        <v>9273272.0</v>
      </c>
      <c r="V45" s="11">
        <f t="array" ref="V45">XLOOKUP(A:A,'Raw Revenue'!A:A,'Raw Revenue'!B:B,0)
</f>
        <v>0</v>
      </c>
      <c r="W45" s="11">
        <f t="array" ref="W45">XLOOKUP(A:A,'Raw Revenue'!C:C,'Raw Revenue'!D:D,0)</f>
        <v>0</v>
      </c>
      <c r="X45" s="11">
        <f t="array" ref="X45">XLOOKUP(A:A,'Raw Revenue'!E:E,'Raw Revenue'!F:F,0)</f>
        <v>0</v>
      </c>
      <c r="Y45" s="11">
        <f t="array" ref="Y45">XLOOKUP(A:A,'Raw Revenue'!G:G,'Raw Revenue'!H:H,0)</f>
        <v>0</v>
      </c>
      <c r="Z45" s="11">
        <f t="array" ref="Z45">XLOOKUP(A:A,'Raw Revenue'!I:I,'Raw Revenue'!J:J,0)</f>
        <v>0</v>
      </c>
      <c r="AA45" s="11">
        <f t="array" ref="AA45">XLOOKUP(A:A,'Raw Revenue'!K:K,'Raw Revenue'!L:L,0)</f>
        <v>0</v>
      </c>
      <c r="AB45" s="11">
        <f t="array" ref="AB45">XLOOKUP(A:A,'Raw Revenue'!M:M,'Raw Revenue'!N:N,0)</f>
        <v>0</v>
      </c>
      <c r="AC45" s="3">
        <v>0.0</v>
      </c>
      <c r="AD45" s="3">
        <v>0.0</v>
      </c>
      <c r="AE45" s="3">
        <v>0.0</v>
      </c>
      <c r="AF45" s="3">
        <v>0.0</v>
      </c>
      <c r="AG45" s="3">
        <v>0.0</v>
      </c>
    </row>
    <row r="46">
      <c r="A46" s="3" t="s">
        <v>351</v>
      </c>
      <c r="B46" s="3" t="s">
        <v>352</v>
      </c>
      <c r="C46" s="3" t="str">
        <f t="shared" si="1"/>
        <v>CV. Amanah Sejahtera</v>
      </c>
      <c r="D46" s="3" t="s">
        <v>84</v>
      </c>
      <c r="E46" s="3" t="s">
        <v>215</v>
      </c>
      <c r="F46" s="3" t="s">
        <v>216</v>
      </c>
      <c r="G46" s="3" t="s">
        <v>78</v>
      </c>
      <c r="H46" s="3" t="str">
        <f t="array" ref="H46">XLOOKUP(G:G,'Account Manager Data'!A:A,'Account Manager Data'!B:B,0)</f>
        <v>Ilham Saputra</v>
      </c>
      <c r="I46" s="11" t="str">
        <f t="array" ref="I46">XLOOKUP($G:$G,'Account Manager Data'!$A:$A,'Account Manager Data'!C:C)</f>
        <v>Jawa</v>
      </c>
      <c r="J46" s="17">
        <v>4314345.0</v>
      </c>
      <c r="K46" s="17">
        <v>2386425.0</v>
      </c>
      <c r="L46" s="17">
        <v>2993383.0</v>
      </c>
      <c r="M46" s="17">
        <v>1120091.0</v>
      </c>
      <c r="N46" s="17">
        <v>0.0</v>
      </c>
      <c r="O46" s="17">
        <v>4055695.0</v>
      </c>
      <c r="P46" s="17">
        <v>2147511.0</v>
      </c>
      <c r="Q46" s="17">
        <v>1129387.0</v>
      </c>
      <c r="R46" s="17">
        <v>9205728.0</v>
      </c>
      <c r="S46" s="17">
        <v>3566957.0</v>
      </c>
      <c r="T46" s="17">
        <v>1.1069694E7</v>
      </c>
      <c r="U46" s="17">
        <v>6306050.0</v>
      </c>
      <c r="V46" s="11">
        <f t="array" ref="V46">XLOOKUP(A:A,'Raw Revenue'!A:A,'Raw Revenue'!B:B,0)
</f>
        <v>0</v>
      </c>
      <c r="W46" s="11">
        <f t="array" ref="W46">XLOOKUP(A:A,'Raw Revenue'!C:C,'Raw Revenue'!D:D,0)</f>
        <v>0</v>
      </c>
      <c r="X46" s="11">
        <f t="array" ref="X46">XLOOKUP(A:A,'Raw Revenue'!E:E,'Raw Revenue'!F:F,0)</f>
        <v>0</v>
      </c>
      <c r="Y46" s="11">
        <f t="array" ref="Y46">XLOOKUP(A:A,'Raw Revenue'!G:G,'Raw Revenue'!H:H,0)</f>
        <v>0</v>
      </c>
      <c r="Z46" s="11">
        <f t="array" ref="Z46">XLOOKUP(A:A,'Raw Revenue'!I:I,'Raw Revenue'!J:J,0)</f>
        <v>0</v>
      </c>
      <c r="AA46" s="11">
        <f t="array" ref="AA46">XLOOKUP(A:A,'Raw Revenue'!K:K,'Raw Revenue'!L:L,0)</f>
        <v>0</v>
      </c>
      <c r="AB46" s="11">
        <f t="array" ref="AB46">XLOOKUP(A:A,'Raw Revenue'!M:M,'Raw Revenue'!N:N,0)</f>
        <v>0</v>
      </c>
      <c r="AC46" s="3">
        <v>0.0</v>
      </c>
      <c r="AD46" s="3">
        <v>0.0</v>
      </c>
      <c r="AE46" s="3">
        <v>0.0</v>
      </c>
      <c r="AF46" s="3">
        <v>0.0</v>
      </c>
      <c r="AG46" s="3">
        <v>0.0</v>
      </c>
    </row>
    <row r="47">
      <c r="A47" s="3" t="s">
        <v>353</v>
      </c>
      <c r="B47" s="3" t="s">
        <v>354</v>
      </c>
      <c r="C47" s="3" t="str">
        <f t="shared" si="1"/>
        <v>PT. Digital Solusi Pratama</v>
      </c>
      <c r="D47" s="3" t="s">
        <v>214</v>
      </c>
      <c r="E47" s="3" t="s">
        <v>215</v>
      </c>
      <c r="F47" s="3" t="s">
        <v>216</v>
      </c>
      <c r="G47" s="3" t="s">
        <v>63</v>
      </c>
      <c r="H47" s="3" t="str">
        <f t="array" ref="H47">XLOOKUP(G:G,'Account Manager Data'!A:A,'Account Manager Data'!B:B,0)</f>
        <v>Hendra Gunawan</v>
      </c>
      <c r="I47" s="11" t="str">
        <f t="array" ref="I47">XLOOKUP($G:$G,'Account Manager Data'!$A:$A,'Account Manager Data'!C:C)</f>
        <v>Kalimantan</v>
      </c>
      <c r="J47" s="17">
        <v>6386432.0</v>
      </c>
      <c r="K47" s="17">
        <v>6364452.0</v>
      </c>
      <c r="L47" s="17">
        <v>1006534.0</v>
      </c>
      <c r="M47" s="17">
        <v>0.0</v>
      </c>
      <c r="N47" s="17">
        <v>8412209.0</v>
      </c>
      <c r="O47" s="17">
        <v>1.3136755E7</v>
      </c>
      <c r="P47" s="17">
        <v>1.2404947E7</v>
      </c>
      <c r="Q47" s="17">
        <v>1.5150523E7</v>
      </c>
      <c r="R47" s="17">
        <v>4031570.0</v>
      </c>
      <c r="S47" s="17">
        <v>1.5663715E7</v>
      </c>
      <c r="T47" s="17">
        <v>0.0</v>
      </c>
      <c r="U47" s="17">
        <v>807221.0</v>
      </c>
      <c r="V47" s="11">
        <f t="array" ref="V47">XLOOKUP(A:A,'Raw Revenue'!A:A,'Raw Revenue'!B:B,0)
</f>
        <v>0</v>
      </c>
      <c r="W47" s="11">
        <f t="array" ref="W47">XLOOKUP(A:A,'Raw Revenue'!C:C,'Raw Revenue'!D:D,0)</f>
        <v>0</v>
      </c>
      <c r="X47" s="11">
        <f t="array" ref="X47">XLOOKUP(A:A,'Raw Revenue'!E:E,'Raw Revenue'!F:F,0)</f>
        <v>0</v>
      </c>
      <c r="Y47" s="11">
        <f t="array" ref="Y47">XLOOKUP(A:A,'Raw Revenue'!G:G,'Raw Revenue'!H:H,0)</f>
        <v>0</v>
      </c>
      <c r="Z47" s="11">
        <f t="array" ref="Z47">XLOOKUP(A:A,'Raw Revenue'!I:I,'Raw Revenue'!J:J,0)</f>
        <v>0</v>
      </c>
      <c r="AA47" s="11">
        <f t="array" ref="AA47">XLOOKUP(A:A,'Raw Revenue'!K:K,'Raw Revenue'!L:L,0)</f>
        <v>0</v>
      </c>
      <c r="AB47" s="11">
        <f t="array" ref="AB47">XLOOKUP(A:A,'Raw Revenue'!M:M,'Raw Revenue'!N:N,0)</f>
        <v>0</v>
      </c>
      <c r="AC47" s="3">
        <v>0.0</v>
      </c>
      <c r="AD47" s="3">
        <v>0.0</v>
      </c>
      <c r="AE47" s="3">
        <v>0.0</v>
      </c>
      <c r="AF47" s="3">
        <v>0.0</v>
      </c>
      <c r="AG47" s="3">
        <v>0.0</v>
      </c>
    </row>
    <row r="48">
      <c r="A48" s="3" t="s">
        <v>355</v>
      </c>
      <c r="B48" s="3" t="s">
        <v>356</v>
      </c>
      <c r="C48" s="3" t="str">
        <f t="shared" si="1"/>
        <v>PT. Global Niaga Abadi</v>
      </c>
      <c r="D48" s="3" t="s">
        <v>130</v>
      </c>
      <c r="E48" s="3" t="s">
        <v>104</v>
      </c>
      <c r="F48" s="3" t="s">
        <v>252</v>
      </c>
      <c r="G48" s="3" t="s">
        <v>35</v>
      </c>
      <c r="H48" s="3" t="str">
        <f t="array" ref="H48">XLOOKUP(G:G,'Account Manager Data'!A:A,'Account Manager Data'!B:B,0)</f>
        <v>Ahmad Fauzi</v>
      </c>
      <c r="I48" s="11" t="str">
        <f t="array" ref="I48">XLOOKUP($G:$G,'Account Manager Data'!$A:$A,'Account Manager Data'!C:C)</f>
        <v>Sumatera</v>
      </c>
      <c r="J48" s="17">
        <v>2197307.0</v>
      </c>
      <c r="K48" s="17">
        <v>5997808.0</v>
      </c>
      <c r="L48" s="17">
        <v>0.0</v>
      </c>
      <c r="M48" s="17">
        <v>2536203.0</v>
      </c>
      <c r="N48" s="17">
        <v>3868668.0</v>
      </c>
      <c r="O48" s="17">
        <v>7879881.0</v>
      </c>
      <c r="P48" s="17">
        <v>1.3903456E7</v>
      </c>
      <c r="Q48" s="17">
        <v>7118990.0</v>
      </c>
      <c r="R48" s="17">
        <v>3719788.0</v>
      </c>
      <c r="S48" s="17">
        <v>3365162.0</v>
      </c>
      <c r="T48" s="17">
        <v>0.0</v>
      </c>
      <c r="U48" s="17">
        <v>75438.0</v>
      </c>
      <c r="V48" s="11">
        <f t="array" ref="V48">XLOOKUP(A:A,'Raw Revenue'!A:A,'Raw Revenue'!B:B,0)
</f>
        <v>0</v>
      </c>
      <c r="W48" s="11">
        <f t="array" ref="W48">XLOOKUP(A:A,'Raw Revenue'!C:C,'Raw Revenue'!D:D,0)</f>
        <v>0</v>
      </c>
      <c r="X48" s="11">
        <f t="array" ref="X48">XLOOKUP(A:A,'Raw Revenue'!E:E,'Raw Revenue'!F:F,0)</f>
        <v>0</v>
      </c>
      <c r="Y48" s="11">
        <f t="array" ref="Y48">XLOOKUP(A:A,'Raw Revenue'!G:G,'Raw Revenue'!H:H,0)</f>
        <v>0</v>
      </c>
      <c r="Z48" s="11">
        <f t="array" ref="Z48">XLOOKUP(A:A,'Raw Revenue'!I:I,'Raw Revenue'!J:J,0)</f>
        <v>0</v>
      </c>
      <c r="AA48" s="11">
        <f t="array" ref="AA48">XLOOKUP(A:A,'Raw Revenue'!K:K,'Raw Revenue'!L:L,0)</f>
        <v>0</v>
      </c>
      <c r="AB48" s="11">
        <f t="array" ref="AB48">XLOOKUP(A:A,'Raw Revenue'!M:M,'Raw Revenue'!N:N,0)</f>
        <v>0</v>
      </c>
      <c r="AC48" s="3">
        <v>0.0</v>
      </c>
      <c r="AD48" s="3">
        <v>0.0</v>
      </c>
      <c r="AE48" s="3">
        <v>0.0</v>
      </c>
      <c r="AF48" s="3">
        <v>0.0</v>
      </c>
      <c r="AG48" s="3">
        <v>0.0</v>
      </c>
    </row>
    <row r="49">
      <c r="A49" s="3" t="s">
        <v>357</v>
      </c>
      <c r="B49" s="3" t="s">
        <v>358</v>
      </c>
      <c r="C49" s="3" t="str">
        <f t="shared" si="1"/>
        <v>PT. Indo Makmur Sentosa</v>
      </c>
      <c r="D49" s="3" t="s">
        <v>130</v>
      </c>
      <c r="E49" s="3" t="s">
        <v>196</v>
      </c>
      <c r="F49" s="3" t="s">
        <v>260</v>
      </c>
      <c r="G49" s="3" t="s">
        <v>74</v>
      </c>
      <c r="H49" s="3" t="str">
        <f t="array" ref="H49">XLOOKUP(G:G,'Account Manager Data'!A:A,'Account Manager Data'!B:B,0)</f>
        <v>Budi Santoso</v>
      </c>
      <c r="I49" s="11" t="str">
        <f t="array" ref="I49">XLOOKUP($G:$G,'Account Manager Data'!$A:$A,'Account Manager Data'!C:C)</f>
        <v>Papua</v>
      </c>
      <c r="J49" s="17">
        <v>6239161.0</v>
      </c>
      <c r="K49" s="17">
        <v>2943815.0</v>
      </c>
      <c r="L49" s="17">
        <v>1.0464775E7</v>
      </c>
      <c r="M49" s="17">
        <v>8752144.0</v>
      </c>
      <c r="N49" s="17">
        <v>3812882.0</v>
      </c>
      <c r="O49" s="17">
        <v>0.0</v>
      </c>
      <c r="P49" s="17">
        <v>2019646.0</v>
      </c>
      <c r="Q49" s="17">
        <v>1.1755538E7</v>
      </c>
      <c r="R49" s="17">
        <v>2478091.0</v>
      </c>
      <c r="S49" s="17">
        <v>9418744.0</v>
      </c>
      <c r="T49" s="17">
        <v>1613548.0</v>
      </c>
      <c r="U49" s="17">
        <v>1.8931162E7</v>
      </c>
      <c r="V49" s="11">
        <f t="array" ref="V49">XLOOKUP(A:A,'Raw Revenue'!A:A,'Raw Revenue'!B:B,0)
</f>
        <v>0</v>
      </c>
      <c r="W49" s="11">
        <f t="array" ref="W49">XLOOKUP(A:A,'Raw Revenue'!C:C,'Raw Revenue'!D:D,0)</f>
        <v>0</v>
      </c>
      <c r="X49" s="11">
        <f t="array" ref="X49">XLOOKUP(A:A,'Raw Revenue'!E:E,'Raw Revenue'!F:F,0)</f>
        <v>0</v>
      </c>
      <c r="Y49" s="11">
        <f t="array" ref="Y49">XLOOKUP(A:A,'Raw Revenue'!G:G,'Raw Revenue'!H:H,0)</f>
        <v>0</v>
      </c>
      <c r="Z49" s="11">
        <f t="array" ref="Z49">XLOOKUP(A:A,'Raw Revenue'!I:I,'Raw Revenue'!J:J,0)</f>
        <v>0</v>
      </c>
      <c r="AA49" s="11">
        <f t="array" ref="AA49">XLOOKUP(A:A,'Raw Revenue'!K:K,'Raw Revenue'!L:L,0)</f>
        <v>0</v>
      </c>
      <c r="AB49" s="11">
        <f t="array" ref="AB49">XLOOKUP(A:A,'Raw Revenue'!M:M,'Raw Revenue'!N:N,0)</f>
        <v>0</v>
      </c>
      <c r="AC49" s="3">
        <v>0.0</v>
      </c>
      <c r="AD49" s="3">
        <v>0.0</v>
      </c>
      <c r="AE49" s="3">
        <v>0.0</v>
      </c>
      <c r="AF49" s="3">
        <v>0.0</v>
      </c>
      <c r="AG49" s="3">
        <v>0.0</v>
      </c>
    </row>
    <row r="50">
      <c r="A50" s="3" t="s">
        <v>359</v>
      </c>
      <c r="B50" s="3" t="s">
        <v>360</v>
      </c>
      <c r="C50" s="3" t="str">
        <f t="shared" si="1"/>
        <v>PT. Citra Mandiri Utama</v>
      </c>
      <c r="D50" s="3" t="s">
        <v>130</v>
      </c>
      <c r="E50" s="3" t="s">
        <v>85</v>
      </c>
      <c r="F50" s="3" t="s">
        <v>86</v>
      </c>
      <c r="G50" s="3" t="s">
        <v>43</v>
      </c>
      <c r="H50" s="3" t="str">
        <f t="array" ref="H50">XLOOKUP(G:G,'Account Manager Data'!A:A,'Account Manager Data'!B:B,0)</f>
        <v>Eko Prasetyo</v>
      </c>
      <c r="I50" s="11" t="str">
        <f t="array" ref="I50">XLOOKUP($G:$G,'Account Manager Data'!$A:$A,'Account Manager Data'!C:C)</f>
        <v>Papua</v>
      </c>
      <c r="J50" s="17">
        <v>2394688.0</v>
      </c>
      <c r="K50" s="17">
        <v>8806304.0</v>
      </c>
      <c r="L50" s="17">
        <v>7615017.0</v>
      </c>
      <c r="M50" s="17">
        <v>89622.0</v>
      </c>
      <c r="N50" s="17">
        <v>0.0</v>
      </c>
      <c r="O50" s="17">
        <v>432385.0</v>
      </c>
      <c r="P50" s="17">
        <v>4068378.0</v>
      </c>
      <c r="Q50" s="17">
        <v>1354321.0</v>
      </c>
      <c r="R50" s="17">
        <v>9532987.0</v>
      </c>
      <c r="S50" s="17">
        <v>1447260.0</v>
      </c>
      <c r="T50" s="17">
        <v>4400217.0</v>
      </c>
      <c r="U50" s="17">
        <v>1.0984331E7</v>
      </c>
      <c r="V50" s="11">
        <f t="array" ref="V50">XLOOKUP(A:A,'Raw Revenue'!A:A,'Raw Revenue'!B:B,0)
</f>
        <v>0</v>
      </c>
      <c r="W50" s="11">
        <f t="array" ref="W50">XLOOKUP(A:A,'Raw Revenue'!C:C,'Raw Revenue'!D:D,0)</f>
        <v>0</v>
      </c>
      <c r="X50" s="11">
        <f t="array" ref="X50">XLOOKUP(A:A,'Raw Revenue'!E:E,'Raw Revenue'!F:F,0)</f>
        <v>0</v>
      </c>
      <c r="Y50" s="11">
        <f t="array" ref="Y50">XLOOKUP(A:A,'Raw Revenue'!G:G,'Raw Revenue'!H:H,0)</f>
        <v>0</v>
      </c>
      <c r="Z50" s="11">
        <f t="array" ref="Z50">XLOOKUP(A:A,'Raw Revenue'!I:I,'Raw Revenue'!J:J,0)</f>
        <v>0</v>
      </c>
      <c r="AA50" s="11">
        <f t="array" ref="AA50">XLOOKUP(A:A,'Raw Revenue'!K:K,'Raw Revenue'!L:L,0)</f>
        <v>0</v>
      </c>
      <c r="AB50" s="11">
        <f t="array" ref="AB50">XLOOKUP(A:A,'Raw Revenue'!M:M,'Raw Revenue'!N:N,0)</f>
        <v>0</v>
      </c>
      <c r="AC50" s="3">
        <v>0.0</v>
      </c>
      <c r="AD50" s="3">
        <v>0.0</v>
      </c>
      <c r="AE50" s="3">
        <v>0.0</v>
      </c>
      <c r="AF50" s="3">
        <v>0.0</v>
      </c>
      <c r="AG50" s="3">
        <v>0.0</v>
      </c>
    </row>
    <row r="51">
      <c r="A51" s="3" t="s">
        <v>361</v>
      </c>
      <c r="B51" s="3" t="s">
        <v>362</v>
      </c>
      <c r="C51" s="3" t="str">
        <f t="shared" si="1"/>
        <v>PT. Sinar Dunia Baru</v>
      </c>
      <c r="D51" s="3" t="s">
        <v>130</v>
      </c>
      <c r="E51" s="3" t="s">
        <v>187</v>
      </c>
      <c r="F51" s="3" t="s">
        <v>295</v>
      </c>
      <c r="G51" s="3" t="s">
        <v>76</v>
      </c>
      <c r="H51" s="3" t="str">
        <f t="array" ref="H51">XLOOKUP(G:G,'Account Manager Data'!A:A,'Account Manager Data'!B:B,0)</f>
        <v>Teguh Wijaya</v>
      </c>
      <c r="I51" s="11" t="str">
        <f t="array" ref="I51">XLOOKUP($G:$G,'Account Manager Data'!$A:$A,'Account Manager Data'!C:C)</f>
        <v>Sulawesi</v>
      </c>
      <c r="J51" s="17">
        <v>3070849.0</v>
      </c>
      <c r="K51" s="17">
        <v>2740376.0</v>
      </c>
      <c r="L51" s="17">
        <v>8265336.0</v>
      </c>
      <c r="M51" s="17">
        <v>1.0119998E7</v>
      </c>
      <c r="N51" s="17">
        <v>7456742.0</v>
      </c>
      <c r="O51" s="17">
        <v>5056718.0</v>
      </c>
      <c r="P51" s="17">
        <v>1.5715357E7</v>
      </c>
      <c r="Q51" s="17">
        <v>9510685.0</v>
      </c>
      <c r="R51" s="17">
        <v>2636103.0</v>
      </c>
      <c r="S51" s="17">
        <v>7478024.0</v>
      </c>
      <c r="T51" s="17">
        <v>1.0305188E7</v>
      </c>
      <c r="U51" s="17">
        <v>1.1401041E7</v>
      </c>
      <c r="V51" s="11">
        <f t="array" ref="V51">XLOOKUP(A:A,'Raw Revenue'!A:A,'Raw Revenue'!B:B,0)
</f>
        <v>0</v>
      </c>
      <c r="W51" s="11">
        <f t="array" ref="W51">XLOOKUP(A:A,'Raw Revenue'!C:C,'Raw Revenue'!D:D,0)</f>
        <v>0</v>
      </c>
      <c r="X51" s="11">
        <f t="array" ref="X51">XLOOKUP(A:A,'Raw Revenue'!E:E,'Raw Revenue'!F:F,0)</f>
        <v>0</v>
      </c>
      <c r="Y51" s="11">
        <f t="array" ref="Y51">XLOOKUP(A:A,'Raw Revenue'!G:G,'Raw Revenue'!H:H,0)</f>
        <v>0</v>
      </c>
      <c r="Z51" s="11">
        <f t="array" ref="Z51">XLOOKUP(A:A,'Raw Revenue'!I:I,'Raw Revenue'!J:J,0)</f>
        <v>0</v>
      </c>
      <c r="AA51" s="11">
        <f t="array" ref="AA51">XLOOKUP(A:A,'Raw Revenue'!K:K,'Raw Revenue'!L:L,0)</f>
        <v>0</v>
      </c>
      <c r="AB51" s="11">
        <f t="array" ref="AB51">XLOOKUP(A:A,'Raw Revenue'!M:M,'Raw Revenue'!N:N,0)</f>
        <v>0</v>
      </c>
      <c r="AC51" s="3">
        <v>0.0</v>
      </c>
      <c r="AD51" s="3">
        <v>0.0</v>
      </c>
      <c r="AE51" s="3">
        <v>0.0</v>
      </c>
      <c r="AF51" s="3">
        <v>0.0</v>
      </c>
      <c r="AG51" s="3">
        <v>0.0</v>
      </c>
    </row>
    <row r="52">
      <c r="A52" s="3" t="s">
        <v>363</v>
      </c>
      <c r="B52" s="3" t="s">
        <v>364</v>
      </c>
      <c r="C52" s="3" t="str">
        <f t="shared" si="1"/>
        <v>CV. Karya Utama Mandiri</v>
      </c>
      <c r="D52" s="3" t="s">
        <v>214</v>
      </c>
      <c r="E52" s="3" t="s">
        <v>215</v>
      </c>
      <c r="F52" s="3" t="s">
        <v>300</v>
      </c>
      <c r="G52" s="3" t="s">
        <v>70</v>
      </c>
      <c r="H52" s="3" t="str">
        <f t="array" ref="H52">XLOOKUP(G:G,'Account Manager Data'!A:A,'Account Manager Data'!B:B,0)</f>
        <v>Yusuf Hidayat</v>
      </c>
      <c r="I52" s="11" t="str">
        <f t="array" ref="I52">XLOOKUP($G:$G,'Account Manager Data'!$A:$A,'Account Manager Data'!C:C)</f>
        <v>Sumatera</v>
      </c>
      <c r="J52" s="17">
        <v>2101565.0</v>
      </c>
      <c r="K52" s="17">
        <v>4208467.0</v>
      </c>
      <c r="L52" s="17">
        <v>5834478.0</v>
      </c>
      <c r="M52" s="17">
        <v>9745676.0</v>
      </c>
      <c r="N52" s="17">
        <v>8674041.0</v>
      </c>
      <c r="O52" s="17">
        <v>1012216.0</v>
      </c>
      <c r="P52" s="17">
        <v>0.0</v>
      </c>
      <c r="Q52" s="17">
        <v>1.3803474E7</v>
      </c>
      <c r="R52" s="17">
        <v>1.1325512E7</v>
      </c>
      <c r="S52" s="17">
        <v>2070960.0</v>
      </c>
      <c r="T52" s="17">
        <v>2932645.0</v>
      </c>
      <c r="U52" s="17">
        <v>5279481.0</v>
      </c>
      <c r="V52" s="11">
        <f t="array" ref="V52">XLOOKUP(A:A,'Raw Revenue'!A:A,'Raw Revenue'!B:B,0)
</f>
        <v>0</v>
      </c>
      <c r="W52" s="11">
        <f t="array" ref="W52">XLOOKUP(A:A,'Raw Revenue'!C:C,'Raw Revenue'!D:D,0)</f>
        <v>0</v>
      </c>
      <c r="X52" s="11">
        <f t="array" ref="X52">XLOOKUP(A:A,'Raw Revenue'!E:E,'Raw Revenue'!F:F,0)</f>
        <v>0</v>
      </c>
      <c r="Y52" s="11">
        <f t="array" ref="Y52">XLOOKUP(A:A,'Raw Revenue'!G:G,'Raw Revenue'!H:H,0)</f>
        <v>0</v>
      </c>
      <c r="Z52" s="11">
        <f t="array" ref="Z52">XLOOKUP(A:A,'Raw Revenue'!I:I,'Raw Revenue'!J:J,0)</f>
        <v>0</v>
      </c>
      <c r="AA52" s="11">
        <f t="array" ref="AA52">XLOOKUP(A:A,'Raw Revenue'!K:K,'Raw Revenue'!L:L,0)</f>
        <v>0</v>
      </c>
      <c r="AB52" s="11">
        <f t="array" ref="AB52">XLOOKUP(A:A,'Raw Revenue'!M:M,'Raw Revenue'!N:N,0)</f>
        <v>0</v>
      </c>
      <c r="AC52" s="3">
        <v>0.0</v>
      </c>
      <c r="AD52" s="3">
        <v>0.0</v>
      </c>
      <c r="AE52" s="3">
        <v>0.0</v>
      </c>
      <c r="AF52" s="3">
        <v>0.0</v>
      </c>
      <c r="AG52" s="3">
        <v>0.0</v>
      </c>
    </row>
    <row r="53">
      <c r="A53" s="3" t="s">
        <v>365</v>
      </c>
      <c r="B53" s="3" t="s">
        <v>366</v>
      </c>
      <c r="C53" s="3" t="str">
        <f t="shared" si="1"/>
        <v>PT. Pratama Jaya Sentosa</v>
      </c>
      <c r="D53" s="3" t="s">
        <v>186</v>
      </c>
      <c r="E53" s="3" t="s">
        <v>196</v>
      </c>
      <c r="F53" s="3" t="s">
        <v>197</v>
      </c>
      <c r="G53" s="3" t="s">
        <v>15</v>
      </c>
      <c r="H53" s="3" t="str">
        <f t="array" ref="H53">XLOOKUP(G:G,'Account Manager Data'!A:A,'Account Manager Data'!B:B,0)</f>
        <v>Rizky Maulana</v>
      </c>
      <c r="I53" s="11" t="str">
        <f t="array" ref="I53">XLOOKUP($G:$G,'Account Manager Data'!$A:$A,'Account Manager Data'!C:C)</f>
        <v>Jawa</v>
      </c>
      <c r="J53" s="17">
        <v>139946.0</v>
      </c>
      <c r="K53" s="17">
        <v>1287617.0</v>
      </c>
      <c r="L53" s="17">
        <v>4985549.0</v>
      </c>
      <c r="M53" s="17">
        <v>6252453.0</v>
      </c>
      <c r="N53" s="17">
        <v>4043973.0</v>
      </c>
      <c r="O53" s="17">
        <v>9615624.0</v>
      </c>
      <c r="P53" s="17">
        <v>1.5616332E7</v>
      </c>
      <c r="Q53" s="17">
        <v>1483432.0</v>
      </c>
      <c r="R53" s="17">
        <v>1.1018192E7</v>
      </c>
      <c r="S53" s="17">
        <v>1.1948071E7</v>
      </c>
      <c r="T53" s="17">
        <v>410231.0</v>
      </c>
      <c r="U53" s="17">
        <v>1.2929758E7</v>
      </c>
      <c r="V53" s="11">
        <f t="array" ref="V53">XLOOKUP(A:A,'Raw Revenue'!A:A,'Raw Revenue'!B:B,0)
</f>
        <v>0</v>
      </c>
      <c r="W53" s="11">
        <f t="array" ref="W53">XLOOKUP(A:A,'Raw Revenue'!C:C,'Raw Revenue'!D:D,0)</f>
        <v>0</v>
      </c>
      <c r="X53" s="11">
        <f t="array" ref="X53">XLOOKUP(A:A,'Raw Revenue'!E:E,'Raw Revenue'!F:F,0)</f>
        <v>0</v>
      </c>
      <c r="Y53" s="11">
        <f t="array" ref="Y53">XLOOKUP(A:A,'Raw Revenue'!G:G,'Raw Revenue'!H:H,0)</f>
        <v>0</v>
      </c>
      <c r="Z53" s="11">
        <f t="array" ref="Z53">XLOOKUP(A:A,'Raw Revenue'!I:I,'Raw Revenue'!J:J,0)</f>
        <v>0</v>
      </c>
      <c r="AA53" s="11">
        <f t="array" ref="AA53">XLOOKUP(A:A,'Raw Revenue'!K:K,'Raw Revenue'!L:L,0)</f>
        <v>0</v>
      </c>
      <c r="AB53" s="11">
        <f t="array" ref="AB53">XLOOKUP(A:A,'Raw Revenue'!M:M,'Raw Revenue'!N:N,0)</f>
        <v>0</v>
      </c>
      <c r="AC53" s="3">
        <v>0.0</v>
      </c>
      <c r="AD53" s="3">
        <v>0.0</v>
      </c>
      <c r="AE53" s="3">
        <v>0.0</v>
      </c>
      <c r="AF53" s="3">
        <v>0.0</v>
      </c>
      <c r="AG53" s="3">
        <v>0.0</v>
      </c>
    </row>
    <row r="54">
      <c r="A54" s="3" t="s">
        <v>367</v>
      </c>
      <c r="B54" s="3" t="s">
        <v>368</v>
      </c>
      <c r="C54" s="3" t="str">
        <f t="shared" si="1"/>
        <v>PT. Abadi Selamanya Jaya</v>
      </c>
      <c r="D54" s="3" t="s">
        <v>195</v>
      </c>
      <c r="E54" s="3" t="s">
        <v>196</v>
      </c>
      <c r="F54" s="3" t="s">
        <v>260</v>
      </c>
      <c r="G54" s="3" t="s">
        <v>27</v>
      </c>
      <c r="H54" s="3" t="str">
        <f t="array" ref="H54">XLOOKUP(G:G,'Account Manager Data'!A:A,'Account Manager Data'!B:B,0)</f>
        <v>Dedi Kurniawan</v>
      </c>
      <c r="I54" s="11" t="str">
        <f t="array" ref="I54">XLOOKUP($G:$G,'Account Manager Data'!$A:$A,'Account Manager Data'!C:C)</f>
        <v>Kalimantan</v>
      </c>
      <c r="J54" s="17">
        <v>421572.0</v>
      </c>
      <c r="K54" s="17">
        <v>1377362.0</v>
      </c>
      <c r="L54" s="17">
        <v>161692.0</v>
      </c>
      <c r="M54" s="17">
        <v>3267139.0</v>
      </c>
      <c r="N54" s="17">
        <v>3351092.0</v>
      </c>
      <c r="O54" s="17">
        <v>6101682.0</v>
      </c>
      <c r="P54" s="17">
        <v>1.1838119E7</v>
      </c>
      <c r="Q54" s="17">
        <v>4011452.0</v>
      </c>
      <c r="R54" s="17">
        <v>166635.0</v>
      </c>
      <c r="S54" s="17">
        <v>1252180.0</v>
      </c>
      <c r="T54" s="17">
        <v>8650557.0</v>
      </c>
      <c r="U54" s="17">
        <v>7570611.0</v>
      </c>
      <c r="V54" s="11">
        <f t="array" ref="V54">XLOOKUP(A:A,'Raw Revenue'!A:A,'Raw Revenue'!B:B,0)
</f>
        <v>0</v>
      </c>
      <c r="W54" s="11">
        <f t="array" ref="W54">XLOOKUP(A:A,'Raw Revenue'!C:C,'Raw Revenue'!D:D,0)</f>
        <v>0</v>
      </c>
      <c r="X54" s="11">
        <f t="array" ref="X54">XLOOKUP(A:A,'Raw Revenue'!E:E,'Raw Revenue'!F:F,0)</f>
        <v>0</v>
      </c>
      <c r="Y54" s="11">
        <f t="array" ref="Y54">XLOOKUP(A:A,'Raw Revenue'!G:G,'Raw Revenue'!H:H,0)</f>
        <v>0</v>
      </c>
      <c r="Z54" s="11">
        <f t="array" ref="Z54">XLOOKUP(A:A,'Raw Revenue'!I:I,'Raw Revenue'!J:J,0)</f>
        <v>0</v>
      </c>
      <c r="AA54" s="11">
        <f t="array" ref="AA54">XLOOKUP(A:A,'Raw Revenue'!K:K,'Raw Revenue'!L:L,0)</f>
        <v>0</v>
      </c>
      <c r="AB54" s="11">
        <f t="array" ref="AB54">XLOOKUP(A:A,'Raw Revenue'!M:M,'Raw Revenue'!N:N,0)</f>
        <v>0</v>
      </c>
      <c r="AC54" s="3">
        <v>0.0</v>
      </c>
      <c r="AD54" s="3">
        <v>0.0</v>
      </c>
      <c r="AE54" s="3">
        <v>0.0</v>
      </c>
      <c r="AF54" s="3">
        <v>0.0</v>
      </c>
      <c r="AG54" s="3">
        <v>0.0</v>
      </c>
    </row>
    <row r="55">
      <c r="A55" s="3" t="s">
        <v>371</v>
      </c>
      <c r="B55" s="3" t="s">
        <v>372</v>
      </c>
      <c r="C55" s="3" t="str">
        <f t="shared" si="1"/>
        <v>PT. Mandiri Sejahtera Bersama</v>
      </c>
      <c r="D55" s="3" t="s">
        <v>84</v>
      </c>
      <c r="E55" s="3" t="s">
        <v>215</v>
      </c>
      <c r="F55" s="3" t="s">
        <v>300</v>
      </c>
      <c r="G55" s="3" t="s">
        <v>78</v>
      </c>
      <c r="H55" s="3" t="str">
        <f t="array" ref="H55">XLOOKUP(G:G,'Account Manager Data'!A:A,'Account Manager Data'!B:B,0)</f>
        <v>Ilham Saputra</v>
      </c>
      <c r="I55" s="11" t="str">
        <f t="array" ref="I55">XLOOKUP($G:$G,'Account Manager Data'!$A:$A,'Account Manager Data'!C:C)</f>
        <v>Jawa</v>
      </c>
      <c r="J55" s="17">
        <v>7341660.0</v>
      </c>
      <c r="K55" s="17">
        <v>8854069.0</v>
      </c>
      <c r="L55" s="17">
        <v>6096380.0</v>
      </c>
      <c r="M55" s="17">
        <v>1389645.0</v>
      </c>
      <c r="N55" s="17">
        <v>6403243.0</v>
      </c>
      <c r="O55" s="17">
        <v>1.20988E7</v>
      </c>
      <c r="P55" s="17">
        <v>0.0</v>
      </c>
      <c r="Q55" s="17">
        <v>5300828.0</v>
      </c>
      <c r="R55" s="17">
        <v>7835935.0</v>
      </c>
      <c r="S55" s="17">
        <v>1.2042018E7</v>
      </c>
      <c r="T55" s="17">
        <v>3419066.0</v>
      </c>
      <c r="U55" s="17">
        <v>1.1070391E7</v>
      </c>
      <c r="V55" s="11">
        <f t="array" ref="V55">XLOOKUP(A:A,'Raw Revenue'!A:A,'Raw Revenue'!B:B,0)
</f>
        <v>0</v>
      </c>
      <c r="W55" s="11">
        <f t="array" ref="W55">XLOOKUP(A:A,'Raw Revenue'!C:C,'Raw Revenue'!D:D,0)</f>
        <v>0</v>
      </c>
      <c r="X55" s="11">
        <f t="array" ref="X55">XLOOKUP(A:A,'Raw Revenue'!E:E,'Raw Revenue'!F:F,0)</f>
        <v>0</v>
      </c>
      <c r="Y55" s="11">
        <f t="array" ref="Y55">XLOOKUP(A:A,'Raw Revenue'!G:G,'Raw Revenue'!H:H,0)</f>
        <v>0</v>
      </c>
      <c r="Z55" s="11">
        <f t="array" ref="Z55">XLOOKUP(A:A,'Raw Revenue'!I:I,'Raw Revenue'!J:J,0)</f>
        <v>0</v>
      </c>
      <c r="AA55" s="11">
        <f t="array" ref="AA55">XLOOKUP(A:A,'Raw Revenue'!K:K,'Raw Revenue'!L:L,0)</f>
        <v>0</v>
      </c>
      <c r="AB55" s="11">
        <f t="array" ref="AB55">XLOOKUP(A:A,'Raw Revenue'!M:M,'Raw Revenue'!N:N,0)</f>
        <v>0</v>
      </c>
      <c r="AC55" s="3">
        <v>0.0</v>
      </c>
      <c r="AD55" s="3">
        <v>0.0</v>
      </c>
      <c r="AE55" s="3">
        <v>0.0</v>
      </c>
      <c r="AF55" s="3">
        <v>0.0</v>
      </c>
      <c r="AG55" s="3">
        <v>0.0</v>
      </c>
    </row>
    <row r="56">
      <c r="A56" s="3" t="s">
        <v>375</v>
      </c>
      <c r="B56" s="3" t="s">
        <v>376</v>
      </c>
      <c r="C56" s="3" t="str">
        <f t="shared" si="1"/>
        <v>PT. Sejahtera Alam Indonesia</v>
      </c>
      <c r="D56" s="3" t="s">
        <v>84</v>
      </c>
      <c r="E56" s="3" t="s">
        <v>187</v>
      </c>
      <c r="F56" s="3" t="s">
        <v>269</v>
      </c>
      <c r="G56" s="3" t="s">
        <v>53</v>
      </c>
      <c r="H56" s="3" t="str">
        <f t="array" ref="H56">XLOOKUP(G:G,'Account Manager Data'!A:A,'Account Manager Data'!B:B,0)</f>
        <v>Fajar Ramadhan</v>
      </c>
      <c r="I56" s="11" t="str">
        <f t="array" ref="I56">XLOOKUP($G:$G,'Account Manager Data'!$A:$A,'Account Manager Data'!C:C)</f>
        <v>Sulawesi</v>
      </c>
      <c r="J56" s="17">
        <v>3976496.0</v>
      </c>
      <c r="K56" s="17">
        <v>8946770.0</v>
      </c>
      <c r="L56" s="17">
        <v>341026.0</v>
      </c>
      <c r="M56" s="17">
        <v>6786648.0</v>
      </c>
      <c r="N56" s="17">
        <v>1.0700486E7</v>
      </c>
      <c r="O56" s="17">
        <v>511973.0</v>
      </c>
      <c r="P56" s="17">
        <v>6606380.0</v>
      </c>
      <c r="Q56" s="17">
        <v>1.2891539E7</v>
      </c>
      <c r="R56" s="17">
        <v>8367047.0</v>
      </c>
      <c r="S56" s="17">
        <v>4231603.0</v>
      </c>
      <c r="T56" s="17">
        <v>3853771.0</v>
      </c>
      <c r="U56" s="17">
        <v>2995290.0</v>
      </c>
      <c r="V56" s="11">
        <f t="array" ref="V56">XLOOKUP(A:A,'Raw Revenue'!A:A,'Raw Revenue'!B:B,0)
</f>
        <v>0</v>
      </c>
      <c r="W56" s="11">
        <f t="array" ref="W56">XLOOKUP(A:A,'Raw Revenue'!C:C,'Raw Revenue'!D:D,0)</f>
        <v>0</v>
      </c>
      <c r="X56" s="11">
        <f t="array" ref="X56">XLOOKUP(A:A,'Raw Revenue'!E:E,'Raw Revenue'!F:F,0)</f>
        <v>0</v>
      </c>
      <c r="Y56" s="11">
        <f t="array" ref="Y56">XLOOKUP(A:A,'Raw Revenue'!G:G,'Raw Revenue'!H:H,0)</f>
        <v>0</v>
      </c>
      <c r="Z56" s="11">
        <f t="array" ref="Z56">XLOOKUP(A:A,'Raw Revenue'!I:I,'Raw Revenue'!J:J,0)</f>
        <v>0</v>
      </c>
      <c r="AA56" s="11">
        <f t="array" ref="AA56">XLOOKUP(A:A,'Raw Revenue'!K:K,'Raw Revenue'!L:L,0)</f>
        <v>0</v>
      </c>
      <c r="AB56" s="11">
        <f t="array" ref="AB56">XLOOKUP(A:A,'Raw Revenue'!M:M,'Raw Revenue'!N:N,0)</f>
        <v>0</v>
      </c>
      <c r="AC56" s="3">
        <v>0.0</v>
      </c>
      <c r="AD56" s="3">
        <v>0.0</v>
      </c>
      <c r="AE56" s="3">
        <v>0.0</v>
      </c>
      <c r="AF56" s="3">
        <v>0.0</v>
      </c>
      <c r="AG56" s="3">
        <v>0.0</v>
      </c>
    </row>
    <row r="57">
      <c r="A57" s="3" t="s">
        <v>378</v>
      </c>
      <c r="B57" s="3" t="s">
        <v>379</v>
      </c>
      <c r="C57" s="3" t="str">
        <f t="shared" si="1"/>
        <v>PT. Indah Kargo Logistik</v>
      </c>
      <c r="D57" s="3" t="s">
        <v>130</v>
      </c>
      <c r="E57" s="3" t="s">
        <v>215</v>
      </c>
      <c r="F57" s="3" t="s">
        <v>300</v>
      </c>
      <c r="G57" s="3" t="s">
        <v>63</v>
      </c>
      <c r="H57" s="3" t="str">
        <f t="array" ref="H57">XLOOKUP(G:G,'Account Manager Data'!A:A,'Account Manager Data'!B:B,0)</f>
        <v>Hendra Gunawan</v>
      </c>
      <c r="I57" s="11" t="str">
        <f t="array" ref="I57">XLOOKUP($G:$G,'Account Manager Data'!$A:$A,'Account Manager Data'!C:C)</f>
        <v>Kalimantan</v>
      </c>
      <c r="J57" s="17">
        <v>6347223.0</v>
      </c>
      <c r="K57" s="17">
        <v>5350014.0</v>
      </c>
      <c r="L57" s="17">
        <v>9005256.0</v>
      </c>
      <c r="M57" s="17">
        <v>4630610.0</v>
      </c>
      <c r="N57" s="17">
        <v>4863902.0</v>
      </c>
      <c r="O57" s="17">
        <v>9949210.0</v>
      </c>
      <c r="P57" s="17">
        <v>1.0560736E7</v>
      </c>
      <c r="Q57" s="17">
        <v>568831.0</v>
      </c>
      <c r="R57" s="17">
        <v>1885257.0</v>
      </c>
      <c r="S57" s="17">
        <v>2475653.0</v>
      </c>
      <c r="T57" s="17">
        <v>5670465.0</v>
      </c>
      <c r="U57" s="17">
        <v>0.0</v>
      </c>
      <c r="V57" s="11">
        <f t="array" ref="V57">XLOOKUP(A:A,'Raw Revenue'!A:A,'Raw Revenue'!B:B,0)
</f>
        <v>0</v>
      </c>
      <c r="W57" s="11">
        <f t="array" ref="W57">XLOOKUP(A:A,'Raw Revenue'!C:C,'Raw Revenue'!D:D,0)</f>
        <v>0</v>
      </c>
      <c r="X57" s="11">
        <f t="array" ref="X57">XLOOKUP(A:A,'Raw Revenue'!E:E,'Raw Revenue'!F:F,0)</f>
        <v>0</v>
      </c>
      <c r="Y57" s="11">
        <f t="array" ref="Y57">XLOOKUP(A:A,'Raw Revenue'!G:G,'Raw Revenue'!H:H,0)</f>
        <v>0</v>
      </c>
      <c r="Z57" s="11">
        <f t="array" ref="Z57">XLOOKUP(A:A,'Raw Revenue'!I:I,'Raw Revenue'!J:J,0)</f>
        <v>0</v>
      </c>
      <c r="AA57" s="11">
        <f t="array" ref="AA57">XLOOKUP(A:A,'Raw Revenue'!K:K,'Raw Revenue'!L:L,0)</f>
        <v>0</v>
      </c>
      <c r="AB57" s="11">
        <f t="array" ref="AB57">XLOOKUP(A:A,'Raw Revenue'!M:M,'Raw Revenue'!N:N,0)</f>
        <v>0</v>
      </c>
      <c r="AC57" s="3">
        <v>0.0</v>
      </c>
      <c r="AD57" s="3">
        <v>0.0</v>
      </c>
      <c r="AE57" s="3">
        <v>0.0</v>
      </c>
      <c r="AF57" s="3">
        <v>0.0</v>
      </c>
      <c r="AG57" s="3">
        <v>0.0</v>
      </c>
    </row>
    <row r="58">
      <c r="A58" s="3" t="s">
        <v>383</v>
      </c>
      <c r="B58" s="3" t="s">
        <v>384</v>
      </c>
      <c r="C58" s="3" t="str">
        <f t="shared" si="1"/>
        <v>PT. Berkah Alam Semesta</v>
      </c>
      <c r="D58" s="3" t="s">
        <v>214</v>
      </c>
      <c r="E58" s="3" t="s">
        <v>104</v>
      </c>
      <c r="F58" s="3" t="s">
        <v>252</v>
      </c>
      <c r="G58" s="3" t="s">
        <v>35</v>
      </c>
      <c r="H58" s="3" t="str">
        <f t="array" ref="H58">XLOOKUP(G:G,'Account Manager Data'!A:A,'Account Manager Data'!B:B,0)</f>
        <v>Ahmad Fauzi</v>
      </c>
      <c r="I58" s="11" t="str">
        <f t="array" ref="I58">XLOOKUP($G:$G,'Account Manager Data'!$A:$A,'Account Manager Data'!C:C)</f>
        <v>Sumatera</v>
      </c>
      <c r="J58" s="17">
        <v>3199796.0</v>
      </c>
      <c r="K58" s="17">
        <v>5204880.0</v>
      </c>
      <c r="L58" s="17">
        <v>1616969.0</v>
      </c>
      <c r="M58" s="17">
        <v>570558.0</v>
      </c>
      <c r="N58" s="17">
        <v>1246566.0</v>
      </c>
      <c r="O58" s="17">
        <v>1.0061899E7</v>
      </c>
      <c r="P58" s="17">
        <v>2965698.0</v>
      </c>
      <c r="Q58" s="17">
        <v>6622805.0</v>
      </c>
      <c r="R58" s="17">
        <v>8834125.0</v>
      </c>
      <c r="S58" s="17">
        <v>3276368.0</v>
      </c>
      <c r="T58" s="17">
        <v>1.7460959E7</v>
      </c>
      <c r="U58" s="17">
        <v>1.4844013E7</v>
      </c>
      <c r="V58" s="11">
        <f t="array" ref="V58">XLOOKUP(A:A,'Raw Revenue'!A:A,'Raw Revenue'!B:B,0)
</f>
        <v>0</v>
      </c>
      <c r="W58" s="11">
        <f t="array" ref="W58">XLOOKUP(A:A,'Raw Revenue'!C:C,'Raw Revenue'!D:D,0)</f>
        <v>0</v>
      </c>
      <c r="X58" s="11">
        <f t="array" ref="X58">XLOOKUP(A:A,'Raw Revenue'!E:E,'Raw Revenue'!F:F,0)</f>
        <v>0</v>
      </c>
      <c r="Y58" s="11">
        <f t="array" ref="Y58">XLOOKUP(A:A,'Raw Revenue'!G:G,'Raw Revenue'!H:H,0)</f>
        <v>0</v>
      </c>
      <c r="Z58" s="11">
        <f t="array" ref="Z58">XLOOKUP(A:A,'Raw Revenue'!I:I,'Raw Revenue'!J:J,0)</f>
        <v>0</v>
      </c>
      <c r="AA58" s="11">
        <f t="array" ref="AA58">XLOOKUP(A:A,'Raw Revenue'!K:K,'Raw Revenue'!L:L,0)</f>
        <v>0</v>
      </c>
      <c r="AB58" s="11">
        <f t="array" ref="AB58">XLOOKUP(A:A,'Raw Revenue'!M:M,'Raw Revenue'!N:N,0)</f>
        <v>0</v>
      </c>
      <c r="AC58" s="3">
        <v>0.0</v>
      </c>
      <c r="AD58" s="3">
        <v>0.0</v>
      </c>
      <c r="AE58" s="3">
        <v>0.0</v>
      </c>
      <c r="AF58" s="3">
        <v>0.0</v>
      </c>
      <c r="AG58" s="3">
        <v>0.0</v>
      </c>
    </row>
    <row r="59">
      <c r="A59" s="3" t="s">
        <v>387</v>
      </c>
      <c r="B59" s="3" t="s">
        <v>388</v>
      </c>
      <c r="C59" s="3" t="str">
        <f t="shared" si="1"/>
        <v>PT. Cahaya Baru Indonesia</v>
      </c>
      <c r="D59" s="3" t="s">
        <v>186</v>
      </c>
      <c r="E59" s="3" t="s">
        <v>215</v>
      </c>
      <c r="F59" s="3" t="s">
        <v>216</v>
      </c>
      <c r="G59" s="3" t="s">
        <v>43</v>
      </c>
      <c r="H59" s="3" t="str">
        <f t="array" ref="H59">XLOOKUP(G:G,'Account Manager Data'!A:A,'Account Manager Data'!B:B,0)</f>
        <v>Eko Prasetyo</v>
      </c>
      <c r="I59" s="11" t="str">
        <f t="array" ref="I59">XLOOKUP($G:$G,'Account Manager Data'!$A:$A,'Account Manager Data'!C:C)</f>
        <v>Papua</v>
      </c>
      <c r="J59" s="17">
        <v>7426771.0</v>
      </c>
      <c r="K59" s="17">
        <v>0.0</v>
      </c>
      <c r="L59" s="17">
        <v>2407132.0</v>
      </c>
      <c r="M59" s="17">
        <v>1.185095E7</v>
      </c>
      <c r="N59" s="17">
        <v>0.0</v>
      </c>
      <c r="O59" s="17">
        <v>4016508.0</v>
      </c>
      <c r="P59" s="17">
        <v>4769577.0</v>
      </c>
      <c r="Q59" s="17">
        <v>435392.0</v>
      </c>
      <c r="R59" s="17">
        <v>1.1792065E7</v>
      </c>
      <c r="S59" s="17">
        <v>1627716.0</v>
      </c>
      <c r="T59" s="17">
        <v>1.3616849E7</v>
      </c>
      <c r="U59" s="17">
        <v>693411.0</v>
      </c>
      <c r="V59" s="11">
        <f t="array" ref="V59">XLOOKUP(A:A,'Raw Revenue'!A:A,'Raw Revenue'!B:B,0)
</f>
        <v>0</v>
      </c>
      <c r="W59" s="11">
        <f t="array" ref="W59">XLOOKUP(A:A,'Raw Revenue'!C:C,'Raw Revenue'!D:D,0)</f>
        <v>0</v>
      </c>
      <c r="X59" s="11">
        <f t="array" ref="X59">XLOOKUP(A:A,'Raw Revenue'!E:E,'Raw Revenue'!F:F,0)</f>
        <v>0</v>
      </c>
      <c r="Y59" s="11">
        <f t="array" ref="Y59">XLOOKUP(A:A,'Raw Revenue'!G:G,'Raw Revenue'!H:H,0)</f>
        <v>0</v>
      </c>
      <c r="Z59" s="11">
        <f t="array" ref="Z59">XLOOKUP(A:A,'Raw Revenue'!I:I,'Raw Revenue'!J:J,0)</f>
        <v>0</v>
      </c>
      <c r="AA59" s="11">
        <f t="array" ref="AA59">XLOOKUP(A:A,'Raw Revenue'!K:K,'Raw Revenue'!L:L,0)</f>
        <v>0</v>
      </c>
      <c r="AB59" s="11">
        <f t="array" ref="AB59">XLOOKUP(A:A,'Raw Revenue'!M:M,'Raw Revenue'!N:N,0)</f>
        <v>0</v>
      </c>
      <c r="AC59" s="3">
        <v>0.0</v>
      </c>
      <c r="AD59" s="3">
        <v>0.0</v>
      </c>
      <c r="AE59" s="3">
        <v>0.0</v>
      </c>
      <c r="AF59" s="3">
        <v>0.0</v>
      </c>
      <c r="AG59" s="3">
        <v>0.0</v>
      </c>
    </row>
    <row r="60">
      <c r="A60" s="3" t="s">
        <v>392</v>
      </c>
      <c r="B60" s="3" t="s">
        <v>393</v>
      </c>
      <c r="C60" s="3" t="str">
        <f t="shared" si="1"/>
        <v>PT. Mentari Pagi Sejahtera</v>
      </c>
      <c r="D60" s="3" t="s">
        <v>186</v>
      </c>
      <c r="E60" s="3" t="s">
        <v>215</v>
      </c>
      <c r="F60" s="3" t="s">
        <v>300</v>
      </c>
      <c r="G60" s="3" t="s">
        <v>74</v>
      </c>
      <c r="H60" s="3" t="str">
        <f t="array" ref="H60">XLOOKUP(G:G,'Account Manager Data'!A:A,'Account Manager Data'!B:B,0)</f>
        <v>Budi Santoso</v>
      </c>
      <c r="I60" s="11" t="str">
        <f t="array" ref="I60">XLOOKUP($G:$G,'Account Manager Data'!$A:$A,'Account Manager Data'!C:C)</f>
        <v>Papua</v>
      </c>
      <c r="J60" s="17">
        <v>1996253.0</v>
      </c>
      <c r="K60" s="17">
        <v>2851154.0</v>
      </c>
      <c r="L60" s="17">
        <v>9271924.0</v>
      </c>
      <c r="M60" s="17">
        <v>1.1872676E7</v>
      </c>
      <c r="N60" s="17">
        <v>9055197.0</v>
      </c>
      <c r="O60" s="17">
        <v>0.0</v>
      </c>
      <c r="P60" s="17">
        <v>714979.0</v>
      </c>
      <c r="Q60" s="17">
        <v>264425.0</v>
      </c>
      <c r="R60" s="17">
        <v>3375393.0</v>
      </c>
      <c r="S60" s="17">
        <v>8446248.0</v>
      </c>
      <c r="T60" s="17">
        <v>0.0</v>
      </c>
      <c r="U60" s="17">
        <v>1.6606625E7</v>
      </c>
      <c r="V60" s="11">
        <f t="array" ref="V60">XLOOKUP(A:A,'Raw Revenue'!A:A,'Raw Revenue'!B:B,0)
</f>
        <v>0</v>
      </c>
      <c r="W60" s="11">
        <f t="array" ref="W60">XLOOKUP(A:A,'Raw Revenue'!C:C,'Raw Revenue'!D:D,0)</f>
        <v>0</v>
      </c>
      <c r="X60" s="11">
        <f t="array" ref="X60">XLOOKUP(A:A,'Raw Revenue'!E:E,'Raw Revenue'!F:F,0)</f>
        <v>0</v>
      </c>
      <c r="Y60" s="11">
        <f t="array" ref="Y60">XLOOKUP(A:A,'Raw Revenue'!G:G,'Raw Revenue'!H:H,0)</f>
        <v>0</v>
      </c>
      <c r="Z60" s="11">
        <f t="array" ref="Z60">XLOOKUP(A:A,'Raw Revenue'!I:I,'Raw Revenue'!J:J,0)</f>
        <v>0</v>
      </c>
      <c r="AA60" s="11">
        <f t="array" ref="AA60">XLOOKUP(A:A,'Raw Revenue'!K:K,'Raw Revenue'!L:L,0)</f>
        <v>0</v>
      </c>
      <c r="AB60" s="11">
        <f t="array" ref="AB60">XLOOKUP(A:A,'Raw Revenue'!M:M,'Raw Revenue'!N:N,0)</f>
        <v>0</v>
      </c>
      <c r="AC60" s="3">
        <v>0.0</v>
      </c>
      <c r="AD60" s="3">
        <v>0.0</v>
      </c>
      <c r="AE60" s="3">
        <v>0.0</v>
      </c>
      <c r="AF60" s="3">
        <v>0.0</v>
      </c>
      <c r="AG60" s="3">
        <v>0.0</v>
      </c>
    </row>
    <row r="61">
      <c r="A61" s="3" t="s">
        <v>395</v>
      </c>
      <c r="B61" s="3" t="s">
        <v>396</v>
      </c>
      <c r="C61" s="3" t="str">
        <f t="shared" si="1"/>
        <v>PT. Bintang Kejora Nusantara</v>
      </c>
      <c r="D61" s="3" t="s">
        <v>195</v>
      </c>
      <c r="E61" s="3" t="s">
        <v>196</v>
      </c>
      <c r="F61" s="3" t="s">
        <v>260</v>
      </c>
      <c r="G61" s="3" t="s">
        <v>76</v>
      </c>
      <c r="H61" s="3" t="str">
        <f t="array" ref="H61">XLOOKUP(G:G,'Account Manager Data'!A:A,'Account Manager Data'!B:B,0)</f>
        <v>Teguh Wijaya</v>
      </c>
      <c r="I61" s="11" t="str">
        <f t="array" ref="I61">XLOOKUP($G:$G,'Account Manager Data'!$A:$A,'Account Manager Data'!C:C)</f>
        <v>Sulawesi</v>
      </c>
      <c r="J61" s="17">
        <v>2214126.0</v>
      </c>
      <c r="K61" s="17">
        <v>6077040.0</v>
      </c>
      <c r="L61" s="17">
        <v>7302839.0</v>
      </c>
      <c r="M61" s="17">
        <v>1141102.0</v>
      </c>
      <c r="N61" s="17">
        <v>1686070.0</v>
      </c>
      <c r="O61" s="17">
        <v>1.235698E7</v>
      </c>
      <c r="P61" s="17">
        <v>576496.0</v>
      </c>
      <c r="Q61" s="17">
        <v>3477991.0</v>
      </c>
      <c r="R61" s="17">
        <v>5267749.0</v>
      </c>
      <c r="S61" s="17">
        <v>1.537925E7</v>
      </c>
      <c r="T61" s="17">
        <v>1.4600663E7</v>
      </c>
      <c r="U61" s="17">
        <v>1.7892031E7</v>
      </c>
      <c r="V61" s="11">
        <f t="array" ref="V61">XLOOKUP(A:A,'Raw Revenue'!A:A,'Raw Revenue'!B:B,0)
</f>
        <v>0</v>
      </c>
      <c r="W61" s="11">
        <f t="array" ref="W61">XLOOKUP(A:A,'Raw Revenue'!C:C,'Raw Revenue'!D:D,0)</f>
        <v>0</v>
      </c>
      <c r="X61" s="11">
        <f t="array" ref="X61">XLOOKUP(A:A,'Raw Revenue'!E:E,'Raw Revenue'!F:F,0)</f>
        <v>0</v>
      </c>
      <c r="Y61" s="11">
        <f t="array" ref="Y61">XLOOKUP(A:A,'Raw Revenue'!G:G,'Raw Revenue'!H:H,0)</f>
        <v>0</v>
      </c>
      <c r="Z61" s="11">
        <f t="array" ref="Z61">XLOOKUP(A:A,'Raw Revenue'!I:I,'Raw Revenue'!J:J,0)</f>
        <v>0</v>
      </c>
      <c r="AA61" s="11">
        <f t="array" ref="AA61">XLOOKUP(A:A,'Raw Revenue'!K:K,'Raw Revenue'!L:L,0)</f>
        <v>0</v>
      </c>
      <c r="AB61" s="11">
        <f t="array" ref="AB61">XLOOKUP(A:A,'Raw Revenue'!M:M,'Raw Revenue'!N:N,0)</f>
        <v>0</v>
      </c>
      <c r="AC61" s="3">
        <v>0.0</v>
      </c>
      <c r="AD61" s="3">
        <v>0.0</v>
      </c>
      <c r="AE61" s="3">
        <v>0.0</v>
      </c>
      <c r="AF61" s="3">
        <v>0.0</v>
      </c>
      <c r="AG61" s="3">
        <v>0.0</v>
      </c>
    </row>
    <row r="62">
      <c r="A62" s="3" t="s">
        <v>397</v>
      </c>
      <c r="B62" s="3" t="s">
        <v>398</v>
      </c>
      <c r="C62" s="3" t="str">
        <f t="shared" si="1"/>
        <v>PT. Maju Jaya</v>
      </c>
      <c r="D62" s="3" t="s">
        <v>130</v>
      </c>
      <c r="E62" s="3" t="s">
        <v>85</v>
      </c>
      <c r="F62" s="3" t="s">
        <v>86</v>
      </c>
      <c r="G62" s="3" t="s">
        <v>70</v>
      </c>
      <c r="H62" s="3" t="str">
        <f t="array" ref="H62">XLOOKUP(G:G,'Account Manager Data'!A:A,'Account Manager Data'!B:B,0)</f>
        <v>Yusuf Hidayat</v>
      </c>
      <c r="I62" s="11" t="str">
        <f t="array" ref="I62">XLOOKUP($G:$G,'Account Manager Data'!$A:$A,'Account Manager Data'!C:C)</f>
        <v>Sumatera</v>
      </c>
      <c r="J62" s="17">
        <v>7533173.0</v>
      </c>
      <c r="K62" s="17">
        <v>1493384.0</v>
      </c>
      <c r="L62" s="17">
        <v>8656523.0</v>
      </c>
      <c r="M62" s="17">
        <v>4986525.0</v>
      </c>
      <c r="N62" s="17">
        <v>7766269.0</v>
      </c>
      <c r="O62" s="17">
        <v>9566631.0</v>
      </c>
      <c r="P62" s="17">
        <v>3337494.0</v>
      </c>
      <c r="Q62" s="17">
        <v>930394.0</v>
      </c>
      <c r="R62" s="17">
        <v>1.3533848E7</v>
      </c>
      <c r="S62" s="17">
        <v>1.1200254E7</v>
      </c>
      <c r="T62" s="17">
        <v>1.9297322E7</v>
      </c>
      <c r="U62" s="17">
        <v>2583532.0</v>
      </c>
      <c r="V62" s="11">
        <f t="array" ref="V62">XLOOKUP(A:A,'Raw Revenue'!A:A,'Raw Revenue'!B:B,0)
</f>
        <v>0</v>
      </c>
      <c r="W62" s="11">
        <f t="array" ref="W62">XLOOKUP(A:A,'Raw Revenue'!C:C,'Raw Revenue'!D:D,0)</f>
        <v>0</v>
      </c>
      <c r="X62" s="11">
        <f t="array" ref="X62">XLOOKUP(A:A,'Raw Revenue'!E:E,'Raw Revenue'!F:F,0)</f>
        <v>0</v>
      </c>
      <c r="Y62" s="11">
        <f t="array" ref="Y62">XLOOKUP(A:A,'Raw Revenue'!G:G,'Raw Revenue'!H:H,0)</f>
        <v>0</v>
      </c>
      <c r="Z62" s="11">
        <f t="array" ref="Z62">XLOOKUP(A:A,'Raw Revenue'!I:I,'Raw Revenue'!J:J,0)</f>
        <v>0</v>
      </c>
      <c r="AA62" s="11">
        <f t="array" ref="AA62">XLOOKUP(A:A,'Raw Revenue'!K:K,'Raw Revenue'!L:L,0)</f>
        <v>0</v>
      </c>
      <c r="AB62" s="11">
        <f t="array" ref="AB62">XLOOKUP(A:A,'Raw Revenue'!M:M,'Raw Revenue'!N:N,0)</f>
        <v>0</v>
      </c>
      <c r="AC62" s="3">
        <v>0.0</v>
      </c>
      <c r="AD62" s="3">
        <v>0.0</v>
      </c>
      <c r="AE62" s="3">
        <v>0.0</v>
      </c>
      <c r="AF62" s="3">
        <v>0.0</v>
      </c>
      <c r="AG62" s="3">
        <v>0.0</v>
      </c>
    </row>
    <row r="63">
      <c r="A63" s="3" t="s">
        <v>399</v>
      </c>
      <c r="B63" s="3" t="s">
        <v>400</v>
      </c>
      <c r="C63" s="3" t="str">
        <f t="shared" si="1"/>
        <v>CV. Sumber Makmur</v>
      </c>
      <c r="D63" s="3" t="s">
        <v>186</v>
      </c>
      <c r="E63" s="3" t="s">
        <v>196</v>
      </c>
      <c r="F63" s="3" t="s">
        <v>260</v>
      </c>
      <c r="G63" s="3" t="s">
        <v>15</v>
      </c>
      <c r="H63" s="3" t="str">
        <f t="array" ref="H63">XLOOKUP(G:G,'Account Manager Data'!A:A,'Account Manager Data'!B:B,0)</f>
        <v>Rizky Maulana</v>
      </c>
      <c r="I63" s="11" t="str">
        <f t="array" ref="I63">XLOOKUP($G:$G,'Account Manager Data'!$A:$A,'Account Manager Data'!C:C)</f>
        <v>Jawa</v>
      </c>
      <c r="J63" s="17">
        <v>3637586.0</v>
      </c>
      <c r="K63" s="17">
        <v>3001645.0</v>
      </c>
      <c r="L63" s="17">
        <v>1.0084881E7</v>
      </c>
      <c r="M63" s="17">
        <v>4391076.0</v>
      </c>
      <c r="N63" s="17">
        <v>1.0502059E7</v>
      </c>
      <c r="O63" s="17">
        <v>1.2853206E7</v>
      </c>
      <c r="P63" s="17">
        <v>2797220.0</v>
      </c>
      <c r="Q63" s="17">
        <v>1.5460949E7</v>
      </c>
      <c r="R63" s="17">
        <v>0.0</v>
      </c>
      <c r="S63" s="17">
        <v>7631270.0</v>
      </c>
      <c r="T63" s="17">
        <v>6932457.0</v>
      </c>
      <c r="U63" s="17">
        <v>8383075.0</v>
      </c>
      <c r="V63" s="11">
        <f t="array" ref="V63">XLOOKUP(A:A,'Raw Revenue'!A:A,'Raw Revenue'!B:B,0)
</f>
        <v>0</v>
      </c>
      <c r="W63" s="11">
        <f t="array" ref="W63">XLOOKUP(A:A,'Raw Revenue'!C:C,'Raw Revenue'!D:D,0)</f>
        <v>0</v>
      </c>
      <c r="X63" s="11">
        <f t="array" ref="X63">XLOOKUP(A:A,'Raw Revenue'!E:E,'Raw Revenue'!F:F,0)</f>
        <v>0</v>
      </c>
      <c r="Y63" s="11">
        <f t="array" ref="Y63">XLOOKUP(A:A,'Raw Revenue'!G:G,'Raw Revenue'!H:H,0)</f>
        <v>0</v>
      </c>
      <c r="Z63" s="11">
        <f t="array" ref="Z63">XLOOKUP(A:A,'Raw Revenue'!I:I,'Raw Revenue'!J:J,0)</f>
        <v>0</v>
      </c>
      <c r="AA63" s="11">
        <f t="array" ref="AA63">XLOOKUP(A:A,'Raw Revenue'!K:K,'Raw Revenue'!L:L,0)</f>
        <v>0</v>
      </c>
      <c r="AB63" s="11">
        <f t="array" ref="AB63">XLOOKUP(A:A,'Raw Revenue'!M:M,'Raw Revenue'!N:N,0)</f>
        <v>0</v>
      </c>
      <c r="AC63" s="3">
        <v>0.0</v>
      </c>
      <c r="AD63" s="3">
        <v>0.0</v>
      </c>
      <c r="AE63" s="3">
        <v>0.0</v>
      </c>
      <c r="AF63" s="3">
        <v>0.0</v>
      </c>
      <c r="AG63" s="3">
        <v>0.0</v>
      </c>
    </row>
    <row r="64">
      <c r="A64" s="3" t="s">
        <v>401</v>
      </c>
      <c r="B64" s="3" t="s">
        <v>402</v>
      </c>
      <c r="C64" s="3" t="str">
        <f t="shared" si="1"/>
        <v>PT. Teknologi Nusantara</v>
      </c>
      <c r="D64" s="3" t="s">
        <v>214</v>
      </c>
      <c r="E64" s="3" t="s">
        <v>104</v>
      </c>
      <c r="F64" s="3" t="s">
        <v>105</v>
      </c>
      <c r="G64" s="3" t="s">
        <v>53</v>
      </c>
      <c r="H64" s="3" t="str">
        <f t="array" ref="H64">XLOOKUP(G:G,'Account Manager Data'!A:A,'Account Manager Data'!B:B,0)</f>
        <v>Fajar Ramadhan</v>
      </c>
      <c r="I64" s="11" t="str">
        <f t="array" ref="I64">XLOOKUP($G:$G,'Account Manager Data'!$A:$A,'Account Manager Data'!C:C)</f>
        <v>Sulawesi</v>
      </c>
      <c r="J64" s="17">
        <v>6164890.0</v>
      </c>
      <c r="K64" s="17">
        <v>3837144.0</v>
      </c>
      <c r="L64" s="17">
        <v>1.0742092E7</v>
      </c>
      <c r="M64" s="17">
        <v>9833475.0</v>
      </c>
      <c r="N64" s="17">
        <v>1.1561116E7</v>
      </c>
      <c r="O64" s="17">
        <v>9317171.0</v>
      </c>
      <c r="P64" s="17">
        <v>1.0681251E7</v>
      </c>
      <c r="Q64" s="17">
        <v>270059.0</v>
      </c>
      <c r="R64" s="17">
        <v>8474451.0</v>
      </c>
      <c r="S64" s="17">
        <v>398668.0</v>
      </c>
      <c r="T64" s="17">
        <v>1.8777668E7</v>
      </c>
      <c r="U64" s="17">
        <v>5772915.0</v>
      </c>
      <c r="V64" s="11">
        <f t="array" ref="V64">XLOOKUP(A:A,'Raw Revenue'!A:A,'Raw Revenue'!B:B,0)
</f>
        <v>0</v>
      </c>
      <c r="W64" s="11">
        <f t="array" ref="W64">XLOOKUP(A:A,'Raw Revenue'!C:C,'Raw Revenue'!D:D,0)</f>
        <v>0</v>
      </c>
      <c r="X64" s="11">
        <f t="array" ref="X64">XLOOKUP(A:A,'Raw Revenue'!E:E,'Raw Revenue'!F:F,0)</f>
        <v>0</v>
      </c>
      <c r="Y64" s="11">
        <f t="array" ref="Y64">XLOOKUP(A:A,'Raw Revenue'!G:G,'Raw Revenue'!H:H,0)</f>
        <v>0</v>
      </c>
      <c r="Z64" s="11">
        <f t="array" ref="Z64">XLOOKUP(A:A,'Raw Revenue'!I:I,'Raw Revenue'!J:J,0)</f>
        <v>0</v>
      </c>
      <c r="AA64" s="11">
        <f t="array" ref="AA64">XLOOKUP(A:A,'Raw Revenue'!K:K,'Raw Revenue'!L:L,0)</f>
        <v>0</v>
      </c>
      <c r="AB64" s="11">
        <f t="array" ref="AB64">XLOOKUP(A:A,'Raw Revenue'!M:M,'Raw Revenue'!N:N,0)</f>
        <v>0</v>
      </c>
      <c r="AC64" s="3">
        <v>0.0</v>
      </c>
      <c r="AD64" s="3">
        <v>0.0</v>
      </c>
      <c r="AE64" s="3">
        <v>0.0</v>
      </c>
      <c r="AF64" s="3">
        <v>0.0</v>
      </c>
      <c r="AG64" s="3">
        <v>0.0</v>
      </c>
    </row>
    <row r="65">
      <c r="A65" s="3" t="s">
        <v>403</v>
      </c>
      <c r="B65" s="3" t="s">
        <v>404</v>
      </c>
      <c r="C65" s="3" t="str">
        <f t="shared" si="1"/>
        <v>PT. Bakti Indonesia</v>
      </c>
      <c r="D65" s="3" t="s">
        <v>84</v>
      </c>
      <c r="E65" s="3" t="s">
        <v>187</v>
      </c>
      <c r="F65" s="3" t="s">
        <v>188</v>
      </c>
      <c r="G65" s="3" t="s">
        <v>27</v>
      </c>
      <c r="H65" s="3" t="str">
        <f t="array" ref="H65">XLOOKUP(G:G,'Account Manager Data'!A:A,'Account Manager Data'!B:B,0)</f>
        <v>Dedi Kurniawan</v>
      </c>
      <c r="I65" s="11" t="str">
        <f t="array" ref="I65">XLOOKUP($G:$G,'Account Manager Data'!$A:$A,'Account Manager Data'!C:C)</f>
        <v>Kalimantan</v>
      </c>
      <c r="J65" s="17">
        <v>5543517.0</v>
      </c>
      <c r="K65" s="17">
        <v>5241123.0</v>
      </c>
      <c r="L65" s="17">
        <v>5204489.0</v>
      </c>
      <c r="M65" s="17">
        <v>3778234.0</v>
      </c>
      <c r="N65" s="17">
        <v>3940123.0</v>
      </c>
      <c r="O65" s="17">
        <v>7405706.0</v>
      </c>
      <c r="P65" s="17">
        <v>4284987.0</v>
      </c>
      <c r="Q65" s="17">
        <v>0.0</v>
      </c>
      <c r="R65" s="17">
        <v>5530698.0</v>
      </c>
      <c r="S65" s="17">
        <v>1.304394E7</v>
      </c>
      <c r="T65" s="17">
        <v>1.2060889E7</v>
      </c>
      <c r="U65" s="17">
        <v>789798.0</v>
      </c>
      <c r="V65" s="11">
        <f t="array" ref="V65">XLOOKUP(A:A,'Raw Revenue'!A:A,'Raw Revenue'!B:B,0)
</f>
        <v>0</v>
      </c>
      <c r="W65" s="11">
        <f t="array" ref="W65">XLOOKUP(A:A,'Raw Revenue'!C:C,'Raw Revenue'!D:D,0)</f>
        <v>0</v>
      </c>
      <c r="X65" s="11">
        <f t="array" ref="X65">XLOOKUP(A:A,'Raw Revenue'!E:E,'Raw Revenue'!F:F,0)</f>
        <v>0</v>
      </c>
      <c r="Y65" s="11">
        <f t="array" ref="Y65">XLOOKUP(A:A,'Raw Revenue'!G:G,'Raw Revenue'!H:H,0)</f>
        <v>0</v>
      </c>
      <c r="Z65" s="11">
        <f t="array" ref="Z65">XLOOKUP(A:A,'Raw Revenue'!I:I,'Raw Revenue'!J:J,0)</f>
        <v>0</v>
      </c>
      <c r="AA65" s="11">
        <f t="array" ref="AA65">XLOOKUP(A:A,'Raw Revenue'!K:K,'Raw Revenue'!L:L,0)</f>
        <v>0</v>
      </c>
      <c r="AB65" s="11">
        <f t="array" ref="AB65">XLOOKUP(A:A,'Raw Revenue'!M:M,'Raw Revenue'!N:N,0)</f>
        <v>0</v>
      </c>
      <c r="AC65" s="3">
        <v>0.0</v>
      </c>
      <c r="AD65" s="3">
        <v>0.0</v>
      </c>
      <c r="AE65" s="3">
        <v>0.0</v>
      </c>
      <c r="AF65" s="3">
        <v>0.0</v>
      </c>
      <c r="AG65" s="3">
        <v>0.0</v>
      </c>
    </row>
    <row r="66">
      <c r="A66" s="3" t="s">
        <v>405</v>
      </c>
      <c r="B66" s="3" t="s">
        <v>406</v>
      </c>
      <c r="C66" s="3" t="str">
        <f t="shared" si="1"/>
        <v>CV. Amanah Sejahtera</v>
      </c>
      <c r="D66" s="3" t="s">
        <v>130</v>
      </c>
      <c r="E66" s="3" t="s">
        <v>85</v>
      </c>
      <c r="F66" s="3" t="s">
        <v>407</v>
      </c>
      <c r="G66" s="3" t="s">
        <v>78</v>
      </c>
      <c r="H66" s="3" t="str">
        <f t="array" ref="H66">XLOOKUP(G:G,'Account Manager Data'!A:A,'Account Manager Data'!B:B,0)</f>
        <v>Ilham Saputra</v>
      </c>
      <c r="I66" s="11" t="str">
        <f t="array" ref="I66">XLOOKUP($G:$G,'Account Manager Data'!$A:$A,'Account Manager Data'!C:C)</f>
        <v>Jawa</v>
      </c>
      <c r="J66" s="17">
        <v>6697946.0</v>
      </c>
      <c r="K66" s="17">
        <v>6257594.0</v>
      </c>
      <c r="L66" s="17">
        <v>912809.0</v>
      </c>
      <c r="M66" s="17">
        <v>3564909.0</v>
      </c>
      <c r="N66" s="17">
        <v>2193012.0</v>
      </c>
      <c r="O66" s="17">
        <v>1.217345E7</v>
      </c>
      <c r="P66" s="17">
        <v>1.4634552E7</v>
      </c>
      <c r="Q66" s="17">
        <v>1.5307734E7</v>
      </c>
      <c r="R66" s="17">
        <v>1.346887E7</v>
      </c>
      <c r="S66" s="17">
        <v>1.2096732E7</v>
      </c>
      <c r="T66" s="17">
        <v>1501824.0</v>
      </c>
      <c r="U66" s="17">
        <v>0.0</v>
      </c>
      <c r="V66" s="11">
        <f t="array" ref="V66">XLOOKUP(A:A,'Raw Revenue'!A:A,'Raw Revenue'!B:B,0)
</f>
        <v>0</v>
      </c>
      <c r="W66" s="11">
        <f t="array" ref="W66">XLOOKUP(A:A,'Raw Revenue'!C:C,'Raw Revenue'!D:D,0)</f>
        <v>0</v>
      </c>
      <c r="X66" s="11">
        <f t="array" ref="X66">XLOOKUP(A:A,'Raw Revenue'!E:E,'Raw Revenue'!F:F,0)</f>
        <v>0</v>
      </c>
      <c r="Y66" s="11">
        <f t="array" ref="Y66">XLOOKUP(A:A,'Raw Revenue'!G:G,'Raw Revenue'!H:H,0)</f>
        <v>0</v>
      </c>
      <c r="Z66" s="11">
        <f t="array" ref="Z66">XLOOKUP(A:A,'Raw Revenue'!I:I,'Raw Revenue'!J:J,0)</f>
        <v>0</v>
      </c>
      <c r="AA66" s="11">
        <f t="array" ref="AA66">XLOOKUP(A:A,'Raw Revenue'!K:K,'Raw Revenue'!L:L,0)</f>
        <v>0</v>
      </c>
      <c r="AB66" s="11">
        <f t="array" ref="AB66">XLOOKUP(A:A,'Raw Revenue'!M:M,'Raw Revenue'!N:N,0)</f>
        <v>0</v>
      </c>
      <c r="AC66" s="3">
        <v>0.0</v>
      </c>
      <c r="AD66" s="3">
        <v>0.0</v>
      </c>
      <c r="AE66" s="3">
        <v>0.0</v>
      </c>
      <c r="AF66" s="3">
        <v>0.0</v>
      </c>
      <c r="AG66" s="3">
        <v>0.0</v>
      </c>
    </row>
    <row r="67">
      <c r="A67" s="3" t="s">
        <v>408</v>
      </c>
      <c r="B67" s="3" t="s">
        <v>409</v>
      </c>
      <c r="C67" s="3" t="str">
        <f t="shared" si="1"/>
        <v>PT. Digital Solusi Pratama</v>
      </c>
      <c r="D67" s="3" t="s">
        <v>186</v>
      </c>
      <c r="E67" s="3" t="s">
        <v>104</v>
      </c>
      <c r="F67" s="3" t="s">
        <v>252</v>
      </c>
      <c r="G67" s="3" t="s">
        <v>63</v>
      </c>
      <c r="H67" s="3" t="str">
        <f t="array" ref="H67">XLOOKUP(G:G,'Account Manager Data'!A:A,'Account Manager Data'!B:B,0)</f>
        <v>Hendra Gunawan</v>
      </c>
      <c r="I67" s="11" t="str">
        <f t="array" ref="I67">XLOOKUP($G:$G,'Account Manager Data'!$A:$A,'Account Manager Data'!C:C)</f>
        <v>Kalimantan</v>
      </c>
      <c r="J67" s="17">
        <v>2423719.0</v>
      </c>
      <c r="K67" s="17">
        <v>4804701.0</v>
      </c>
      <c r="L67" s="17">
        <v>1304071.0</v>
      </c>
      <c r="M67" s="17">
        <v>5579145.0</v>
      </c>
      <c r="N67" s="17">
        <v>1.1356896E7</v>
      </c>
      <c r="O67" s="17">
        <v>7864023.0</v>
      </c>
      <c r="P67" s="17">
        <v>1.1559667E7</v>
      </c>
      <c r="Q67" s="17">
        <v>1.5595167E7</v>
      </c>
      <c r="R67" s="17">
        <v>521931.0</v>
      </c>
      <c r="S67" s="17">
        <v>8030279.0</v>
      </c>
      <c r="T67" s="17">
        <v>2498124.0</v>
      </c>
      <c r="U67" s="17">
        <v>8902552.0</v>
      </c>
      <c r="V67" s="11">
        <f t="array" ref="V67">XLOOKUP(A:A,'Raw Revenue'!A:A,'Raw Revenue'!B:B,0)
</f>
        <v>0</v>
      </c>
      <c r="W67" s="11">
        <f t="array" ref="W67">XLOOKUP(A:A,'Raw Revenue'!C:C,'Raw Revenue'!D:D,0)</f>
        <v>0</v>
      </c>
      <c r="X67" s="11">
        <f t="array" ref="X67">XLOOKUP(A:A,'Raw Revenue'!E:E,'Raw Revenue'!F:F,0)</f>
        <v>0</v>
      </c>
      <c r="Y67" s="11">
        <f t="array" ref="Y67">XLOOKUP(A:A,'Raw Revenue'!G:G,'Raw Revenue'!H:H,0)</f>
        <v>0</v>
      </c>
      <c r="Z67" s="11">
        <f t="array" ref="Z67">XLOOKUP(A:A,'Raw Revenue'!I:I,'Raw Revenue'!J:J,0)</f>
        <v>0</v>
      </c>
      <c r="AA67" s="11">
        <f t="array" ref="AA67">XLOOKUP(A:A,'Raw Revenue'!K:K,'Raw Revenue'!L:L,0)</f>
        <v>0</v>
      </c>
      <c r="AB67" s="11">
        <f t="array" ref="AB67">XLOOKUP(A:A,'Raw Revenue'!M:M,'Raw Revenue'!N:N,0)</f>
        <v>0</v>
      </c>
      <c r="AC67" s="3">
        <v>0.0</v>
      </c>
      <c r="AD67" s="3">
        <v>0.0</v>
      </c>
      <c r="AE67" s="3">
        <v>0.0</v>
      </c>
      <c r="AF67" s="3">
        <v>0.0</v>
      </c>
      <c r="AG67" s="3">
        <v>0.0</v>
      </c>
    </row>
    <row r="68">
      <c r="A68" s="3" t="s">
        <v>410</v>
      </c>
      <c r="B68" s="3" t="s">
        <v>411</v>
      </c>
      <c r="C68" s="3" t="str">
        <f t="shared" si="1"/>
        <v>PT. Global Niaga Abadi</v>
      </c>
      <c r="D68" s="3" t="s">
        <v>195</v>
      </c>
      <c r="E68" s="3" t="s">
        <v>196</v>
      </c>
      <c r="F68" s="3" t="s">
        <v>260</v>
      </c>
      <c r="G68" s="3" t="s">
        <v>35</v>
      </c>
      <c r="H68" s="3" t="str">
        <f t="array" ref="H68">XLOOKUP(G:G,'Account Manager Data'!A:A,'Account Manager Data'!B:B,0)</f>
        <v>Ahmad Fauzi</v>
      </c>
      <c r="I68" s="11" t="str">
        <f t="array" ref="I68">XLOOKUP($G:$G,'Account Manager Data'!$A:$A,'Account Manager Data'!C:C)</f>
        <v>Sumatera</v>
      </c>
      <c r="J68" s="17">
        <v>2971265.0</v>
      </c>
      <c r="K68" s="17">
        <v>7755683.0</v>
      </c>
      <c r="L68" s="17">
        <v>7281424.0</v>
      </c>
      <c r="M68" s="17">
        <v>7628494.0</v>
      </c>
      <c r="N68" s="17">
        <v>174888.0</v>
      </c>
      <c r="O68" s="17">
        <v>0.0</v>
      </c>
      <c r="P68" s="17">
        <v>2447036.0</v>
      </c>
      <c r="Q68" s="17">
        <v>0.0</v>
      </c>
      <c r="R68" s="17">
        <v>9012486.0</v>
      </c>
      <c r="S68" s="17">
        <v>7178232.0</v>
      </c>
      <c r="T68" s="17">
        <v>1.0495108E7</v>
      </c>
      <c r="U68" s="17">
        <v>6295731.0</v>
      </c>
      <c r="V68" s="11">
        <f t="array" ref="V68">XLOOKUP(A:A,'Raw Revenue'!A:A,'Raw Revenue'!B:B,0)
</f>
        <v>0</v>
      </c>
      <c r="W68" s="11">
        <f t="array" ref="W68">XLOOKUP(A:A,'Raw Revenue'!C:C,'Raw Revenue'!D:D,0)</f>
        <v>0</v>
      </c>
      <c r="X68" s="11">
        <f t="array" ref="X68">XLOOKUP(A:A,'Raw Revenue'!E:E,'Raw Revenue'!F:F,0)</f>
        <v>0</v>
      </c>
      <c r="Y68" s="11">
        <f t="array" ref="Y68">XLOOKUP(A:A,'Raw Revenue'!G:G,'Raw Revenue'!H:H,0)</f>
        <v>0</v>
      </c>
      <c r="Z68" s="11">
        <f t="array" ref="Z68">XLOOKUP(A:A,'Raw Revenue'!I:I,'Raw Revenue'!J:J,0)</f>
        <v>0</v>
      </c>
      <c r="AA68" s="11">
        <f t="array" ref="AA68">XLOOKUP(A:A,'Raw Revenue'!K:K,'Raw Revenue'!L:L,0)</f>
        <v>0</v>
      </c>
      <c r="AB68" s="11">
        <f t="array" ref="AB68">XLOOKUP(A:A,'Raw Revenue'!M:M,'Raw Revenue'!N:N,0)</f>
        <v>0</v>
      </c>
      <c r="AC68" s="3">
        <v>0.0</v>
      </c>
      <c r="AD68" s="3">
        <v>0.0</v>
      </c>
      <c r="AE68" s="3">
        <v>0.0</v>
      </c>
      <c r="AF68" s="3">
        <v>0.0</v>
      </c>
      <c r="AG68" s="3">
        <v>0.0</v>
      </c>
    </row>
    <row r="69">
      <c r="A69" s="3" t="s">
        <v>412</v>
      </c>
      <c r="B69" s="3" t="s">
        <v>413</v>
      </c>
      <c r="C69" s="3" t="str">
        <f t="shared" si="1"/>
        <v>PT. Indo Makmur Sentosa</v>
      </c>
      <c r="D69" s="3" t="s">
        <v>130</v>
      </c>
      <c r="E69" s="3" t="s">
        <v>215</v>
      </c>
      <c r="F69" s="3" t="s">
        <v>300</v>
      </c>
      <c r="G69" s="3" t="s">
        <v>74</v>
      </c>
      <c r="H69" s="3" t="str">
        <f t="array" ref="H69">XLOOKUP(G:G,'Account Manager Data'!A:A,'Account Manager Data'!B:B,0)</f>
        <v>Budi Santoso</v>
      </c>
      <c r="I69" s="11" t="str">
        <f t="array" ref="I69">XLOOKUP($G:$G,'Account Manager Data'!$A:$A,'Account Manager Data'!C:C)</f>
        <v>Papua</v>
      </c>
      <c r="J69" s="17">
        <v>449994.0</v>
      </c>
      <c r="K69" s="17">
        <v>6733532.0</v>
      </c>
      <c r="L69" s="17">
        <v>4380368.0</v>
      </c>
      <c r="M69" s="17">
        <v>600530.0</v>
      </c>
      <c r="N69" s="17">
        <v>244183.0</v>
      </c>
      <c r="O69" s="17">
        <v>1.2003922E7</v>
      </c>
      <c r="P69" s="17">
        <v>4528641.0</v>
      </c>
      <c r="Q69" s="17">
        <v>2631669.0</v>
      </c>
      <c r="R69" s="17">
        <v>1.2072344E7</v>
      </c>
      <c r="S69" s="17">
        <v>1.4365169E7</v>
      </c>
      <c r="T69" s="17">
        <v>1.0362891E7</v>
      </c>
      <c r="U69" s="17">
        <v>1164683.0</v>
      </c>
      <c r="V69" s="11">
        <f t="array" ref="V69">XLOOKUP(A:A,'Raw Revenue'!A:A,'Raw Revenue'!B:B,0)
</f>
        <v>0</v>
      </c>
      <c r="W69" s="11">
        <f t="array" ref="W69">XLOOKUP(A:A,'Raw Revenue'!C:C,'Raw Revenue'!D:D,0)</f>
        <v>0</v>
      </c>
      <c r="X69" s="11">
        <f t="array" ref="X69">XLOOKUP(A:A,'Raw Revenue'!E:E,'Raw Revenue'!F:F,0)</f>
        <v>0</v>
      </c>
      <c r="Y69" s="11">
        <f t="array" ref="Y69">XLOOKUP(A:A,'Raw Revenue'!G:G,'Raw Revenue'!H:H,0)</f>
        <v>0</v>
      </c>
      <c r="Z69" s="11">
        <f t="array" ref="Z69">XLOOKUP(A:A,'Raw Revenue'!I:I,'Raw Revenue'!J:J,0)</f>
        <v>0</v>
      </c>
      <c r="AA69" s="11">
        <f t="array" ref="AA69">XLOOKUP(A:A,'Raw Revenue'!K:K,'Raw Revenue'!L:L,0)</f>
        <v>0</v>
      </c>
      <c r="AB69" s="11">
        <f t="array" ref="AB69">XLOOKUP(A:A,'Raw Revenue'!M:M,'Raw Revenue'!N:N,0)</f>
        <v>0</v>
      </c>
      <c r="AC69" s="3">
        <v>0.0</v>
      </c>
      <c r="AD69" s="3">
        <v>0.0</v>
      </c>
      <c r="AE69" s="3">
        <v>0.0</v>
      </c>
      <c r="AF69" s="3">
        <v>0.0</v>
      </c>
      <c r="AG69" s="3">
        <v>0.0</v>
      </c>
    </row>
    <row r="70">
      <c r="A70" s="3" t="s">
        <v>415</v>
      </c>
      <c r="B70" s="3" t="s">
        <v>416</v>
      </c>
      <c r="C70" s="3" t="str">
        <f t="shared" si="1"/>
        <v>PT. Citra Mandiri Utama</v>
      </c>
      <c r="D70" s="3" t="s">
        <v>84</v>
      </c>
      <c r="E70" s="3" t="s">
        <v>104</v>
      </c>
      <c r="F70" s="3" t="s">
        <v>134</v>
      </c>
      <c r="G70" s="3" t="s">
        <v>43</v>
      </c>
      <c r="H70" s="3" t="str">
        <f t="array" ref="H70">XLOOKUP(G:G,'Account Manager Data'!A:A,'Account Manager Data'!B:B,0)</f>
        <v>Eko Prasetyo</v>
      </c>
      <c r="I70" s="11" t="str">
        <f t="array" ref="I70">XLOOKUP($G:$G,'Account Manager Data'!$A:$A,'Account Manager Data'!C:C)</f>
        <v>Papua</v>
      </c>
      <c r="J70" s="17">
        <v>2217005.0</v>
      </c>
      <c r="K70" s="17">
        <v>2843515.0</v>
      </c>
      <c r="L70" s="17">
        <v>5878660.0</v>
      </c>
      <c r="M70" s="17">
        <v>1.0957056E7</v>
      </c>
      <c r="N70" s="17">
        <v>1.1563475E7</v>
      </c>
      <c r="O70" s="17">
        <v>455708.0</v>
      </c>
      <c r="P70" s="17">
        <v>0.0</v>
      </c>
      <c r="Q70" s="17">
        <v>0.0</v>
      </c>
      <c r="R70" s="17">
        <v>1.7106914E7</v>
      </c>
      <c r="S70" s="17">
        <v>1.6502237E7</v>
      </c>
      <c r="T70" s="17">
        <v>1.1394487E7</v>
      </c>
      <c r="U70" s="17">
        <v>1.5961875E7</v>
      </c>
      <c r="V70" s="11">
        <f t="array" ref="V70">XLOOKUP(A:A,'Raw Revenue'!A:A,'Raw Revenue'!B:B,0)
</f>
        <v>0</v>
      </c>
      <c r="W70" s="11">
        <f t="array" ref="W70">XLOOKUP(A:A,'Raw Revenue'!C:C,'Raw Revenue'!D:D,0)</f>
        <v>0</v>
      </c>
      <c r="X70" s="11">
        <f t="array" ref="X70">XLOOKUP(A:A,'Raw Revenue'!E:E,'Raw Revenue'!F:F,0)</f>
        <v>0</v>
      </c>
      <c r="Y70" s="11">
        <f t="array" ref="Y70">XLOOKUP(A:A,'Raw Revenue'!G:G,'Raw Revenue'!H:H,0)</f>
        <v>0</v>
      </c>
      <c r="Z70" s="11">
        <f t="array" ref="Z70">XLOOKUP(A:A,'Raw Revenue'!I:I,'Raw Revenue'!J:J,0)</f>
        <v>0</v>
      </c>
      <c r="AA70" s="11">
        <f t="array" ref="AA70">XLOOKUP(A:A,'Raw Revenue'!K:K,'Raw Revenue'!L:L,0)</f>
        <v>0</v>
      </c>
      <c r="AB70" s="11">
        <f t="array" ref="AB70">XLOOKUP(A:A,'Raw Revenue'!M:M,'Raw Revenue'!N:N,0)</f>
        <v>0</v>
      </c>
      <c r="AC70" s="3">
        <v>0.0</v>
      </c>
      <c r="AD70" s="3">
        <v>0.0</v>
      </c>
      <c r="AE70" s="3">
        <v>0.0</v>
      </c>
      <c r="AF70" s="3">
        <v>0.0</v>
      </c>
      <c r="AG70" s="3">
        <v>0.0</v>
      </c>
    </row>
    <row r="71">
      <c r="A71" s="3" t="s">
        <v>420</v>
      </c>
      <c r="B71" s="3" t="s">
        <v>421</v>
      </c>
      <c r="C71" s="3" t="str">
        <f t="shared" si="1"/>
        <v>PT. Sinar Dunia Baru</v>
      </c>
      <c r="D71" s="3" t="s">
        <v>195</v>
      </c>
      <c r="E71" s="3" t="s">
        <v>196</v>
      </c>
      <c r="F71" s="3" t="s">
        <v>197</v>
      </c>
      <c r="G71" s="3" t="s">
        <v>76</v>
      </c>
      <c r="H71" s="3" t="str">
        <f t="array" ref="H71">XLOOKUP(G:G,'Account Manager Data'!A:A,'Account Manager Data'!B:B,0)</f>
        <v>Teguh Wijaya</v>
      </c>
      <c r="I71" s="11" t="str">
        <f t="array" ref="I71">XLOOKUP($G:$G,'Account Manager Data'!$A:$A,'Account Manager Data'!C:C)</f>
        <v>Sulawesi</v>
      </c>
      <c r="J71" s="17">
        <v>230113.0</v>
      </c>
      <c r="K71" s="17">
        <v>6105268.0</v>
      </c>
      <c r="L71" s="17">
        <v>4265339.0</v>
      </c>
      <c r="M71" s="17">
        <v>8986059.0</v>
      </c>
      <c r="N71" s="17">
        <v>996247.0</v>
      </c>
      <c r="O71" s="17">
        <v>3777836.0</v>
      </c>
      <c r="P71" s="17">
        <v>1.2408921E7</v>
      </c>
      <c r="Q71" s="17">
        <v>5449293.0</v>
      </c>
      <c r="R71" s="17">
        <v>9405914.0</v>
      </c>
      <c r="S71" s="17">
        <v>1.512512E7</v>
      </c>
      <c r="T71" s="17">
        <v>1.0877722E7</v>
      </c>
      <c r="U71" s="17">
        <v>1.2941657E7</v>
      </c>
      <c r="V71" s="11">
        <f t="array" ref="V71">XLOOKUP(A:A,'Raw Revenue'!A:A,'Raw Revenue'!B:B,0)
</f>
        <v>0</v>
      </c>
      <c r="W71" s="11">
        <f t="array" ref="W71">XLOOKUP(A:A,'Raw Revenue'!C:C,'Raw Revenue'!D:D,0)</f>
        <v>0</v>
      </c>
      <c r="X71" s="11">
        <f t="array" ref="X71">XLOOKUP(A:A,'Raw Revenue'!E:E,'Raw Revenue'!F:F,0)</f>
        <v>0</v>
      </c>
      <c r="Y71" s="11">
        <f t="array" ref="Y71">XLOOKUP(A:A,'Raw Revenue'!G:G,'Raw Revenue'!H:H,0)</f>
        <v>0</v>
      </c>
      <c r="Z71" s="11">
        <f t="array" ref="Z71">XLOOKUP(A:A,'Raw Revenue'!I:I,'Raw Revenue'!J:J,0)</f>
        <v>0</v>
      </c>
      <c r="AA71" s="11">
        <f t="array" ref="AA71">XLOOKUP(A:A,'Raw Revenue'!K:K,'Raw Revenue'!L:L,0)</f>
        <v>0</v>
      </c>
      <c r="AB71" s="11">
        <f t="array" ref="AB71">XLOOKUP(A:A,'Raw Revenue'!M:M,'Raw Revenue'!N:N,0)</f>
        <v>0</v>
      </c>
      <c r="AC71" s="3">
        <v>0.0</v>
      </c>
      <c r="AD71" s="3">
        <v>0.0</v>
      </c>
      <c r="AE71" s="3">
        <v>0.0</v>
      </c>
      <c r="AF71" s="3">
        <v>0.0</v>
      </c>
      <c r="AG71" s="3">
        <v>0.0</v>
      </c>
    </row>
    <row r="72">
      <c r="A72" s="3" t="s">
        <v>425</v>
      </c>
      <c r="B72" s="3" t="s">
        <v>426</v>
      </c>
      <c r="C72" s="3" t="str">
        <f t="shared" si="1"/>
        <v>CV. Karya Utama Mandiri</v>
      </c>
      <c r="D72" s="3" t="s">
        <v>103</v>
      </c>
      <c r="E72" s="3" t="s">
        <v>85</v>
      </c>
      <c r="F72" s="3" t="s">
        <v>86</v>
      </c>
      <c r="G72" s="3" t="s">
        <v>70</v>
      </c>
      <c r="H72" s="3" t="str">
        <f t="array" ref="H72">XLOOKUP(G:G,'Account Manager Data'!A:A,'Account Manager Data'!B:B,0)</f>
        <v>Yusuf Hidayat</v>
      </c>
      <c r="I72" s="11" t="str">
        <f t="array" ref="I72">XLOOKUP($G:$G,'Account Manager Data'!$A:$A,'Account Manager Data'!C:C)</f>
        <v>Sumatera</v>
      </c>
      <c r="J72" s="17">
        <v>6332635.0</v>
      </c>
      <c r="K72" s="17">
        <v>7370656.0</v>
      </c>
      <c r="L72" s="17">
        <v>4443589.0</v>
      </c>
      <c r="M72" s="17">
        <v>8113169.0</v>
      </c>
      <c r="N72" s="17">
        <v>523017.0</v>
      </c>
      <c r="O72" s="17">
        <v>9939892.0</v>
      </c>
      <c r="P72" s="17">
        <v>7562523.0</v>
      </c>
      <c r="Q72" s="17">
        <v>6895463.0</v>
      </c>
      <c r="R72" s="17">
        <v>1017814.0</v>
      </c>
      <c r="S72" s="17">
        <v>1.561798E7</v>
      </c>
      <c r="T72" s="17">
        <v>1.8275757E7</v>
      </c>
      <c r="U72" s="17">
        <v>4065759.0</v>
      </c>
      <c r="V72" s="11">
        <f t="array" ref="V72">XLOOKUP(A:A,'Raw Revenue'!A:A,'Raw Revenue'!B:B,0)
</f>
        <v>193389.1466</v>
      </c>
      <c r="W72" s="11">
        <f t="array" ref="W72">XLOOKUP(A:A,'Raw Revenue'!C:C,'Raw Revenue'!D:D,0)</f>
        <v>96694.57332</v>
      </c>
      <c r="X72" s="11">
        <f t="array" ref="X72">XLOOKUP(A:A,'Raw Revenue'!E:E,'Raw Revenue'!F:F,0)</f>
        <v>58016.74399</v>
      </c>
      <c r="Y72" s="11">
        <f t="array" ref="Y72">XLOOKUP(A:A,'Raw Revenue'!G:G,'Raw Revenue'!H:H,0)</f>
        <v>676862.0133</v>
      </c>
      <c r="Z72" s="11">
        <f t="array" ref="Z72">XLOOKUP(A:A,'Raw Revenue'!I:I,'Raw Revenue'!J:J,0)</f>
        <v>154711.3173</v>
      </c>
      <c r="AA72" s="11">
        <f t="array" ref="AA72">XLOOKUP(A:A,'Raw Revenue'!K:K,'Raw Revenue'!L:L,0)</f>
        <v>4351.2558</v>
      </c>
      <c r="AB72" s="11">
        <f t="array" ref="AB72">XLOOKUP(A:A,'Raw Revenue'!M:M,'Raw Revenue'!N:N,0)</f>
        <v>583068.2771</v>
      </c>
      <c r="AC72" s="3">
        <v>0.0</v>
      </c>
      <c r="AD72" s="3">
        <v>0.0</v>
      </c>
      <c r="AE72" s="3">
        <v>0.0</v>
      </c>
      <c r="AF72" s="3">
        <v>0.0</v>
      </c>
      <c r="AG72" s="3">
        <v>0.0</v>
      </c>
    </row>
    <row r="73">
      <c r="A73" s="3" t="s">
        <v>428</v>
      </c>
      <c r="B73" s="3" t="s">
        <v>429</v>
      </c>
      <c r="C73" s="3" t="str">
        <f t="shared" si="1"/>
        <v>PT. Pratama Jaya Sentosa</v>
      </c>
      <c r="D73" s="3" t="s">
        <v>130</v>
      </c>
      <c r="E73" s="3" t="s">
        <v>104</v>
      </c>
      <c r="F73" s="3" t="s">
        <v>252</v>
      </c>
      <c r="G73" s="3" t="s">
        <v>78</v>
      </c>
      <c r="H73" s="3" t="str">
        <f t="array" ref="H73">XLOOKUP(G:G,'Account Manager Data'!A:A,'Account Manager Data'!B:B,0)</f>
        <v>Ilham Saputra</v>
      </c>
      <c r="I73" s="11" t="str">
        <f t="array" ref="I73">XLOOKUP($G:$G,'Account Manager Data'!$A:$A,'Account Manager Data'!C:C)</f>
        <v>Jawa</v>
      </c>
      <c r="J73" s="17">
        <v>2593806.0</v>
      </c>
      <c r="K73" s="17">
        <v>3814246.0</v>
      </c>
      <c r="L73" s="17">
        <v>7825378.0</v>
      </c>
      <c r="M73" s="17">
        <v>5583779.0</v>
      </c>
      <c r="N73" s="17">
        <v>4895576.0</v>
      </c>
      <c r="O73" s="17">
        <v>1.1949797E7</v>
      </c>
      <c r="P73" s="17">
        <v>9357313.0</v>
      </c>
      <c r="Q73" s="17">
        <v>1696911.0</v>
      </c>
      <c r="R73" s="17">
        <v>1.3145512E7</v>
      </c>
      <c r="S73" s="17">
        <v>5326317.0</v>
      </c>
      <c r="T73" s="17">
        <v>1.2210461E7</v>
      </c>
      <c r="U73" s="17">
        <v>5031581.0</v>
      </c>
      <c r="V73" s="11">
        <f t="array" ref="V73">XLOOKUP(A:A,'Raw Revenue'!A:A,'Raw Revenue'!B:B,0)
</f>
        <v>0</v>
      </c>
      <c r="W73" s="11">
        <f t="array" ref="W73">XLOOKUP(A:A,'Raw Revenue'!C:C,'Raw Revenue'!D:D,0)</f>
        <v>0</v>
      </c>
      <c r="X73" s="11">
        <f t="array" ref="X73">XLOOKUP(A:A,'Raw Revenue'!E:E,'Raw Revenue'!F:F,0)</f>
        <v>0</v>
      </c>
      <c r="Y73" s="11">
        <f t="array" ref="Y73">XLOOKUP(A:A,'Raw Revenue'!G:G,'Raw Revenue'!H:H,0)</f>
        <v>0</v>
      </c>
      <c r="Z73" s="11">
        <f t="array" ref="Z73">XLOOKUP(A:A,'Raw Revenue'!I:I,'Raw Revenue'!J:J,0)</f>
        <v>0</v>
      </c>
      <c r="AA73" s="11">
        <f t="array" ref="AA73">XLOOKUP(A:A,'Raw Revenue'!K:K,'Raw Revenue'!L:L,0)</f>
        <v>0</v>
      </c>
      <c r="AB73" s="11">
        <f t="array" ref="AB73">XLOOKUP(A:A,'Raw Revenue'!M:M,'Raw Revenue'!N:N,0)</f>
        <v>0</v>
      </c>
      <c r="AC73" s="3">
        <v>0.0</v>
      </c>
      <c r="AD73" s="3">
        <v>0.0</v>
      </c>
      <c r="AE73" s="3">
        <v>0.0</v>
      </c>
      <c r="AF73" s="3">
        <v>0.0</v>
      </c>
      <c r="AG73" s="3">
        <v>0.0</v>
      </c>
    </row>
    <row r="74">
      <c r="A74" s="3" t="s">
        <v>431</v>
      </c>
      <c r="B74" s="3" t="s">
        <v>432</v>
      </c>
      <c r="C74" s="3" t="str">
        <f t="shared" si="1"/>
        <v>PT. Abadi Selamanya Jaya</v>
      </c>
      <c r="D74" s="3" t="s">
        <v>84</v>
      </c>
      <c r="E74" s="3" t="s">
        <v>187</v>
      </c>
      <c r="F74" s="3" t="s">
        <v>295</v>
      </c>
      <c r="G74" s="3" t="s">
        <v>15</v>
      </c>
      <c r="H74" s="3" t="str">
        <f t="array" ref="H74">XLOOKUP(G:G,'Account Manager Data'!A:A,'Account Manager Data'!B:B,0)</f>
        <v>Rizky Maulana</v>
      </c>
      <c r="I74" s="11" t="str">
        <f t="array" ref="I74">XLOOKUP($G:$G,'Account Manager Data'!$A:$A,'Account Manager Data'!C:C)</f>
        <v>Jawa</v>
      </c>
      <c r="J74" s="17">
        <v>7788228.0</v>
      </c>
      <c r="K74" s="17">
        <v>0.0</v>
      </c>
      <c r="L74" s="17">
        <v>5040958.0</v>
      </c>
      <c r="M74" s="17">
        <v>9363382.0</v>
      </c>
      <c r="N74" s="17">
        <v>3209063.0</v>
      </c>
      <c r="O74" s="17">
        <v>3490045.0</v>
      </c>
      <c r="P74" s="17">
        <v>4426900.0</v>
      </c>
      <c r="Q74" s="17">
        <v>0.0</v>
      </c>
      <c r="R74" s="17">
        <v>0.0</v>
      </c>
      <c r="S74" s="17">
        <v>5376550.0</v>
      </c>
      <c r="T74" s="17">
        <v>1.5075574E7</v>
      </c>
      <c r="U74" s="17">
        <v>9354774.0</v>
      </c>
      <c r="V74" s="11">
        <f t="array" ref="V74">XLOOKUP(A:A,'Raw Revenue'!A:A,'Raw Revenue'!B:B,0)
</f>
        <v>0</v>
      </c>
      <c r="W74" s="11">
        <f t="array" ref="W74">XLOOKUP(A:A,'Raw Revenue'!C:C,'Raw Revenue'!D:D,0)</f>
        <v>0</v>
      </c>
      <c r="X74" s="11">
        <f t="array" ref="X74">XLOOKUP(A:A,'Raw Revenue'!E:E,'Raw Revenue'!F:F,0)</f>
        <v>0</v>
      </c>
      <c r="Y74" s="11">
        <f t="array" ref="Y74">XLOOKUP(A:A,'Raw Revenue'!G:G,'Raw Revenue'!H:H,0)</f>
        <v>0</v>
      </c>
      <c r="Z74" s="11">
        <f t="array" ref="Z74">XLOOKUP(A:A,'Raw Revenue'!I:I,'Raw Revenue'!J:J,0)</f>
        <v>0</v>
      </c>
      <c r="AA74" s="11">
        <f t="array" ref="AA74">XLOOKUP(A:A,'Raw Revenue'!K:K,'Raw Revenue'!L:L,0)</f>
        <v>0</v>
      </c>
      <c r="AB74" s="11">
        <f t="array" ref="AB74">XLOOKUP(A:A,'Raw Revenue'!M:M,'Raw Revenue'!N:N,0)</f>
        <v>0</v>
      </c>
      <c r="AC74" s="3">
        <v>0.0</v>
      </c>
      <c r="AD74" s="3">
        <v>0.0</v>
      </c>
      <c r="AE74" s="3">
        <v>0.0</v>
      </c>
      <c r="AF74" s="3">
        <v>0.0</v>
      </c>
      <c r="AG74" s="3">
        <v>0.0</v>
      </c>
    </row>
    <row r="75">
      <c r="A75" s="3" t="s">
        <v>177</v>
      </c>
      <c r="B75" s="3" t="s">
        <v>438</v>
      </c>
      <c r="C75" s="3" t="str">
        <f t="shared" si="1"/>
        <v>PT. Mandiri Sejahtera Bersama</v>
      </c>
      <c r="D75" s="3" t="s">
        <v>103</v>
      </c>
      <c r="E75" s="3" t="s">
        <v>104</v>
      </c>
      <c r="F75" s="3" t="s">
        <v>105</v>
      </c>
      <c r="G75" s="3" t="s">
        <v>27</v>
      </c>
      <c r="H75" s="3" t="str">
        <f t="array" ref="H75">XLOOKUP(G:G,'Account Manager Data'!A:A,'Account Manager Data'!B:B,0)</f>
        <v>Dedi Kurniawan</v>
      </c>
      <c r="I75" s="11" t="str">
        <f t="array" ref="I75">XLOOKUP($G:$G,'Account Manager Data'!$A:$A,'Account Manager Data'!C:C)</f>
        <v>Kalimantan</v>
      </c>
      <c r="J75" s="17">
        <v>1703735.0</v>
      </c>
      <c r="K75" s="17">
        <v>1424284.0</v>
      </c>
      <c r="L75" s="17">
        <v>1202.0</v>
      </c>
      <c r="M75" s="17">
        <v>2345056.0</v>
      </c>
      <c r="N75" s="17">
        <v>0.0</v>
      </c>
      <c r="O75" s="17">
        <v>5454778.0</v>
      </c>
      <c r="P75" s="17">
        <v>1474991.0</v>
      </c>
      <c r="Q75" s="17">
        <v>6859620.0</v>
      </c>
      <c r="R75" s="17">
        <v>8846343.0</v>
      </c>
      <c r="S75" s="17">
        <v>8226415.0</v>
      </c>
      <c r="T75" s="17">
        <v>1.2452706E7</v>
      </c>
      <c r="U75" s="17">
        <v>1.9269695E7</v>
      </c>
      <c r="V75" s="11">
        <f t="array" ref="V75">XLOOKUP(A:A,'Raw Revenue'!A:A,'Raw Revenue'!B:B,0)
</f>
        <v>5569607.424</v>
      </c>
      <c r="W75" s="11">
        <f t="array" ref="W75">XLOOKUP(A:A,'Raw Revenue'!C:C,'Raw Revenue'!D:D,0)</f>
        <v>5569607.424</v>
      </c>
      <c r="X75" s="11">
        <f t="array" ref="X75">XLOOKUP(A:A,'Raw Revenue'!E:E,'Raw Revenue'!F:F,0)</f>
        <v>11139214.85</v>
      </c>
      <c r="Y75" s="11">
        <f t="array" ref="Y75">XLOOKUP(A:A,'Raw Revenue'!G:G,'Raw Revenue'!H:H,0)</f>
        <v>9097025.458</v>
      </c>
      <c r="Z75" s="11">
        <f t="array" ref="Z75">XLOOKUP(A:A,'Raw Revenue'!I:I,'Raw Revenue'!J:J,0)</f>
        <v>8168757.554</v>
      </c>
      <c r="AA75" s="11">
        <f t="array" ref="AA75">XLOOKUP(A:A,'Raw Revenue'!K:K,'Raw Revenue'!L:L,0)</f>
        <v>20886027.84</v>
      </c>
      <c r="AB75" s="11">
        <f t="array" ref="AB75">XLOOKUP(A:A,'Raw Revenue'!M:M,'Raw Revenue'!N:N,0)</f>
        <v>19215145.61</v>
      </c>
      <c r="AC75" s="3">
        <v>0.0</v>
      </c>
      <c r="AD75" s="3">
        <v>0.0</v>
      </c>
      <c r="AE75" s="3">
        <v>0.0</v>
      </c>
      <c r="AF75" s="3">
        <v>0.0</v>
      </c>
      <c r="AG75" s="3">
        <v>0.0</v>
      </c>
    </row>
    <row r="76">
      <c r="A76" s="3" t="s">
        <v>266</v>
      </c>
      <c r="B76" s="3" t="s">
        <v>453</v>
      </c>
      <c r="C76" s="3" t="str">
        <f t="shared" si="1"/>
        <v>PT. Sejahtera Alam Indonesia</v>
      </c>
      <c r="D76" s="3" t="s">
        <v>103</v>
      </c>
      <c r="E76" s="3" t="s">
        <v>104</v>
      </c>
      <c r="F76" s="3" t="s">
        <v>134</v>
      </c>
      <c r="G76" s="3" t="s">
        <v>53</v>
      </c>
      <c r="H76" s="3" t="str">
        <f t="array" ref="H76">XLOOKUP(G:G,'Account Manager Data'!A:A,'Account Manager Data'!B:B,0)</f>
        <v>Fajar Ramadhan</v>
      </c>
      <c r="I76" s="11" t="str">
        <f t="array" ref="I76">XLOOKUP($G:$G,'Account Manager Data'!$A:$A,'Account Manager Data'!C:C)</f>
        <v>Sulawesi</v>
      </c>
      <c r="J76" s="17">
        <v>1027189.0</v>
      </c>
      <c r="K76" s="17">
        <v>3497462.0</v>
      </c>
      <c r="L76" s="17">
        <v>5919389.0</v>
      </c>
      <c r="M76" s="17">
        <v>2627966.0</v>
      </c>
      <c r="N76" s="17">
        <v>1.1652469E7</v>
      </c>
      <c r="O76" s="17">
        <v>3088377.0</v>
      </c>
      <c r="P76" s="17">
        <v>9757663.0</v>
      </c>
      <c r="Q76" s="17">
        <v>2940920.0</v>
      </c>
      <c r="R76" s="17">
        <v>9043096.0</v>
      </c>
      <c r="S76" s="17">
        <v>1.0122776E7</v>
      </c>
      <c r="T76" s="17">
        <v>999202.0</v>
      </c>
      <c r="U76" s="17">
        <v>4245075.0</v>
      </c>
      <c r="V76" s="11">
        <f t="array" ref="V76">XLOOKUP(A:A,'Raw Revenue'!A:A,'Raw Revenue'!B:B,0)
</f>
        <v>5569607.424</v>
      </c>
      <c r="W76" s="11">
        <f t="array" ref="W76">XLOOKUP(A:A,'Raw Revenue'!C:C,'Raw Revenue'!D:D,0)</f>
        <v>5569607.424</v>
      </c>
      <c r="X76" s="11">
        <f t="array" ref="X76">XLOOKUP(A:A,'Raw Revenue'!E:E,'Raw Revenue'!F:F,0)</f>
        <v>11139214.85</v>
      </c>
      <c r="Y76" s="11">
        <f t="array" ref="Y76">XLOOKUP(A:A,'Raw Revenue'!G:G,'Raw Revenue'!H:H,0)</f>
        <v>9097025.458</v>
      </c>
      <c r="Z76" s="11">
        <f t="array" ref="Z76">XLOOKUP(A:A,'Raw Revenue'!I:I,'Raw Revenue'!J:J,0)</f>
        <v>8168757.554</v>
      </c>
      <c r="AA76" s="11">
        <f t="array" ref="AA76">XLOOKUP(A:A,'Raw Revenue'!K:K,'Raw Revenue'!L:L,0)</f>
        <v>20886027.84</v>
      </c>
      <c r="AB76" s="11">
        <f t="array" ref="AB76">XLOOKUP(A:A,'Raw Revenue'!M:M,'Raw Revenue'!N:N,0)</f>
        <v>19215145.61</v>
      </c>
      <c r="AC76" s="3">
        <v>0.0</v>
      </c>
      <c r="AD76" s="3">
        <v>0.0</v>
      </c>
      <c r="AE76" s="3">
        <v>0.0</v>
      </c>
      <c r="AF76" s="3">
        <v>0.0</v>
      </c>
      <c r="AG76" s="3">
        <v>0.0</v>
      </c>
    </row>
    <row r="77">
      <c r="A77" s="3" t="s">
        <v>476</v>
      </c>
      <c r="B77" s="3" t="s">
        <v>477</v>
      </c>
      <c r="C77" s="3" t="str">
        <f t="shared" si="1"/>
        <v>PT. Indah Kargo Logistik</v>
      </c>
      <c r="D77" s="3" t="s">
        <v>214</v>
      </c>
      <c r="E77" s="3" t="s">
        <v>187</v>
      </c>
      <c r="F77" s="3" t="s">
        <v>295</v>
      </c>
      <c r="G77" s="3" t="s">
        <v>63</v>
      </c>
      <c r="H77" s="3" t="str">
        <f t="array" ref="H77">XLOOKUP(G:G,'Account Manager Data'!A:A,'Account Manager Data'!B:B,0)</f>
        <v>Hendra Gunawan</v>
      </c>
      <c r="I77" s="11" t="str">
        <f t="array" ref="I77">XLOOKUP($G:$G,'Account Manager Data'!$A:$A,'Account Manager Data'!C:C)</f>
        <v>Kalimantan</v>
      </c>
      <c r="J77" s="17">
        <v>3231829.0</v>
      </c>
      <c r="K77" s="17">
        <v>8090201.0</v>
      </c>
      <c r="L77" s="17">
        <v>9978363.0</v>
      </c>
      <c r="M77" s="17">
        <v>1.1775534E7</v>
      </c>
      <c r="N77" s="17">
        <v>1033042.0</v>
      </c>
      <c r="O77" s="17">
        <v>1.3138467E7</v>
      </c>
      <c r="P77" s="17">
        <v>2652764.0</v>
      </c>
      <c r="Q77" s="17">
        <v>4121305.0</v>
      </c>
      <c r="R77" s="17">
        <v>1.7237583E7</v>
      </c>
      <c r="S77" s="17">
        <v>1.3610276E7</v>
      </c>
      <c r="T77" s="17">
        <v>8051920.0</v>
      </c>
      <c r="U77" s="17">
        <v>1.025963E7</v>
      </c>
      <c r="V77" s="11">
        <f t="array" ref="V77">XLOOKUP(A:A,'Raw Revenue'!A:A,'Raw Revenue'!B:B,0)
</f>
        <v>0</v>
      </c>
      <c r="W77" s="11">
        <f t="array" ref="W77">XLOOKUP(A:A,'Raw Revenue'!C:C,'Raw Revenue'!D:D,0)</f>
        <v>0</v>
      </c>
      <c r="X77" s="11">
        <f t="array" ref="X77">XLOOKUP(A:A,'Raw Revenue'!E:E,'Raw Revenue'!F:F,0)</f>
        <v>0</v>
      </c>
      <c r="Y77" s="11">
        <f t="array" ref="Y77">XLOOKUP(A:A,'Raw Revenue'!G:G,'Raw Revenue'!H:H,0)</f>
        <v>0</v>
      </c>
      <c r="Z77" s="11">
        <f t="array" ref="Z77">XLOOKUP(A:A,'Raw Revenue'!I:I,'Raw Revenue'!J:J,0)</f>
        <v>0</v>
      </c>
      <c r="AA77" s="11">
        <f t="array" ref="AA77">XLOOKUP(A:A,'Raw Revenue'!K:K,'Raw Revenue'!L:L,0)</f>
        <v>0</v>
      </c>
      <c r="AB77" s="11">
        <f t="array" ref="AB77">XLOOKUP(A:A,'Raw Revenue'!M:M,'Raw Revenue'!N:N,0)</f>
        <v>0</v>
      </c>
      <c r="AC77" s="3">
        <v>0.0</v>
      </c>
      <c r="AD77" s="3">
        <v>0.0</v>
      </c>
      <c r="AE77" s="3">
        <v>0.0</v>
      </c>
      <c r="AF77" s="3">
        <v>0.0</v>
      </c>
      <c r="AG77" s="3">
        <v>0.0</v>
      </c>
    </row>
    <row r="78">
      <c r="A78" s="3" t="s">
        <v>479</v>
      </c>
      <c r="B78" s="3" t="s">
        <v>480</v>
      </c>
      <c r="C78" s="3" t="str">
        <f t="shared" si="1"/>
        <v>PT. Berkah Alam Semesta</v>
      </c>
      <c r="D78" s="3" t="s">
        <v>84</v>
      </c>
      <c r="E78" s="3" t="s">
        <v>196</v>
      </c>
      <c r="F78" s="3" t="s">
        <v>260</v>
      </c>
      <c r="G78" s="3" t="s">
        <v>35</v>
      </c>
      <c r="H78" s="3" t="str">
        <f t="array" ref="H78">XLOOKUP(G:G,'Account Manager Data'!A:A,'Account Manager Data'!B:B,0)</f>
        <v>Ahmad Fauzi</v>
      </c>
      <c r="I78" s="11" t="str">
        <f t="array" ref="I78">XLOOKUP($G:$G,'Account Manager Data'!$A:$A,'Account Manager Data'!C:C)</f>
        <v>Sumatera</v>
      </c>
      <c r="J78" s="17">
        <v>7771269.0</v>
      </c>
      <c r="K78" s="17">
        <v>6580580.0</v>
      </c>
      <c r="L78" s="17">
        <v>2739316.0</v>
      </c>
      <c r="M78" s="17">
        <v>1811780.0</v>
      </c>
      <c r="N78" s="17">
        <v>9562845.0</v>
      </c>
      <c r="O78" s="17">
        <v>0.0</v>
      </c>
      <c r="P78" s="17">
        <v>7548721.0</v>
      </c>
      <c r="Q78" s="17">
        <v>9112570.0</v>
      </c>
      <c r="R78" s="17">
        <v>4138487.0</v>
      </c>
      <c r="S78" s="17">
        <v>1.5640525E7</v>
      </c>
      <c r="T78" s="17">
        <v>3889685.0</v>
      </c>
      <c r="U78" s="17">
        <v>1.4599727E7</v>
      </c>
      <c r="V78" s="11">
        <f t="array" ref="V78">XLOOKUP(A:A,'Raw Revenue'!A:A,'Raw Revenue'!B:B,0)
</f>
        <v>0</v>
      </c>
      <c r="W78" s="11">
        <f t="array" ref="W78">XLOOKUP(A:A,'Raw Revenue'!C:C,'Raw Revenue'!D:D,0)</f>
        <v>0</v>
      </c>
      <c r="X78" s="11">
        <f t="array" ref="X78">XLOOKUP(A:A,'Raw Revenue'!E:E,'Raw Revenue'!F:F,0)</f>
        <v>0</v>
      </c>
      <c r="Y78" s="11">
        <f t="array" ref="Y78">XLOOKUP(A:A,'Raw Revenue'!G:G,'Raw Revenue'!H:H,0)</f>
        <v>0</v>
      </c>
      <c r="Z78" s="11">
        <f t="array" ref="Z78">XLOOKUP(A:A,'Raw Revenue'!I:I,'Raw Revenue'!J:J,0)</f>
        <v>0</v>
      </c>
      <c r="AA78" s="11">
        <f t="array" ref="AA78">XLOOKUP(A:A,'Raw Revenue'!K:K,'Raw Revenue'!L:L,0)</f>
        <v>0</v>
      </c>
      <c r="AB78" s="11">
        <f t="array" ref="AB78">XLOOKUP(A:A,'Raw Revenue'!M:M,'Raw Revenue'!N:N,0)</f>
        <v>0</v>
      </c>
      <c r="AC78" s="3">
        <v>0.0</v>
      </c>
      <c r="AD78" s="3">
        <v>0.0</v>
      </c>
      <c r="AE78" s="3">
        <v>0.0</v>
      </c>
      <c r="AF78" s="3">
        <v>0.0</v>
      </c>
      <c r="AG78" s="3">
        <v>0.0</v>
      </c>
    </row>
    <row r="79">
      <c r="A79" s="3" t="s">
        <v>238</v>
      </c>
      <c r="B79" s="3" t="s">
        <v>482</v>
      </c>
      <c r="C79" s="3" t="str">
        <f t="shared" si="1"/>
        <v>PT. Cahaya Baru Indonesia</v>
      </c>
      <c r="D79" s="3" t="s">
        <v>103</v>
      </c>
      <c r="E79" s="3" t="s">
        <v>85</v>
      </c>
      <c r="F79" s="3" t="s">
        <v>407</v>
      </c>
      <c r="G79" s="3" t="s">
        <v>43</v>
      </c>
      <c r="H79" s="3" t="str">
        <f t="array" ref="H79">XLOOKUP(G:G,'Account Manager Data'!A:A,'Account Manager Data'!B:B,0)</f>
        <v>Eko Prasetyo</v>
      </c>
      <c r="I79" s="11" t="str">
        <f t="array" ref="I79">XLOOKUP($G:$G,'Account Manager Data'!$A:$A,'Account Manager Data'!C:C)</f>
        <v>Papua</v>
      </c>
      <c r="J79" s="17">
        <v>4552169.0</v>
      </c>
      <c r="K79" s="17">
        <v>52886.0</v>
      </c>
      <c r="L79" s="17">
        <v>0.0</v>
      </c>
      <c r="M79" s="17">
        <v>4325792.0</v>
      </c>
      <c r="N79" s="17">
        <v>1.3472031E7</v>
      </c>
      <c r="O79" s="17">
        <v>2040668.0</v>
      </c>
      <c r="P79" s="17">
        <v>9654389.0</v>
      </c>
      <c r="Q79" s="17">
        <v>3898213.0</v>
      </c>
      <c r="R79" s="17">
        <v>366228.0</v>
      </c>
      <c r="S79" s="17">
        <v>275161.0</v>
      </c>
      <c r="T79" s="17">
        <v>1.5389371E7</v>
      </c>
      <c r="U79" s="17">
        <v>5927211.0</v>
      </c>
      <c r="V79" s="11">
        <f t="array" ref="V79">XLOOKUP(A:A,'Raw Revenue'!A:A,'Raw Revenue'!B:B,0)
</f>
        <v>3433319.645</v>
      </c>
      <c r="W79" s="11">
        <f t="array" ref="W79">XLOOKUP(A:A,'Raw Revenue'!C:C,'Raw Revenue'!D:D,0)</f>
        <v>3433319.645</v>
      </c>
      <c r="X79" s="11">
        <f t="array" ref="X79">XLOOKUP(A:A,'Raw Revenue'!E:E,'Raw Revenue'!F:F,0)</f>
        <v>6866639.289</v>
      </c>
      <c r="Y79" s="11">
        <f t="array" ref="Y79">XLOOKUP(A:A,'Raw Revenue'!G:G,'Raw Revenue'!H:H,0)</f>
        <v>5607755.42</v>
      </c>
      <c r="Z79" s="11">
        <f t="array" ref="Z79">XLOOKUP(A:A,'Raw Revenue'!I:I,'Raw Revenue'!J:J,0)</f>
        <v>5035535.479</v>
      </c>
      <c r="AA79" s="11">
        <f t="array" ref="AA79">XLOOKUP(A:A,'Raw Revenue'!K:K,'Raw Revenue'!L:L,0)</f>
        <v>12874948.67</v>
      </c>
      <c r="AB79" s="11">
        <f t="array" ref="AB79">XLOOKUP(A:A,'Raw Revenue'!M:M,'Raw Revenue'!N:N,0)</f>
        <v>11844952.77</v>
      </c>
      <c r="AC79" s="3">
        <v>0.0</v>
      </c>
      <c r="AD79" s="3">
        <v>0.0</v>
      </c>
      <c r="AE79" s="3">
        <v>0.0</v>
      </c>
      <c r="AF79" s="3">
        <v>0.0</v>
      </c>
      <c r="AG79" s="3">
        <v>0.0</v>
      </c>
    </row>
    <row r="80">
      <c r="A80" s="3" t="s">
        <v>369</v>
      </c>
      <c r="B80" s="3" t="s">
        <v>483</v>
      </c>
      <c r="C80" s="3" t="str">
        <f t="shared" si="1"/>
        <v>PT. Mentari Pagi Sejahtera</v>
      </c>
      <c r="D80" s="3" t="s">
        <v>103</v>
      </c>
      <c r="E80" s="3" t="s">
        <v>215</v>
      </c>
      <c r="F80" s="3" t="s">
        <v>216</v>
      </c>
      <c r="G80" s="3" t="s">
        <v>74</v>
      </c>
      <c r="H80" s="3" t="str">
        <f t="array" ref="H80">XLOOKUP(G:G,'Account Manager Data'!A:A,'Account Manager Data'!B:B,0)</f>
        <v>Budi Santoso</v>
      </c>
      <c r="I80" s="11" t="str">
        <f t="array" ref="I80">XLOOKUP($G:$G,'Account Manager Data'!$A:$A,'Account Manager Data'!C:C)</f>
        <v>Papua</v>
      </c>
      <c r="J80" s="17">
        <v>7346382.0</v>
      </c>
      <c r="K80" s="17">
        <v>1659981.0</v>
      </c>
      <c r="L80" s="17">
        <v>1.0575725E7</v>
      </c>
      <c r="M80" s="17">
        <v>2710019.0</v>
      </c>
      <c r="N80" s="17">
        <v>6120682.0</v>
      </c>
      <c r="O80" s="17">
        <v>1.4268215E7</v>
      </c>
      <c r="P80" s="17">
        <v>1.3732842E7</v>
      </c>
      <c r="Q80" s="17">
        <v>4701517.0</v>
      </c>
      <c r="R80" s="17">
        <v>709799.0</v>
      </c>
      <c r="S80" s="17">
        <v>0.0</v>
      </c>
      <c r="T80" s="17">
        <v>7943395.0</v>
      </c>
      <c r="U80" s="17">
        <v>7933097.0</v>
      </c>
      <c r="V80" s="11">
        <f t="array" ref="V80">XLOOKUP(A:A,'Raw Revenue'!A:A,'Raw Revenue'!B:B,0)
</f>
        <v>1172548.931</v>
      </c>
      <c r="W80" s="11">
        <f t="array" ref="W80">XLOOKUP(A:A,'Raw Revenue'!C:C,'Raw Revenue'!D:D,0)</f>
        <v>586274.4656</v>
      </c>
      <c r="X80" s="11">
        <f t="array" ref="X80">XLOOKUP(A:A,'Raw Revenue'!E:E,'Raw Revenue'!F:F,0)</f>
        <v>351764.6794</v>
      </c>
      <c r="Y80" s="11">
        <f t="array" ref="Y80">XLOOKUP(A:A,'Raw Revenue'!G:G,'Raw Revenue'!H:H,0)</f>
        <v>4103921.259</v>
      </c>
      <c r="Z80" s="11">
        <f t="array" ref="Z80">XLOOKUP(A:A,'Raw Revenue'!I:I,'Raw Revenue'!J:J,0)</f>
        <v>938039.145</v>
      </c>
      <c r="AA80" s="11">
        <f t="array" ref="AA80">XLOOKUP(A:A,'Raw Revenue'!K:K,'Raw Revenue'!L:L,0)</f>
        <v>26382.35095</v>
      </c>
      <c r="AB80" s="11">
        <f t="array" ref="AB80">XLOOKUP(A:A,'Raw Revenue'!M:M,'Raw Revenue'!N:N,0)</f>
        <v>3535235.028</v>
      </c>
      <c r="AC80" s="3">
        <v>0.0</v>
      </c>
      <c r="AD80" s="3">
        <v>0.0</v>
      </c>
      <c r="AE80" s="3">
        <v>0.0</v>
      </c>
      <c r="AF80" s="3">
        <v>0.0</v>
      </c>
      <c r="AG80" s="3">
        <v>0.0</v>
      </c>
    </row>
    <row r="81">
      <c r="A81" s="3" t="s">
        <v>484</v>
      </c>
      <c r="B81" s="3" t="s">
        <v>485</v>
      </c>
      <c r="C81" s="3" t="str">
        <f t="shared" si="1"/>
        <v>PT. Bintang Kejora Nusantara</v>
      </c>
      <c r="D81" s="3" t="s">
        <v>186</v>
      </c>
      <c r="E81" s="3" t="s">
        <v>215</v>
      </c>
      <c r="F81" s="3" t="s">
        <v>300</v>
      </c>
      <c r="G81" s="3" t="s">
        <v>76</v>
      </c>
      <c r="H81" s="3" t="str">
        <f t="array" ref="H81">XLOOKUP(G:G,'Account Manager Data'!A:A,'Account Manager Data'!B:B,0)</f>
        <v>Teguh Wijaya</v>
      </c>
      <c r="I81" s="11" t="str">
        <f t="array" ref="I81">XLOOKUP($G:$G,'Account Manager Data'!$A:$A,'Account Manager Data'!C:C)</f>
        <v>Sulawesi</v>
      </c>
      <c r="J81" s="17">
        <v>7040972.0</v>
      </c>
      <c r="K81" s="17">
        <v>3849808.0</v>
      </c>
      <c r="L81" s="17">
        <v>8889314.0</v>
      </c>
      <c r="M81" s="17">
        <v>6577933.0</v>
      </c>
      <c r="N81" s="17">
        <v>8764393.0</v>
      </c>
      <c r="O81" s="17">
        <v>1642691.0</v>
      </c>
      <c r="P81" s="17">
        <v>7086793.0</v>
      </c>
      <c r="Q81" s="17">
        <v>1.4962104E7</v>
      </c>
      <c r="R81" s="17">
        <v>1.4440931E7</v>
      </c>
      <c r="S81" s="17">
        <v>1.2762312E7</v>
      </c>
      <c r="T81" s="17">
        <v>1.3017429E7</v>
      </c>
      <c r="U81" s="17">
        <v>9856876.0</v>
      </c>
      <c r="V81" s="11">
        <f t="array" ref="V81">XLOOKUP(A:A,'Raw Revenue'!A:A,'Raw Revenue'!B:B,0)
</f>
        <v>0</v>
      </c>
      <c r="W81" s="11">
        <f t="array" ref="W81">XLOOKUP(A:A,'Raw Revenue'!C:C,'Raw Revenue'!D:D,0)</f>
        <v>0</v>
      </c>
      <c r="X81" s="11">
        <f t="array" ref="X81">XLOOKUP(A:A,'Raw Revenue'!E:E,'Raw Revenue'!F:F,0)</f>
        <v>0</v>
      </c>
      <c r="Y81" s="11">
        <f t="array" ref="Y81">XLOOKUP(A:A,'Raw Revenue'!G:G,'Raw Revenue'!H:H,0)</f>
        <v>0</v>
      </c>
      <c r="Z81" s="11">
        <f t="array" ref="Z81">XLOOKUP(A:A,'Raw Revenue'!I:I,'Raw Revenue'!J:J,0)</f>
        <v>0</v>
      </c>
      <c r="AA81" s="11">
        <f t="array" ref="AA81">XLOOKUP(A:A,'Raw Revenue'!K:K,'Raw Revenue'!L:L,0)</f>
        <v>0</v>
      </c>
      <c r="AB81" s="11">
        <f t="array" ref="AB81">XLOOKUP(A:A,'Raw Revenue'!M:M,'Raw Revenue'!N:N,0)</f>
        <v>0</v>
      </c>
      <c r="AC81" s="3">
        <v>0.0</v>
      </c>
      <c r="AD81" s="3">
        <v>0.0</v>
      </c>
      <c r="AE81" s="3">
        <v>0.0</v>
      </c>
      <c r="AF81" s="3">
        <v>0.0</v>
      </c>
      <c r="AG81" s="3">
        <v>0.0</v>
      </c>
    </row>
    <row r="82">
      <c r="A82" s="3" t="s">
        <v>486</v>
      </c>
      <c r="B82" s="3" t="s">
        <v>487</v>
      </c>
      <c r="C82" s="3" t="str">
        <f t="shared" si="1"/>
        <v>PT. Maju Jaya</v>
      </c>
      <c r="D82" s="3" t="s">
        <v>186</v>
      </c>
      <c r="E82" s="3" t="s">
        <v>187</v>
      </c>
      <c r="F82" s="3" t="s">
        <v>188</v>
      </c>
      <c r="G82" s="3" t="s">
        <v>70</v>
      </c>
      <c r="H82" s="3" t="str">
        <f t="array" ref="H82">XLOOKUP(G:G,'Account Manager Data'!A:A,'Account Manager Data'!B:B,0)</f>
        <v>Yusuf Hidayat</v>
      </c>
      <c r="I82" s="11" t="str">
        <f t="array" ref="I82">XLOOKUP($G:$G,'Account Manager Data'!$A:$A,'Account Manager Data'!C:C)</f>
        <v>Sumatera</v>
      </c>
      <c r="J82" s="17">
        <v>6106525.0</v>
      </c>
      <c r="K82" s="17">
        <v>1678905.0</v>
      </c>
      <c r="L82" s="17">
        <v>1967552.0</v>
      </c>
      <c r="M82" s="17">
        <v>4336926.0</v>
      </c>
      <c r="N82" s="17">
        <v>1.1265051E7</v>
      </c>
      <c r="O82" s="17">
        <v>1.2666708E7</v>
      </c>
      <c r="P82" s="17">
        <v>1.5827556E7</v>
      </c>
      <c r="Q82" s="17">
        <v>0.0</v>
      </c>
      <c r="R82" s="17">
        <v>1153523.0</v>
      </c>
      <c r="S82" s="17">
        <v>562771.0</v>
      </c>
      <c r="T82" s="17">
        <v>3282320.0</v>
      </c>
      <c r="U82" s="17">
        <v>1.2035621E7</v>
      </c>
      <c r="V82" s="11">
        <f t="array" ref="V82">XLOOKUP(A:A,'Raw Revenue'!A:A,'Raw Revenue'!B:B,0)
</f>
        <v>0</v>
      </c>
      <c r="W82" s="11">
        <f t="array" ref="W82">XLOOKUP(A:A,'Raw Revenue'!C:C,'Raw Revenue'!D:D,0)</f>
        <v>0</v>
      </c>
      <c r="X82" s="11">
        <f t="array" ref="X82">XLOOKUP(A:A,'Raw Revenue'!E:E,'Raw Revenue'!F:F,0)</f>
        <v>0</v>
      </c>
      <c r="Y82" s="11">
        <f t="array" ref="Y82">XLOOKUP(A:A,'Raw Revenue'!G:G,'Raw Revenue'!H:H,0)</f>
        <v>0</v>
      </c>
      <c r="Z82" s="11">
        <f t="array" ref="Z82">XLOOKUP(A:A,'Raw Revenue'!I:I,'Raw Revenue'!J:J,0)</f>
        <v>0</v>
      </c>
      <c r="AA82" s="11">
        <f t="array" ref="AA82">XLOOKUP(A:A,'Raw Revenue'!K:K,'Raw Revenue'!L:L,0)</f>
        <v>0</v>
      </c>
      <c r="AB82" s="11">
        <f t="array" ref="AB82">XLOOKUP(A:A,'Raw Revenue'!M:M,'Raw Revenue'!N:N,0)</f>
        <v>0</v>
      </c>
      <c r="AC82" s="3">
        <v>0.0</v>
      </c>
      <c r="AD82" s="3">
        <v>0.0</v>
      </c>
      <c r="AE82" s="3">
        <v>0.0</v>
      </c>
      <c r="AF82" s="3">
        <v>0.0</v>
      </c>
      <c r="AG82" s="3">
        <v>0.0</v>
      </c>
    </row>
    <row r="83">
      <c r="A83" s="3" t="s">
        <v>489</v>
      </c>
      <c r="B83" s="3" t="s">
        <v>490</v>
      </c>
      <c r="C83" s="3" t="str">
        <f t="shared" si="1"/>
        <v>CV. Sumber Makmur</v>
      </c>
      <c r="D83" s="3" t="s">
        <v>130</v>
      </c>
      <c r="E83" s="3" t="s">
        <v>187</v>
      </c>
      <c r="F83" s="3" t="s">
        <v>295</v>
      </c>
      <c r="G83" s="3" t="s">
        <v>15</v>
      </c>
      <c r="H83" s="3" t="str">
        <f t="array" ref="H83">XLOOKUP(G:G,'Account Manager Data'!A:A,'Account Manager Data'!B:B,0)</f>
        <v>Rizky Maulana</v>
      </c>
      <c r="I83" s="11" t="str">
        <f t="array" ref="I83">XLOOKUP($G:$G,'Account Manager Data'!$A:$A,'Account Manager Data'!C:C)</f>
        <v>Jawa</v>
      </c>
      <c r="J83" s="17">
        <v>7846175.0</v>
      </c>
      <c r="K83" s="17">
        <v>650263.0</v>
      </c>
      <c r="L83" s="17">
        <v>6252969.0</v>
      </c>
      <c r="M83" s="17">
        <v>1.1559629E7</v>
      </c>
      <c r="N83" s="17">
        <v>1.2539634E7</v>
      </c>
      <c r="O83" s="17">
        <v>6325272.0</v>
      </c>
      <c r="P83" s="17">
        <v>9698287.0</v>
      </c>
      <c r="Q83" s="17">
        <v>863619.0</v>
      </c>
      <c r="R83" s="17">
        <v>603728.0</v>
      </c>
      <c r="S83" s="17">
        <v>1.6733371E7</v>
      </c>
      <c r="T83" s="17">
        <v>1472190.0</v>
      </c>
      <c r="U83" s="17">
        <v>6658430.0</v>
      </c>
      <c r="V83" s="11">
        <f t="array" ref="V83">XLOOKUP(A:A,'Raw Revenue'!A:A,'Raw Revenue'!B:B,0)
</f>
        <v>0</v>
      </c>
      <c r="W83" s="11">
        <f t="array" ref="W83">XLOOKUP(A:A,'Raw Revenue'!C:C,'Raw Revenue'!D:D,0)</f>
        <v>0</v>
      </c>
      <c r="X83" s="11">
        <f t="array" ref="X83">XLOOKUP(A:A,'Raw Revenue'!E:E,'Raw Revenue'!F:F,0)</f>
        <v>0</v>
      </c>
      <c r="Y83" s="11">
        <f t="array" ref="Y83">XLOOKUP(A:A,'Raw Revenue'!G:G,'Raw Revenue'!H:H,0)</f>
        <v>0</v>
      </c>
      <c r="Z83" s="11">
        <f t="array" ref="Z83">XLOOKUP(A:A,'Raw Revenue'!I:I,'Raw Revenue'!J:J,0)</f>
        <v>0</v>
      </c>
      <c r="AA83" s="11">
        <f t="array" ref="AA83">XLOOKUP(A:A,'Raw Revenue'!K:K,'Raw Revenue'!L:L,0)</f>
        <v>0</v>
      </c>
      <c r="AB83" s="11">
        <f t="array" ref="AB83">XLOOKUP(A:A,'Raw Revenue'!M:M,'Raw Revenue'!N:N,0)</f>
        <v>0</v>
      </c>
      <c r="AC83" s="3">
        <v>0.0</v>
      </c>
      <c r="AD83" s="3">
        <v>0.0</v>
      </c>
      <c r="AE83" s="3">
        <v>0.0</v>
      </c>
      <c r="AF83" s="3">
        <v>0.0</v>
      </c>
      <c r="AG83" s="3">
        <v>0.0</v>
      </c>
    </row>
    <row r="84">
      <c r="A84" s="3" t="s">
        <v>491</v>
      </c>
      <c r="B84" s="3" t="s">
        <v>492</v>
      </c>
      <c r="C84" s="3" t="str">
        <f t="shared" si="1"/>
        <v>PT. Teknologi Nusantara</v>
      </c>
      <c r="D84" s="3" t="s">
        <v>195</v>
      </c>
      <c r="E84" s="3" t="s">
        <v>187</v>
      </c>
      <c r="F84" s="3" t="s">
        <v>295</v>
      </c>
      <c r="G84" s="3" t="s">
        <v>27</v>
      </c>
      <c r="H84" s="3" t="str">
        <f t="array" ref="H84">XLOOKUP(G:G,'Account Manager Data'!A:A,'Account Manager Data'!B:B,0)</f>
        <v>Dedi Kurniawan</v>
      </c>
      <c r="I84" s="11" t="str">
        <f t="array" ref="I84">XLOOKUP($G:$G,'Account Manager Data'!$A:$A,'Account Manager Data'!C:C)</f>
        <v>Kalimantan</v>
      </c>
      <c r="J84" s="17">
        <v>7942850.0</v>
      </c>
      <c r="K84" s="17">
        <v>7510267.0</v>
      </c>
      <c r="L84" s="17">
        <v>5893830.0</v>
      </c>
      <c r="M84" s="17">
        <v>0.0</v>
      </c>
      <c r="N84" s="17">
        <v>8579783.0</v>
      </c>
      <c r="O84" s="17">
        <v>1.1646988E7</v>
      </c>
      <c r="P84" s="17">
        <v>8296181.0</v>
      </c>
      <c r="Q84" s="17">
        <v>6390121.0</v>
      </c>
      <c r="R84" s="17">
        <v>1.4959311E7</v>
      </c>
      <c r="S84" s="17">
        <v>1.3446106E7</v>
      </c>
      <c r="T84" s="17">
        <v>6356693.0</v>
      </c>
      <c r="U84" s="17">
        <v>1.5010065E7</v>
      </c>
      <c r="V84" s="11">
        <f t="array" ref="V84">XLOOKUP(A:A,'Raw Revenue'!A:A,'Raw Revenue'!B:B,0)
</f>
        <v>0</v>
      </c>
      <c r="W84" s="11">
        <f t="array" ref="W84">XLOOKUP(A:A,'Raw Revenue'!C:C,'Raw Revenue'!D:D,0)</f>
        <v>0</v>
      </c>
      <c r="X84" s="11">
        <f t="array" ref="X84">XLOOKUP(A:A,'Raw Revenue'!E:E,'Raw Revenue'!F:F,0)</f>
        <v>0</v>
      </c>
      <c r="Y84" s="11">
        <f t="array" ref="Y84">XLOOKUP(A:A,'Raw Revenue'!G:G,'Raw Revenue'!H:H,0)</f>
        <v>0</v>
      </c>
      <c r="Z84" s="11">
        <f t="array" ref="Z84">XLOOKUP(A:A,'Raw Revenue'!I:I,'Raw Revenue'!J:J,0)</f>
        <v>0</v>
      </c>
      <c r="AA84" s="11">
        <f t="array" ref="AA84">XLOOKUP(A:A,'Raw Revenue'!K:K,'Raw Revenue'!L:L,0)</f>
        <v>0</v>
      </c>
      <c r="AB84" s="11">
        <f t="array" ref="AB84">XLOOKUP(A:A,'Raw Revenue'!M:M,'Raw Revenue'!N:N,0)</f>
        <v>0</v>
      </c>
      <c r="AC84" s="3">
        <v>0.0</v>
      </c>
      <c r="AD84" s="3">
        <v>0.0</v>
      </c>
      <c r="AE84" s="3">
        <v>0.0</v>
      </c>
      <c r="AF84" s="3">
        <v>0.0</v>
      </c>
      <c r="AG84" s="3">
        <v>0.0</v>
      </c>
    </row>
    <row r="85">
      <c r="A85" s="3" t="s">
        <v>493</v>
      </c>
      <c r="B85" s="3" t="s">
        <v>494</v>
      </c>
      <c r="C85" s="3" t="str">
        <f t="shared" si="1"/>
        <v>PT. Bakti Indonesia</v>
      </c>
      <c r="D85" s="3" t="s">
        <v>195</v>
      </c>
      <c r="E85" s="3" t="s">
        <v>104</v>
      </c>
      <c r="F85" s="3" t="s">
        <v>105</v>
      </c>
      <c r="G85" s="3" t="s">
        <v>78</v>
      </c>
      <c r="H85" s="3" t="str">
        <f t="array" ref="H85">XLOOKUP(G:G,'Account Manager Data'!A:A,'Account Manager Data'!B:B,0)</f>
        <v>Ilham Saputra</v>
      </c>
      <c r="I85" s="11" t="str">
        <f t="array" ref="I85">XLOOKUP($G:$G,'Account Manager Data'!$A:$A,'Account Manager Data'!C:C)</f>
        <v>Jawa</v>
      </c>
      <c r="J85" s="17">
        <v>5199966.0</v>
      </c>
      <c r="K85" s="17">
        <v>3136059.0</v>
      </c>
      <c r="L85" s="17">
        <v>8324309.0</v>
      </c>
      <c r="M85" s="17">
        <v>3435735.0</v>
      </c>
      <c r="N85" s="17">
        <v>1.0480606E7</v>
      </c>
      <c r="O85" s="17">
        <v>1.096216E7</v>
      </c>
      <c r="P85" s="17">
        <v>1.1406507E7</v>
      </c>
      <c r="Q85" s="17">
        <v>4104081.0</v>
      </c>
      <c r="R85" s="17">
        <v>0.0</v>
      </c>
      <c r="S85" s="17">
        <v>4540537.0</v>
      </c>
      <c r="T85" s="17">
        <v>1.8128508E7</v>
      </c>
      <c r="U85" s="17">
        <v>1318309.0</v>
      </c>
      <c r="V85" s="11">
        <f t="array" ref="V85">XLOOKUP(A:A,'Raw Revenue'!A:A,'Raw Revenue'!B:B,0)
</f>
        <v>0</v>
      </c>
      <c r="W85" s="11">
        <f t="array" ref="W85">XLOOKUP(A:A,'Raw Revenue'!C:C,'Raw Revenue'!D:D,0)</f>
        <v>0</v>
      </c>
      <c r="X85" s="11">
        <f t="array" ref="X85">XLOOKUP(A:A,'Raw Revenue'!E:E,'Raw Revenue'!F:F,0)</f>
        <v>0</v>
      </c>
      <c r="Y85" s="11">
        <f t="array" ref="Y85">XLOOKUP(A:A,'Raw Revenue'!G:G,'Raw Revenue'!H:H,0)</f>
        <v>0</v>
      </c>
      <c r="Z85" s="11">
        <f t="array" ref="Z85">XLOOKUP(A:A,'Raw Revenue'!I:I,'Raw Revenue'!J:J,0)</f>
        <v>0</v>
      </c>
      <c r="AA85" s="11">
        <f t="array" ref="AA85">XLOOKUP(A:A,'Raw Revenue'!K:K,'Raw Revenue'!L:L,0)</f>
        <v>0</v>
      </c>
      <c r="AB85" s="11">
        <f t="array" ref="AB85">XLOOKUP(A:A,'Raw Revenue'!M:M,'Raw Revenue'!N:N,0)</f>
        <v>0</v>
      </c>
      <c r="AC85" s="3">
        <v>0.0</v>
      </c>
      <c r="AD85" s="3">
        <v>0.0</v>
      </c>
      <c r="AE85" s="3">
        <v>0.0</v>
      </c>
      <c r="AF85" s="3">
        <v>0.0</v>
      </c>
      <c r="AG85" s="3">
        <v>0.0</v>
      </c>
    </row>
    <row r="86">
      <c r="A86" s="3" t="s">
        <v>495</v>
      </c>
      <c r="B86" s="3" t="s">
        <v>496</v>
      </c>
      <c r="C86" s="3" t="str">
        <f t="shared" si="1"/>
        <v>CV. Amanah Sejahtera</v>
      </c>
      <c r="D86" s="3" t="s">
        <v>186</v>
      </c>
      <c r="E86" s="3" t="s">
        <v>85</v>
      </c>
      <c r="F86" s="3" t="s">
        <v>407</v>
      </c>
      <c r="G86" s="3" t="s">
        <v>53</v>
      </c>
      <c r="H86" s="3" t="str">
        <f t="array" ref="H86">XLOOKUP(G:G,'Account Manager Data'!A:A,'Account Manager Data'!B:B,0)</f>
        <v>Fajar Ramadhan</v>
      </c>
      <c r="I86" s="11" t="str">
        <f t="array" ref="I86">XLOOKUP($G:$G,'Account Manager Data'!$A:$A,'Account Manager Data'!C:C)</f>
        <v>Sulawesi</v>
      </c>
      <c r="J86" s="17">
        <v>1540015.0</v>
      </c>
      <c r="K86" s="17">
        <v>7669267.0</v>
      </c>
      <c r="L86" s="17">
        <v>2255557.0</v>
      </c>
      <c r="M86" s="17">
        <v>9071649.0</v>
      </c>
      <c r="N86" s="17">
        <v>1.1053687E7</v>
      </c>
      <c r="O86" s="17">
        <v>1.2372795E7</v>
      </c>
      <c r="P86" s="17">
        <v>2820381.0</v>
      </c>
      <c r="Q86" s="17">
        <v>7700414.0</v>
      </c>
      <c r="R86" s="17">
        <v>6459934.0</v>
      </c>
      <c r="S86" s="17">
        <v>1.5952017E7</v>
      </c>
      <c r="T86" s="17">
        <v>1.1682432E7</v>
      </c>
      <c r="U86" s="17">
        <v>1.1910192E7</v>
      </c>
      <c r="V86" s="11">
        <f t="array" ref="V86">XLOOKUP(A:A,'Raw Revenue'!A:A,'Raw Revenue'!B:B,0)
</f>
        <v>0</v>
      </c>
      <c r="W86" s="11">
        <f t="array" ref="W86">XLOOKUP(A:A,'Raw Revenue'!C:C,'Raw Revenue'!D:D,0)</f>
        <v>0</v>
      </c>
      <c r="X86" s="11">
        <f t="array" ref="X86">XLOOKUP(A:A,'Raw Revenue'!E:E,'Raw Revenue'!F:F,0)</f>
        <v>0</v>
      </c>
      <c r="Y86" s="11">
        <f t="array" ref="Y86">XLOOKUP(A:A,'Raw Revenue'!G:G,'Raw Revenue'!H:H,0)</f>
        <v>0</v>
      </c>
      <c r="Z86" s="11">
        <f t="array" ref="Z86">XLOOKUP(A:A,'Raw Revenue'!I:I,'Raw Revenue'!J:J,0)</f>
        <v>0</v>
      </c>
      <c r="AA86" s="11">
        <f t="array" ref="AA86">XLOOKUP(A:A,'Raw Revenue'!K:K,'Raw Revenue'!L:L,0)</f>
        <v>0</v>
      </c>
      <c r="AB86" s="11">
        <f t="array" ref="AB86">XLOOKUP(A:A,'Raw Revenue'!M:M,'Raw Revenue'!N:N,0)</f>
        <v>0</v>
      </c>
      <c r="AC86" s="3">
        <v>0.0</v>
      </c>
      <c r="AD86" s="3">
        <v>0.0</v>
      </c>
      <c r="AE86" s="3">
        <v>0.0</v>
      </c>
      <c r="AF86" s="3">
        <v>0.0</v>
      </c>
      <c r="AG86" s="3">
        <v>0.0</v>
      </c>
    </row>
    <row r="87">
      <c r="A87" s="3" t="s">
        <v>497</v>
      </c>
      <c r="B87" s="3" t="s">
        <v>498</v>
      </c>
      <c r="C87" s="3" t="str">
        <f t="shared" si="1"/>
        <v>PT. Digital Solusi Pratama</v>
      </c>
      <c r="D87" s="3" t="s">
        <v>84</v>
      </c>
      <c r="E87" s="3" t="s">
        <v>187</v>
      </c>
      <c r="F87" s="3" t="s">
        <v>269</v>
      </c>
      <c r="G87" s="3" t="s">
        <v>63</v>
      </c>
      <c r="H87" s="3" t="str">
        <f t="array" ref="H87">XLOOKUP(G:G,'Account Manager Data'!A:A,'Account Manager Data'!B:B,0)</f>
        <v>Hendra Gunawan</v>
      </c>
      <c r="I87" s="11" t="str">
        <f t="array" ref="I87">XLOOKUP($G:$G,'Account Manager Data'!$A:$A,'Account Manager Data'!C:C)</f>
        <v>Kalimantan</v>
      </c>
      <c r="J87" s="17">
        <v>4639956.0</v>
      </c>
      <c r="K87" s="17">
        <v>2429335.0</v>
      </c>
      <c r="L87" s="17">
        <v>3049348.0</v>
      </c>
      <c r="M87" s="17">
        <v>9249948.0</v>
      </c>
      <c r="N87" s="17">
        <v>1.2994935E7</v>
      </c>
      <c r="O87" s="17">
        <v>6872629.0</v>
      </c>
      <c r="P87" s="17">
        <v>6356302.0</v>
      </c>
      <c r="Q87" s="17">
        <v>8448184.0</v>
      </c>
      <c r="R87" s="17">
        <v>1.1431141E7</v>
      </c>
      <c r="S87" s="17">
        <v>5631376.0</v>
      </c>
      <c r="T87" s="17">
        <v>6534521.0</v>
      </c>
      <c r="U87" s="17">
        <v>4885256.0</v>
      </c>
      <c r="V87" s="11">
        <f t="array" ref="V87">XLOOKUP(A:A,'Raw Revenue'!A:A,'Raw Revenue'!B:B,0)
</f>
        <v>0</v>
      </c>
      <c r="W87" s="11">
        <f t="array" ref="W87">XLOOKUP(A:A,'Raw Revenue'!C:C,'Raw Revenue'!D:D,0)</f>
        <v>0</v>
      </c>
      <c r="X87" s="11">
        <f t="array" ref="X87">XLOOKUP(A:A,'Raw Revenue'!E:E,'Raw Revenue'!F:F,0)</f>
        <v>0</v>
      </c>
      <c r="Y87" s="11">
        <f t="array" ref="Y87">XLOOKUP(A:A,'Raw Revenue'!G:G,'Raw Revenue'!H:H,0)</f>
        <v>0</v>
      </c>
      <c r="Z87" s="11">
        <f t="array" ref="Z87">XLOOKUP(A:A,'Raw Revenue'!I:I,'Raw Revenue'!J:J,0)</f>
        <v>0</v>
      </c>
      <c r="AA87" s="11">
        <f t="array" ref="AA87">XLOOKUP(A:A,'Raw Revenue'!K:K,'Raw Revenue'!L:L,0)</f>
        <v>0</v>
      </c>
      <c r="AB87" s="11">
        <f t="array" ref="AB87">XLOOKUP(A:A,'Raw Revenue'!M:M,'Raw Revenue'!N:N,0)</f>
        <v>0</v>
      </c>
      <c r="AC87" s="3">
        <v>0.0</v>
      </c>
      <c r="AD87" s="3">
        <v>0.0</v>
      </c>
      <c r="AE87" s="3">
        <v>0.0</v>
      </c>
      <c r="AF87" s="3">
        <v>0.0</v>
      </c>
      <c r="AG87" s="3">
        <v>0.0</v>
      </c>
    </row>
    <row r="88">
      <c r="A88" s="3" t="s">
        <v>499</v>
      </c>
      <c r="B88" s="3" t="s">
        <v>500</v>
      </c>
      <c r="C88" s="3" t="str">
        <f t="shared" si="1"/>
        <v>PT. Global Niaga Abadi</v>
      </c>
      <c r="D88" s="3" t="s">
        <v>214</v>
      </c>
      <c r="E88" s="3" t="s">
        <v>85</v>
      </c>
      <c r="F88" s="3" t="s">
        <v>86</v>
      </c>
      <c r="G88" s="3" t="s">
        <v>35</v>
      </c>
      <c r="H88" s="3" t="str">
        <f t="array" ref="H88">XLOOKUP(G:G,'Account Manager Data'!A:A,'Account Manager Data'!B:B,0)</f>
        <v>Ahmad Fauzi</v>
      </c>
      <c r="I88" s="11" t="str">
        <f t="array" ref="I88">XLOOKUP($G:$G,'Account Manager Data'!$A:$A,'Account Manager Data'!C:C)</f>
        <v>Sumatera</v>
      </c>
      <c r="J88" s="17">
        <v>2339446.0</v>
      </c>
      <c r="K88" s="17">
        <v>4484390.0</v>
      </c>
      <c r="L88" s="17">
        <v>3063083.0</v>
      </c>
      <c r="M88" s="17">
        <v>8710762.0</v>
      </c>
      <c r="N88" s="17">
        <v>2670719.0</v>
      </c>
      <c r="O88" s="17">
        <v>1.3448665E7</v>
      </c>
      <c r="P88" s="17">
        <v>5386546.0</v>
      </c>
      <c r="Q88" s="17">
        <v>4322886.0</v>
      </c>
      <c r="R88" s="17">
        <v>1.5985567E7</v>
      </c>
      <c r="S88" s="17">
        <v>2637017.0</v>
      </c>
      <c r="T88" s="17">
        <v>8367563.0</v>
      </c>
      <c r="U88" s="17">
        <v>0.0</v>
      </c>
      <c r="V88" s="11">
        <f t="array" ref="V88">XLOOKUP(A:A,'Raw Revenue'!A:A,'Raw Revenue'!B:B,0)
</f>
        <v>0</v>
      </c>
      <c r="W88" s="11">
        <f t="array" ref="W88">XLOOKUP(A:A,'Raw Revenue'!C:C,'Raw Revenue'!D:D,0)</f>
        <v>0</v>
      </c>
      <c r="X88" s="11">
        <f t="array" ref="X88">XLOOKUP(A:A,'Raw Revenue'!E:E,'Raw Revenue'!F:F,0)</f>
        <v>0</v>
      </c>
      <c r="Y88" s="11">
        <f t="array" ref="Y88">XLOOKUP(A:A,'Raw Revenue'!G:G,'Raw Revenue'!H:H,0)</f>
        <v>0</v>
      </c>
      <c r="Z88" s="11">
        <f t="array" ref="Z88">XLOOKUP(A:A,'Raw Revenue'!I:I,'Raw Revenue'!J:J,0)</f>
        <v>0</v>
      </c>
      <c r="AA88" s="11">
        <f t="array" ref="AA88">XLOOKUP(A:A,'Raw Revenue'!K:K,'Raw Revenue'!L:L,0)</f>
        <v>0</v>
      </c>
      <c r="AB88" s="11">
        <f t="array" ref="AB88">XLOOKUP(A:A,'Raw Revenue'!M:M,'Raw Revenue'!N:N,0)</f>
        <v>0</v>
      </c>
      <c r="AC88" s="3">
        <v>0.0</v>
      </c>
      <c r="AD88" s="3">
        <v>0.0</v>
      </c>
      <c r="AE88" s="3">
        <v>0.0</v>
      </c>
      <c r="AF88" s="3">
        <v>0.0</v>
      </c>
      <c r="AG88" s="3">
        <v>0.0</v>
      </c>
    </row>
    <row r="89">
      <c r="A89" s="3" t="s">
        <v>370</v>
      </c>
      <c r="B89" s="3" t="s">
        <v>501</v>
      </c>
      <c r="C89" s="3" t="str">
        <f t="shared" si="1"/>
        <v>PT. Indo Makmur Sentosa</v>
      </c>
      <c r="D89" s="3" t="s">
        <v>103</v>
      </c>
      <c r="E89" s="3" t="s">
        <v>196</v>
      </c>
      <c r="F89" s="3" t="s">
        <v>315</v>
      </c>
      <c r="G89" s="3" t="s">
        <v>74</v>
      </c>
      <c r="H89" s="3" t="str">
        <f t="array" ref="H89">XLOOKUP(G:G,'Account Manager Data'!A:A,'Account Manager Data'!B:B,0)</f>
        <v>Budi Santoso</v>
      </c>
      <c r="I89" s="11" t="str">
        <f t="array" ref="I89">XLOOKUP($G:$G,'Account Manager Data'!$A:$A,'Account Manager Data'!C:C)</f>
        <v>Papua</v>
      </c>
      <c r="J89" s="17">
        <v>4807350.0</v>
      </c>
      <c r="K89" s="17">
        <v>9059944.0</v>
      </c>
      <c r="L89" s="17">
        <v>8198260.0</v>
      </c>
      <c r="M89" s="17">
        <v>1.1024258E7</v>
      </c>
      <c r="N89" s="17">
        <v>1.0171755E7</v>
      </c>
      <c r="O89" s="17">
        <v>1.4997345E7</v>
      </c>
      <c r="P89" s="17">
        <v>2496716.0</v>
      </c>
      <c r="Q89" s="17">
        <v>7366842.0</v>
      </c>
      <c r="R89" s="17">
        <v>1.1105665E7</v>
      </c>
      <c r="S89" s="17">
        <v>1895448.0</v>
      </c>
      <c r="T89" s="17">
        <v>889538.0</v>
      </c>
      <c r="U89" s="17">
        <v>4333277.0</v>
      </c>
      <c r="V89" s="11">
        <f t="array" ref="V89">XLOOKUP(A:A,'Raw Revenue'!A:A,'Raw Revenue'!B:B,0)
</f>
        <v>439705.8492</v>
      </c>
      <c r="W89" s="11">
        <f t="array" ref="W89">XLOOKUP(A:A,'Raw Revenue'!C:C,'Raw Revenue'!D:D,0)</f>
        <v>219852.9246</v>
      </c>
      <c r="X89" s="11">
        <f t="array" ref="X89">XLOOKUP(A:A,'Raw Revenue'!E:E,'Raw Revenue'!F:F,0)</f>
        <v>131911.7548</v>
      </c>
      <c r="Y89" s="11">
        <f t="array" ref="Y89">XLOOKUP(A:A,'Raw Revenue'!G:G,'Raw Revenue'!H:H,0)</f>
        <v>1538970.472</v>
      </c>
      <c r="Z89" s="11">
        <f t="array" ref="Z89">XLOOKUP(A:A,'Raw Revenue'!I:I,'Raw Revenue'!J:J,0)</f>
        <v>351764.6794</v>
      </c>
      <c r="AA89" s="11">
        <f t="array" ref="AA89">XLOOKUP(A:A,'Raw Revenue'!K:K,'Raw Revenue'!L:L,0)</f>
        <v>9893.381608</v>
      </c>
      <c r="AB89" s="11">
        <f t="array" ref="AB89">XLOOKUP(A:A,'Raw Revenue'!M:M,'Raw Revenue'!N:N,0)</f>
        <v>1325713.135</v>
      </c>
      <c r="AC89" s="3">
        <v>0.0</v>
      </c>
      <c r="AD89" s="3">
        <v>0.0</v>
      </c>
      <c r="AE89" s="3">
        <v>0.0</v>
      </c>
      <c r="AF89" s="3">
        <v>0.0</v>
      </c>
      <c r="AG89" s="3">
        <v>0.0</v>
      </c>
    </row>
    <row r="90">
      <c r="A90" s="3" t="s">
        <v>502</v>
      </c>
      <c r="B90" s="3" t="s">
        <v>503</v>
      </c>
      <c r="C90" s="3" t="str">
        <f t="shared" si="1"/>
        <v>PT. Citra Mandiri Utama</v>
      </c>
      <c r="D90" s="3" t="s">
        <v>130</v>
      </c>
      <c r="E90" s="3" t="s">
        <v>196</v>
      </c>
      <c r="F90" s="3" t="s">
        <v>197</v>
      </c>
      <c r="G90" s="3" t="s">
        <v>43</v>
      </c>
      <c r="H90" s="3" t="str">
        <f t="array" ref="H90">XLOOKUP(G:G,'Account Manager Data'!A:A,'Account Manager Data'!B:B,0)</f>
        <v>Eko Prasetyo</v>
      </c>
      <c r="I90" s="11" t="str">
        <f t="array" ref="I90">XLOOKUP($G:$G,'Account Manager Data'!$A:$A,'Account Manager Data'!C:C)</f>
        <v>Papua</v>
      </c>
      <c r="J90" s="17">
        <v>4619708.0</v>
      </c>
      <c r="K90" s="17">
        <v>6765264.0</v>
      </c>
      <c r="L90" s="17">
        <v>6455019.0</v>
      </c>
      <c r="M90" s="17">
        <v>1.1122311E7</v>
      </c>
      <c r="N90" s="17">
        <v>2274229.0</v>
      </c>
      <c r="O90" s="17">
        <v>4359521.0</v>
      </c>
      <c r="P90" s="17">
        <v>0.0</v>
      </c>
      <c r="Q90" s="17">
        <v>3700899.0</v>
      </c>
      <c r="R90" s="17">
        <v>9379721.0</v>
      </c>
      <c r="S90" s="17">
        <v>1764370.0</v>
      </c>
      <c r="T90" s="17">
        <v>1142399.0</v>
      </c>
      <c r="U90" s="17">
        <v>1.7614853E7</v>
      </c>
      <c r="V90" s="11">
        <f t="array" ref="V90">XLOOKUP(A:A,'Raw Revenue'!A:A,'Raw Revenue'!B:B,0)
</f>
        <v>0</v>
      </c>
      <c r="W90" s="11">
        <f t="array" ref="W90">XLOOKUP(A:A,'Raw Revenue'!C:C,'Raw Revenue'!D:D,0)</f>
        <v>0</v>
      </c>
      <c r="X90" s="11">
        <f t="array" ref="X90">XLOOKUP(A:A,'Raw Revenue'!E:E,'Raw Revenue'!F:F,0)</f>
        <v>0</v>
      </c>
      <c r="Y90" s="11">
        <f t="array" ref="Y90">XLOOKUP(A:A,'Raw Revenue'!G:G,'Raw Revenue'!H:H,0)</f>
        <v>0</v>
      </c>
      <c r="Z90" s="11">
        <f t="array" ref="Z90">XLOOKUP(A:A,'Raw Revenue'!I:I,'Raw Revenue'!J:J,0)</f>
        <v>0</v>
      </c>
      <c r="AA90" s="11">
        <f t="array" ref="AA90">XLOOKUP(A:A,'Raw Revenue'!K:K,'Raw Revenue'!L:L,0)</f>
        <v>0</v>
      </c>
      <c r="AB90" s="11">
        <f t="array" ref="AB90">XLOOKUP(A:A,'Raw Revenue'!M:M,'Raw Revenue'!N:N,0)</f>
        <v>0</v>
      </c>
      <c r="AC90" s="3">
        <v>0.0</v>
      </c>
      <c r="AD90" s="3">
        <v>0.0</v>
      </c>
      <c r="AE90" s="3">
        <v>0.0</v>
      </c>
      <c r="AF90" s="3">
        <v>0.0</v>
      </c>
      <c r="AG90" s="3">
        <v>0.0</v>
      </c>
    </row>
    <row r="91">
      <c r="A91" s="3" t="s">
        <v>504</v>
      </c>
      <c r="B91" s="3" t="s">
        <v>505</v>
      </c>
      <c r="C91" s="3" t="str">
        <f t="shared" si="1"/>
        <v>PT. Sinar Dunia Baru</v>
      </c>
      <c r="D91" s="3" t="s">
        <v>195</v>
      </c>
      <c r="E91" s="3" t="s">
        <v>196</v>
      </c>
      <c r="F91" s="3" t="s">
        <v>260</v>
      </c>
      <c r="G91" s="3" t="s">
        <v>76</v>
      </c>
      <c r="H91" s="3" t="str">
        <f t="array" ref="H91">XLOOKUP(G:G,'Account Manager Data'!A:A,'Account Manager Data'!B:B,0)</f>
        <v>Teguh Wijaya</v>
      </c>
      <c r="I91" s="11" t="str">
        <f t="array" ref="I91">XLOOKUP($G:$G,'Account Manager Data'!$A:$A,'Account Manager Data'!C:C)</f>
        <v>Sulawesi</v>
      </c>
      <c r="J91" s="17">
        <v>3456320.0</v>
      </c>
      <c r="K91" s="17">
        <v>6277902.0</v>
      </c>
      <c r="L91" s="17">
        <v>8646333.0</v>
      </c>
      <c r="M91" s="17">
        <v>4223079.0</v>
      </c>
      <c r="N91" s="17">
        <v>0.0</v>
      </c>
      <c r="O91" s="17">
        <v>1.462706E7</v>
      </c>
      <c r="P91" s="17">
        <v>619561.0</v>
      </c>
      <c r="Q91" s="17">
        <v>0.0</v>
      </c>
      <c r="R91" s="17">
        <v>1247577.0</v>
      </c>
      <c r="S91" s="17">
        <v>1483084.0</v>
      </c>
      <c r="T91" s="17">
        <v>6272143.0</v>
      </c>
      <c r="U91" s="17">
        <v>1.6100507E7</v>
      </c>
      <c r="V91" s="11">
        <f t="array" ref="V91">XLOOKUP(A:A,'Raw Revenue'!A:A,'Raw Revenue'!B:B,0)
</f>
        <v>0</v>
      </c>
      <c r="W91" s="11">
        <f t="array" ref="W91">XLOOKUP(A:A,'Raw Revenue'!C:C,'Raw Revenue'!D:D,0)</f>
        <v>0</v>
      </c>
      <c r="X91" s="11">
        <f t="array" ref="X91">XLOOKUP(A:A,'Raw Revenue'!E:E,'Raw Revenue'!F:F,0)</f>
        <v>0</v>
      </c>
      <c r="Y91" s="11">
        <f t="array" ref="Y91">XLOOKUP(A:A,'Raw Revenue'!G:G,'Raw Revenue'!H:H,0)</f>
        <v>0</v>
      </c>
      <c r="Z91" s="11">
        <f t="array" ref="Z91">XLOOKUP(A:A,'Raw Revenue'!I:I,'Raw Revenue'!J:J,0)</f>
        <v>0</v>
      </c>
      <c r="AA91" s="11">
        <f t="array" ref="AA91">XLOOKUP(A:A,'Raw Revenue'!K:K,'Raw Revenue'!L:L,0)</f>
        <v>0</v>
      </c>
      <c r="AB91" s="11">
        <f t="array" ref="AB91">XLOOKUP(A:A,'Raw Revenue'!M:M,'Raw Revenue'!N:N,0)</f>
        <v>0</v>
      </c>
      <c r="AC91" s="3">
        <v>0.0</v>
      </c>
      <c r="AD91" s="3">
        <v>0.0</v>
      </c>
      <c r="AE91" s="3">
        <v>0.0</v>
      </c>
      <c r="AF91" s="3">
        <v>0.0</v>
      </c>
      <c r="AG91" s="3">
        <v>0.0</v>
      </c>
    </row>
    <row r="92">
      <c r="A92" s="3" t="s">
        <v>442</v>
      </c>
      <c r="B92" s="3" t="s">
        <v>506</v>
      </c>
      <c r="C92" s="3" t="str">
        <f t="shared" si="1"/>
        <v>CV. Karya Utama Mandiri</v>
      </c>
      <c r="D92" s="3" t="s">
        <v>103</v>
      </c>
      <c r="E92" s="3" t="s">
        <v>196</v>
      </c>
      <c r="F92" s="3" t="s">
        <v>260</v>
      </c>
      <c r="G92" s="3" t="s">
        <v>70</v>
      </c>
      <c r="H92" s="3" t="str">
        <f t="array" ref="H92">XLOOKUP(G:G,'Account Manager Data'!A:A,'Account Manager Data'!B:B,0)</f>
        <v>Yusuf Hidayat</v>
      </c>
      <c r="I92" s="11" t="str">
        <f t="array" ref="I92">XLOOKUP($G:$G,'Account Manager Data'!$A:$A,'Account Manager Data'!C:C)</f>
        <v>Sumatera</v>
      </c>
      <c r="J92" s="17">
        <v>7626204.0</v>
      </c>
      <c r="K92" s="17">
        <v>439404.0</v>
      </c>
      <c r="L92" s="17">
        <v>7957704.0</v>
      </c>
      <c r="M92" s="17">
        <v>1.1184568E7</v>
      </c>
      <c r="N92" s="17">
        <v>4859890.0</v>
      </c>
      <c r="O92" s="17">
        <v>718217.0</v>
      </c>
      <c r="P92" s="17">
        <v>1.4517804E7</v>
      </c>
      <c r="Q92" s="17">
        <v>6349664.0</v>
      </c>
      <c r="R92" s="17">
        <v>7545056.0</v>
      </c>
      <c r="S92" s="17">
        <v>8186123.0</v>
      </c>
      <c r="T92" s="17">
        <v>1.8422817E7</v>
      </c>
      <c r="U92" s="17">
        <v>0.0</v>
      </c>
      <c r="V92" s="11">
        <f t="array" ref="V92">XLOOKUP(A:A,'Raw Revenue'!A:A,'Raw Revenue'!B:B,0)
</f>
        <v>1740502.32</v>
      </c>
      <c r="W92" s="11">
        <f t="array" ref="W92">XLOOKUP(A:A,'Raw Revenue'!C:C,'Raw Revenue'!D:D,0)</f>
        <v>870251.1599</v>
      </c>
      <c r="X92" s="11">
        <f t="array" ref="X92">XLOOKUP(A:A,'Raw Revenue'!E:E,'Raw Revenue'!F:F,0)</f>
        <v>522150.696</v>
      </c>
      <c r="Y92" s="11">
        <f t="array" ref="Y92">XLOOKUP(A:A,'Raw Revenue'!G:G,'Raw Revenue'!H:H,0)</f>
        <v>6091758.119</v>
      </c>
      <c r="Z92" s="11">
        <f t="array" ref="Z92">XLOOKUP(A:A,'Raw Revenue'!I:I,'Raw Revenue'!J:J,0)</f>
        <v>1392401.856</v>
      </c>
      <c r="AA92" s="11">
        <f t="array" ref="AA92">XLOOKUP(A:A,'Raw Revenue'!K:K,'Raw Revenue'!L:L,0)</f>
        <v>39161.3022</v>
      </c>
      <c r="AB92" s="11">
        <f t="array" ref="AB92">XLOOKUP(A:A,'Raw Revenue'!M:M,'Raw Revenue'!N:N,0)</f>
        <v>5247614.494</v>
      </c>
      <c r="AC92" s="3">
        <v>0.0</v>
      </c>
      <c r="AD92" s="3">
        <v>0.0</v>
      </c>
      <c r="AE92" s="3">
        <v>0.0</v>
      </c>
      <c r="AF92" s="3">
        <v>0.0</v>
      </c>
      <c r="AG92" s="3">
        <v>0.0</v>
      </c>
    </row>
    <row r="93">
      <c r="A93" s="3" t="s">
        <v>507</v>
      </c>
      <c r="B93" s="3" t="s">
        <v>508</v>
      </c>
      <c r="C93" s="3" t="str">
        <f t="shared" si="1"/>
        <v>PT. Pratama Jaya Sentosa</v>
      </c>
      <c r="D93" s="3" t="s">
        <v>195</v>
      </c>
      <c r="E93" s="3" t="s">
        <v>215</v>
      </c>
      <c r="F93" s="3" t="s">
        <v>300</v>
      </c>
      <c r="G93" s="3" t="s">
        <v>15</v>
      </c>
      <c r="H93" s="3" t="str">
        <f t="array" ref="H93">XLOOKUP(G:G,'Account Manager Data'!A:A,'Account Manager Data'!B:B,0)</f>
        <v>Rizky Maulana</v>
      </c>
      <c r="I93" s="11" t="str">
        <f t="array" ref="I93">XLOOKUP($G:$G,'Account Manager Data'!$A:$A,'Account Manager Data'!C:C)</f>
        <v>Jawa</v>
      </c>
      <c r="J93" s="17">
        <v>1019587.0</v>
      </c>
      <c r="K93" s="17">
        <v>1192889.0</v>
      </c>
      <c r="L93" s="17">
        <v>2943128.0</v>
      </c>
      <c r="M93" s="17">
        <v>0.0</v>
      </c>
      <c r="N93" s="17">
        <v>1.329951E7</v>
      </c>
      <c r="O93" s="17">
        <v>1.0048161E7</v>
      </c>
      <c r="P93" s="17">
        <v>8532850.0</v>
      </c>
      <c r="Q93" s="17">
        <v>0.0</v>
      </c>
      <c r="R93" s="17">
        <v>7573669.0</v>
      </c>
      <c r="S93" s="17">
        <v>1.171526E7</v>
      </c>
      <c r="T93" s="17">
        <v>9019709.0</v>
      </c>
      <c r="U93" s="17">
        <v>1.7255653E7</v>
      </c>
      <c r="V93" s="11">
        <f t="array" ref="V93">XLOOKUP(A:A,'Raw Revenue'!A:A,'Raw Revenue'!B:B,0)
</f>
        <v>0</v>
      </c>
      <c r="W93" s="11">
        <f t="array" ref="W93">XLOOKUP(A:A,'Raw Revenue'!C:C,'Raw Revenue'!D:D,0)</f>
        <v>0</v>
      </c>
      <c r="X93" s="11">
        <f t="array" ref="X93">XLOOKUP(A:A,'Raw Revenue'!E:E,'Raw Revenue'!F:F,0)</f>
        <v>0</v>
      </c>
      <c r="Y93" s="11">
        <f t="array" ref="Y93">XLOOKUP(A:A,'Raw Revenue'!G:G,'Raw Revenue'!H:H,0)</f>
        <v>0</v>
      </c>
      <c r="Z93" s="11">
        <f t="array" ref="Z93">XLOOKUP(A:A,'Raw Revenue'!I:I,'Raw Revenue'!J:J,0)</f>
        <v>0</v>
      </c>
      <c r="AA93" s="11">
        <f t="array" ref="AA93">XLOOKUP(A:A,'Raw Revenue'!K:K,'Raw Revenue'!L:L,0)</f>
        <v>0</v>
      </c>
      <c r="AB93" s="11">
        <f t="array" ref="AB93">XLOOKUP(A:A,'Raw Revenue'!M:M,'Raw Revenue'!N:N,0)</f>
        <v>0</v>
      </c>
      <c r="AC93" s="3">
        <v>0.0</v>
      </c>
      <c r="AD93" s="3">
        <v>0.0</v>
      </c>
      <c r="AE93" s="3">
        <v>0.0</v>
      </c>
      <c r="AF93" s="3">
        <v>0.0</v>
      </c>
      <c r="AG93" s="3">
        <v>0.0</v>
      </c>
    </row>
    <row r="94">
      <c r="A94" s="3" t="s">
        <v>509</v>
      </c>
      <c r="B94" s="3" t="s">
        <v>510</v>
      </c>
      <c r="C94" s="3" t="str">
        <f t="shared" si="1"/>
        <v>PT. Abadi Selamanya Jaya</v>
      </c>
      <c r="D94" s="3" t="s">
        <v>214</v>
      </c>
      <c r="E94" s="3" t="s">
        <v>196</v>
      </c>
      <c r="F94" s="3" t="s">
        <v>197</v>
      </c>
      <c r="G94" s="3" t="s">
        <v>53</v>
      </c>
      <c r="H94" s="3" t="str">
        <f t="array" ref="H94">XLOOKUP(G:G,'Account Manager Data'!A:A,'Account Manager Data'!B:B,0)</f>
        <v>Fajar Ramadhan</v>
      </c>
      <c r="I94" s="11" t="str">
        <f t="array" ref="I94">XLOOKUP($G:$G,'Account Manager Data'!$A:$A,'Account Manager Data'!C:C)</f>
        <v>Sulawesi</v>
      </c>
      <c r="J94" s="17">
        <v>1724812.0</v>
      </c>
      <c r="K94" s="17">
        <v>4457538.0</v>
      </c>
      <c r="L94" s="17">
        <v>4618211.0</v>
      </c>
      <c r="M94" s="17">
        <v>71597.0</v>
      </c>
      <c r="N94" s="17">
        <v>7995802.0</v>
      </c>
      <c r="O94" s="17">
        <v>8755756.0</v>
      </c>
      <c r="P94" s="17">
        <v>5526337.0</v>
      </c>
      <c r="Q94" s="17">
        <v>0.0</v>
      </c>
      <c r="R94" s="17">
        <v>3715244.0</v>
      </c>
      <c r="S94" s="17">
        <v>1.3860644E7</v>
      </c>
      <c r="T94" s="17">
        <v>1.9034404E7</v>
      </c>
      <c r="U94" s="17">
        <v>1.26555E7</v>
      </c>
      <c r="V94" s="11">
        <f t="array" ref="V94">XLOOKUP(A:A,'Raw Revenue'!A:A,'Raw Revenue'!B:B,0)
</f>
        <v>0</v>
      </c>
      <c r="W94" s="11">
        <f t="array" ref="W94">XLOOKUP(A:A,'Raw Revenue'!C:C,'Raw Revenue'!D:D,0)</f>
        <v>0</v>
      </c>
      <c r="X94" s="11">
        <f t="array" ref="X94">XLOOKUP(A:A,'Raw Revenue'!E:E,'Raw Revenue'!F:F,0)</f>
        <v>0</v>
      </c>
      <c r="Y94" s="11">
        <f t="array" ref="Y94">XLOOKUP(A:A,'Raw Revenue'!G:G,'Raw Revenue'!H:H,0)</f>
        <v>0</v>
      </c>
      <c r="Z94" s="11">
        <f t="array" ref="Z94">XLOOKUP(A:A,'Raw Revenue'!I:I,'Raw Revenue'!J:J,0)</f>
        <v>0</v>
      </c>
      <c r="AA94" s="11">
        <f t="array" ref="AA94">XLOOKUP(A:A,'Raw Revenue'!K:K,'Raw Revenue'!L:L,0)</f>
        <v>0</v>
      </c>
      <c r="AB94" s="11">
        <f t="array" ref="AB94">XLOOKUP(A:A,'Raw Revenue'!M:M,'Raw Revenue'!N:N,0)</f>
        <v>0</v>
      </c>
      <c r="AC94" s="3">
        <v>0.0</v>
      </c>
      <c r="AD94" s="3">
        <v>0.0</v>
      </c>
      <c r="AE94" s="3">
        <v>0.0</v>
      </c>
      <c r="AF94" s="3">
        <v>0.0</v>
      </c>
      <c r="AG94" s="3">
        <v>0.0</v>
      </c>
    </row>
    <row r="95">
      <c r="A95" s="3" t="s">
        <v>180</v>
      </c>
      <c r="B95" s="3" t="s">
        <v>511</v>
      </c>
      <c r="C95" s="3" t="str">
        <f t="shared" si="1"/>
        <v>PT. Mandiri Sejahtera Bersama</v>
      </c>
      <c r="D95" s="3" t="s">
        <v>103</v>
      </c>
      <c r="E95" s="3" t="s">
        <v>187</v>
      </c>
      <c r="F95" s="3" t="s">
        <v>295</v>
      </c>
      <c r="G95" s="3" t="s">
        <v>27</v>
      </c>
      <c r="H95" s="3" t="str">
        <f t="array" ref="H95">XLOOKUP(G:G,'Account Manager Data'!A:A,'Account Manager Data'!B:B,0)</f>
        <v>Dedi Kurniawan</v>
      </c>
      <c r="I95" s="11" t="str">
        <f t="array" ref="I95">XLOOKUP($G:$G,'Account Manager Data'!$A:$A,'Account Manager Data'!C:C)</f>
        <v>Kalimantan</v>
      </c>
      <c r="J95" s="17">
        <v>2775769.0</v>
      </c>
      <c r="K95" s="17">
        <v>2324098.0</v>
      </c>
      <c r="L95" s="17">
        <v>5048809.0</v>
      </c>
      <c r="M95" s="17">
        <v>0.0</v>
      </c>
      <c r="N95" s="17">
        <v>95835.0</v>
      </c>
      <c r="O95" s="17">
        <v>1.22558E7</v>
      </c>
      <c r="P95" s="17">
        <v>8848734.0</v>
      </c>
      <c r="Q95" s="17">
        <v>9659151.0</v>
      </c>
      <c r="R95" s="17">
        <v>6980273.0</v>
      </c>
      <c r="S95" s="17">
        <v>0.0</v>
      </c>
      <c r="T95" s="17">
        <v>3089987.0</v>
      </c>
      <c r="U95" s="17">
        <v>8602638.0</v>
      </c>
      <c r="V95" s="11">
        <f t="array" ref="V95">XLOOKUP(A:A,'Raw Revenue'!A:A,'Raw Revenue'!B:B,0)
</f>
        <v>13924018.56</v>
      </c>
      <c r="W95" s="11">
        <f t="array" ref="W95">XLOOKUP(A:A,'Raw Revenue'!C:C,'Raw Revenue'!D:D,0)</f>
        <v>13924018.56</v>
      </c>
      <c r="X95" s="11">
        <f t="array" ref="X95">XLOOKUP(A:A,'Raw Revenue'!E:E,'Raw Revenue'!F:F,0)</f>
        <v>27848037.12</v>
      </c>
      <c r="Y95" s="11">
        <f t="array" ref="Y95">XLOOKUP(A:A,'Raw Revenue'!G:G,'Raw Revenue'!H:H,0)</f>
        <v>22742563.65</v>
      </c>
      <c r="Z95" s="11">
        <f t="array" ref="Z95">XLOOKUP(A:A,'Raw Revenue'!I:I,'Raw Revenue'!J:J,0)</f>
        <v>20421893.89</v>
      </c>
      <c r="AA95" s="11">
        <f t="array" ref="AA95">XLOOKUP(A:A,'Raw Revenue'!K:K,'Raw Revenue'!L:L,0)</f>
        <v>52215069.6</v>
      </c>
      <c r="AB95" s="11">
        <f t="array" ref="AB95">XLOOKUP(A:A,'Raw Revenue'!M:M,'Raw Revenue'!N:N,0)</f>
        <v>48037864.03</v>
      </c>
      <c r="AC95" s="3">
        <v>0.0</v>
      </c>
      <c r="AD95" s="3">
        <v>0.0</v>
      </c>
      <c r="AE95" s="3">
        <v>0.0</v>
      </c>
      <c r="AF95" s="3">
        <v>0.0</v>
      </c>
      <c r="AG95" s="3">
        <v>0.0</v>
      </c>
    </row>
    <row r="96">
      <c r="A96" s="3" t="s">
        <v>512</v>
      </c>
      <c r="B96" s="3" t="s">
        <v>513</v>
      </c>
      <c r="C96" s="3" t="str">
        <f t="shared" si="1"/>
        <v>PT. Sejahtera Alam Indonesia</v>
      </c>
      <c r="D96" s="3" t="s">
        <v>84</v>
      </c>
      <c r="E96" s="3" t="s">
        <v>196</v>
      </c>
      <c r="F96" s="3" t="s">
        <v>260</v>
      </c>
      <c r="G96" s="3" t="s">
        <v>78</v>
      </c>
      <c r="H96" s="3" t="str">
        <f t="array" ref="H96">XLOOKUP(G:G,'Account Manager Data'!A:A,'Account Manager Data'!B:B,0)</f>
        <v>Ilham Saputra</v>
      </c>
      <c r="I96" s="11" t="str">
        <f t="array" ref="I96">XLOOKUP($G:$G,'Account Manager Data'!$A:$A,'Account Manager Data'!C:C)</f>
        <v>Jawa</v>
      </c>
      <c r="J96" s="17">
        <v>0.0</v>
      </c>
      <c r="K96" s="17">
        <v>7856421.0</v>
      </c>
      <c r="L96" s="17">
        <v>2612200.0</v>
      </c>
      <c r="M96" s="17">
        <v>4298583.0</v>
      </c>
      <c r="N96" s="17">
        <v>1.3891611E7</v>
      </c>
      <c r="O96" s="17">
        <v>6512188.0</v>
      </c>
      <c r="P96" s="17">
        <v>822028.0</v>
      </c>
      <c r="Q96" s="17">
        <v>8555302.0</v>
      </c>
      <c r="R96" s="17">
        <v>1.6151916E7</v>
      </c>
      <c r="S96" s="17">
        <v>1.3274703E7</v>
      </c>
      <c r="T96" s="17">
        <v>8391196.0</v>
      </c>
      <c r="U96" s="17">
        <v>1709916.0</v>
      </c>
      <c r="V96" s="11">
        <f t="array" ref="V96">XLOOKUP(A:A,'Raw Revenue'!A:A,'Raw Revenue'!B:B,0)
</f>
        <v>0</v>
      </c>
      <c r="W96" s="11">
        <f t="array" ref="W96">XLOOKUP(A:A,'Raw Revenue'!C:C,'Raw Revenue'!D:D,0)</f>
        <v>0</v>
      </c>
      <c r="X96" s="11">
        <f t="array" ref="X96">XLOOKUP(A:A,'Raw Revenue'!E:E,'Raw Revenue'!F:F,0)</f>
        <v>0</v>
      </c>
      <c r="Y96" s="11">
        <f t="array" ref="Y96">XLOOKUP(A:A,'Raw Revenue'!G:G,'Raw Revenue'!H:H,0)</f>
        <v>0</v>
      </c>
      <c r="Z96" s="11">
        <f t="array" ref="Z96">XLOOKUP(A:A,'Raw Revenue'!I:I,'Raw Revenue'!J:J,0)</f>
        <v>0</v>
      </c>
      <c r="AA96" s="11">
        <f t="array" ref="AA96">XLOOKUP(A:A,'Raw Revenue'!K:K,'Raw Revenue'!L:L,0)</f>
        <v>0</v>
      </c>
      <c r="AB96" s="11">
        <f t="array" ref="AB96">XLOOKUP(A:A,'Raw Revenue'!M:M,'Raw Revenue'!N:N,0)</f>
        <v>0</v>
      </c>
      <c r="AC96" s="3">
        <v>0.0</v>
      </c>
      <c r="AD96" s="3">
        <v>0.0</v>
      </c>
      <c r="AE96" s="3">
        <v>0.0</v>
      </c>
      <c r="AF96" s="3">
        <v>0.0</v>
      </c>
      <c r="AG96" s="3">
        <v>0.0</v>
      </c>
    </row>
    <row r="97">
      <c r="A97" s="3" t="s">
        <v>514</v>
      </c>
      <c r="B97" s="3" t="s">
        <v>515</v>
      </c>
      <c r="C97" s="3" t="str">
        <f t="shared" si="1"/>
        <v>PT. Indah Kargo Logistik</v>
      </c>
      <c r="D97" s="3" t="s">
        <v>214</v>
      </c>
      <c r="E97" s="3" t="s">
        <v>104</v>
      </c>
      <c r="F97" s="3" t="s">
        <v>105</v>
      </c>
      <c r="G97" s="3" t="s">
        <v>63</v>
      </c>
      <c r="H97" s="3" t="str">
        <f t="array" ref="H97">XLOOKUP(G:G,'Account Manager Data'!A:A,'Account Manager Data'!B:B,0)</f>
        <v>Hendra Gunawan</v>
      </c>
      <c r="I97" s="11" t="str">
        <f t="array" ref="I97">XLOOKUP($G:$G,'Account Manager Data'!$A:$A,'Account Manager Data'!C:C)</f>
        <v>Kalimantan</v>
      </c>
      <c r="J97" s="17">
        <v>739529.0</v>
      </c>
      <c r="K97" s="17">
        <v>2802428.0</v>
      </c>
      <c r="L97" s="17">
        <v>5361963.0</v>
      </c>
      <c r="M97" s="17">
        <v>7706411.0</v>
      </c>
      <c r="N97" s="17">
        <v>1.1977491E7</v>
      </c>
      <c r="O97" s="17">
        <v>6793726.0</v>
      </c>
      <c r="P97" s="17">
        <v>8898234.0</v>
      </c>
      <c r="Q97" s="17">
        <v>1.5823194E7</v>
      </c>
      <c r="R97" s="17">
        <v>1.7259954E7</v>
      </c>
      <c r="S97" s="17">
        <v>8030120.0</v>
      </c>
      <c r="T97" s="17">
        <v>5137911.0</v>
      </c>
      <c r="U97" s="17">
        <v>1.4875202E7</v>
      </c>
      <c r="V97" s="11">
        <f t="array" ref="V97">XLOOKUP(A:A,'Raw Revenue'!A:A,'Raw Revenue'!B:B,0)
</f>
        <v>0</v>
      </c>
      <c r="W97" s="11">
        <f t="array" ref="W97">XLOOKUP(A:A,'Raw Revenue'!C:C,'Raw Revenue'!D:D,0)</f>
        <v>0</v>
      </c>
      <c r="X97" s="11">
        <f t="array" ref="X97">XLOOKUP(A:A,'Raw Revenue'!E:E,'Raw Revenue'!F:F,0)</f>
        <v>0</v>
      </c>
      <c r="Y97" s="11">
        <f t="array" ref="Y97">XLOOKUP(A:A,'Raw Revenue'!G:G,'Raw Revenue'!H:H,0)</f>
        <v>0</v>
      </c>
      <c r="Z97" s="11">
        <f t="array" ref="Z97">XLOOKUP(A:A,'Raw Revenue'!I:I,'Raw Revenue'!J:J,0)</f>
        <v>0</v>
      </c>
      <c r="AA97" s="11">
        <f t="array" ref="AA97">XLOOKUP(A:A,'Raw Revenue'!K:K,'Raw Revenue'!L:L,0)</f>
        <v>0</v>
      </c>
      <c r="AB97" s="11">
        <f t="array" ref="AB97">XLOOKUP(A:A,'Raw Revenue'!M:M,'Raw Revenue'!N:N,0)</f>
        <v>0</v>
      </c>
      <c r="AC97" s="3">
        <v>0.0</v>
      </c>
      <c r="AD97" s="3">
        <v>0.0</v>
      </c>
      <c r="AE97" s="3">
        <v>0.0</v>
      </c>
      <c r="AF97" s="3">
        <v>0.0</v>
      </c>
      <c r="AG97" s="3">
        <v>0.0</v>
      </c>
    </row>
    <row r="98">
      <c r="A98" s="3" t="s">
        <v>516</v>
      </c>
      <c r="B98" s="3" t="s">
        <v>517</v>
      </c>
      <c r="C98" s="3" t="str">
        <f t="shared" si="1"/>
        <v>PT. Berkah Alam Semesta</v>
      </c>
      <c r="D98" s="3" t="s">
        <v>214</v>
      </c>
      <c r="E98" s="3" t="s">
        <v>187</v>
      </c>
      <c r="F98" s="3" t="s">
        <v>269</v>
      </c>
      <c r="G98" s="3" t="s">
        <v>35</v>
      </c>
      <c r="H98" s="3" t="str">
        <f t="array" ref="H98">XLOOKUP(G:G,'Account Manager Data'!A:A,'Account Manager Data'!B:B,0)</f>
        <v>Ahmad Fauzi</v>
      </c>
      <c r="I98" s="11" t="str">
        <f t="array" ref="I98">XLOOKUP($G:$G,'Account Manager Data'!$A:$A,'Account Manager Data'!C:C)</f>
        <v>Sumatera</v>
      </c>
      <c r="J98" s="17">
        <v>5452435.0</v>
      </c>
      <c r="K98" s="17">
        <v>3994142.0</v>
      </c>
      <c r="L98" s="17">
        <v>2071938.0</v>
      </c>
      <c r="M98" s="17">
        <v>5295708.0</v>
      </c>
      <c r="N98" s="17">
        <v>9405434.0</v>
      </c>
      <c r="O98" s="17">
        <v>0.0</v>
      </c>
      <c r="P98" s="17">
        <v>1.4919142E7</v>
      </c>
      <c r="Q98" s="17">
        <v>1.2239075E7</v>
      </c>
      <c r="R98" s="17">
        <v>5210085.0</v>
      </c>
      <c r="S98" s="17">
        <v>1.3232715E7</v>
      </c>
      <c r="T98" s="17">
        <v>6858948.0</v>
      </c>
      <c r="U98" s="17">
        <v>1.8653777E7</v>
      </c>
      <c r="V98" s="11">
        <f t="array" ref="V98">XLOOKUP(A:A,'Raw Revenue'!A:A,'Raw Revenue'!B:B,0)
</f>
        <v>0</v>
      </c>
      <c r="W98" s="11">
        <f t="array" ref="W98">XLOOKUP(A:A,'Raw Revenue'!C:C,'Raw Revenue'!D:D,0)</f>
        <v>0</v>
      </c>
      <c r="X98" s="11">
        <f t="array" ref="X98">XLOOKUP(A:A,'Raw Revenue'!E:E,'Raw Revenue'!F:F,0)</f>
        <v>0</v>
      </c>
      <c r="Y98" s="11">
        <f t="array" ref="Y98">XLOOKUP(A:A,'Raw Revenue'!G:G,'Raw Revenue'!H:H,0)</f>
        <v>0</v>
      </c>
      <c r="Z98" s="11">
        <f t="array" ref="Z98">XLOOKUP(A:A,'Raw Revenue'!I:I,'Raw Revenue'!J:J,0)</f>
        <v>0</v>
      </c>
      <c r="AA98" s="11">
        <f t="array" ref="AA98">XLOOKUP(A:A,'Raw Revenue'!K:K,'Raw Revenue'!L:L,0)</f>
        <v>0</v>
      </c>
      <c r="AB98" s="11">
        <f t="array" ref="AB98">XLOOKUP(A:A,'Raw Revenue'!M:M,'Raw Revenue'!N:N,0)</f>
        <v>0</v>
      </c>
      <c r="AC98" s="3">
        <v>0.0</v>
      </c>
      <c r="AD98" s="3">
        <v>0.0</v>
      </c>
      <c r="AE98" s="3">
        <v>0.0</v>
      </c>
      <c r="AF98" s="3">
        <v>0.0</v>
      </c>
      <c r="AG98" s="3">
        <v>0.0</v>
      </c>
    </row>
    <row r="99">
      <c r="A99" s="3" t="s">
        <v>518</v>
      </c>
      <c r="B99" s="3" t="s">
        <v>519</v>
      </c>
      <c r="C99" s="3" t="str">
        <f t="shared" si="1"/>
        <v>PT. Cahaya Baru Indonesia</v>
      </c>
      <c r="D99" s="3" t="s">
        <v>130</v>
      </c>
      <c r="E99" s="3" t="s">
        <v>104</v>
      </c>
      <c r="F99" s="3" t="s">
        <v>134</v>
      </c>
      <c r="G99" s="3" t="s">
        <v>43</v>
      </c>
      <c r="H99" s="3" t="str">
        <f t="array" ref="H99">XLOOKUP(G:G,'Account Manager Data'!A:A,'Account Manager Data'!B:B,0)</f>
        <v>Eko Prasetyo</v>
      </c>
      <c r="I99" s="11" t="str">
        <f t="array" ref="I99">XLOOKUP($G:$G,'Account Manager Data'!$A:$A,'Account Manager Data'!C:C)</f>
        <v>Papua</v>
      </c>
      <c r="J99" s="17">
        <v>6570718.0</v>
      </c>
      <c r="K99" s="17">
        <v>6683036.0</v>
      </c>
      <c r="L99" s="17">
        <v>0.0</v>
      </c>
      <c r="M99" s="17">
        <v>5688846.0</v>
      </c>
      <c r="N99" s="17">
        <v>1.2608404E7</v>
      </c>
      <c r="O99" s="17">
        <v>4279730.0</v>
      </c>
      <c r="P99" s="17">
        <v>1.4735253E7</v>
      </c>
      <c r="Q99" s="17">
        <v>4086277.0</v>
      </c>
      <c r="R99" s="17">
        <v>5858602.0</v>
      </c>
      <c r="S99" s="17">
        <v>883889.0</v>
      </c>
      <c r="T99" s="17">
        <v>1.3956682E7</v>
      </c>
      <c r="U99" s="17">
        <v>1.2611018E7</v>
      </c>
      <c r="V99" s="11">
        <f t="array" ref="V99">XLOOKUP(A:A,'Raw Revenue'!A:A,'Raw Revenue'!B:B,0)
</f>
        <v>0</v>
      </c>
      <c r="W99" s="11">
        <f t="array" ref="W99">XLOOKUP(A:A,'Raw Revenue'!C:C,'Raw Revenue'!D:D,0)</f>
        <v>0</v>
      </c>
      <c r="X99" s="11">
        <f t="array" ref="X99">XLOOKUP(A:A,'Raw Revenue'!E:E,'Raw Revenue'!F:F,0)</f>
        <v>0</v>
      </c>
      <c r="Y99" s="11">
        <f t="array" ref="Y99">XLOOKUP(A:A,'Raw Revenue'!G:G,'Raw Revenue'!H:H,0)</f>
        <v>0</v>
      </c>
      <c r="Z99" s="11">
        <f t="array" ref="Z99">XLOOKUP(A:A,'Raw Revenue'!I:I,'Raw Revenue'!J:J,0)</f>
        <v>0</v>
      </c>
      <c r="AA99" s="11">
        <f t="array" ref="AA99">XLOOKUP(A:A,'Raw Revenue'!K:K,'Raw Revenue'!L:L,0)</f>
        <v>0</v>
      </c>
      <c r="AB99" s="11">
        <f t="array" ref="AB99">XLOOKUP(A:A,'Raw Revenue'!M:M,'Raw Revenue'!N:N,0)</f>
        <v>0</v>
      </c>
      <c r="AC99" s="3">
        <v>0.0</v>
      </c>
      <c r="AD99" s="3">
        <v>0.0</v>
      </c>
      <c r="AE99" s="3">
        <v>0.0</v>
      </c>
      <c r="AF99" s="3">
        <v>0.0</v>
      </c>
      <c r="AG99" s="3">
        <v>0.0</v>
      </c>
    </row>
    <row r="100">
      <c r="A100" s="3" t="s">
        <v>520</v>
      </c>
      <c r="B100" s="3" t="s">
        <v>521</v>
      </c>
      <c r="C100" s="3" t="str">
        <f t="shared" si="1"/>
        <v>PT. Mentari Pagi Sejahtera</v>
      </c>
      <c r="D100" s="3" t="s">
        <v>214</v>
      </c>
      <c r="E100" s="3" t="s">
        <v>85</v>
      </c>
      <c r="F100" s="3" t="s">
        <v>86</v>
      </c>
      <c r="G100" s="3" t="s">
        <v>74</v>
      </c>
      <c r="H100" s="3" t="str">
        <f t="array" ref="H100">XLOOKUP(G:G,'Account Manager Data'!A:A,'Account Manager Data'!B:B,0)</f>
        <v>Budi Santoso</v>
      </c>
      <c r="I100" s="11" t="str">
        <f t="array" ref="I100">XLOOKUP($G:$G,'Account Manager Data'!$A:$A,'Account Manager Data'!C:C)</f>
        <v>Papua</v>
      </c>
      <c r="J100" s="17">
        <v>2788919.0</v>
      </c>
      <c r="K100" s="17">
        <v>1881012.0</v>
      </c>
      <c r="L100" s="17">
        <v>1.0372748E7</v>
      </c>
      <c r="M100" s="17">
        <v>9167257.0</v>
      </c>
      <c r="N100" s="17">
        <v>1.0059729E7</v>
      </c>
      <c r="O100" s="17">
        <v>1.0820174E7</v>
      </c>
      <c r="P100" s="17">
        <v>1.072331E7</v>
      </c>
      <c r="Q100" s="17">
        <v>1.2779347E7</v>
      </c>
      <c r="R100" s="17">
        <v>1.0420818E7</v>
      </c>
      <c r="S100" s="17">
        <v>8133088.0</v>
      </c>
      <c r="T100" s="17">
        <v>1.557725E7</v>
      </c>
      <c r="U100" s="17">
        <v>1.0538281E7</v>
      </c>
      <c r="V100" s="11">
        <f t="array" ref="V100">XLOOKUP(A:A,'Raw Revenue'!A:A,'Raw Revenue'!B:B,0)
</f>
        <v>0</v>
      </c>
      <c r="W100" s="11">
        <f t="array" ref="W100">XLOOKUP(A:A,'Raw Revenue'!C:C,'Raw Revenue'!D:D,0)</f>
        <v>0</v>
      </c>
      <c r="X100" s="11">
        <f t="array" ref="X100">XLOOKUP(A:A,'Raw Revenue'!E:E,'Raw Revenue'!F:F,0)</f>
        <v>0</v>
      </c>
      <c r="Y100" s="11">
        <f t="array" ref="Y100">XLOOKUP(A:A,'Raw Revenue'!G:G,'Raw Revenue'!H:H,0)</f>
        <v>0</v>
      </c>
      <c r="Z100" s="11">
        <f t="array" ref="Z100">XLOOKUP(A:A,'Raw Revenue'!I:I,'Raw Revenue'!J:J,0)</f>
        <v>0</v>
      </c>
      <c r="AA100" s="11">
        <f t="array" ref="AA100">XLOOKUP(A:A,'Raw Revenue'!K:K,'Raw Revenue'!L:L,0)</f>
        <v>0</v>
      </c>
      <c r="AB100" s="11">
        <f t="array" ref="AB100">XLOOKUP(A:A,'Raw Revenue'!M:M,'Raw Revenue'!N:N,0)</f>
        <v>0</v>
      </c>
      <c r="AC100" s="3">
        <v>0.0</v>
      </c>
      <c r="AD100" s="3">
        <v>0.0</v>
      </c>
      <c r="AE100" s="3">
        <v>0.0</v>
      </c>
      <c r="AF100" s="3">
        <v>0.0</v>
      </c>
      <c r="AG100" s="3">
        <v>0.0</v>
      </c>
    </row>
    <row r="101">
      <c r="A101" s="3" t="s">
        <v>522</v>
      </c>
      <c r="B101" s="3" t="s">
        <v>523</v>
      </c>
      <c r="C101" s="3" t="str">
        <f t="shared" si="1"/>
        <v>PT. Bintang Kejora Nusantara</v>
      </c>
      <c r="D101" s="3" t="s">
        <v>214</v>
      </c>
      <c r="E101" s="3" t="s">
        <v>85</v>
      </c>
      <c r="F101" s="3" t="s">
        <v>407</v>
      </c>
      <c r="G101" s="3" t="s">
        <v>76</v>
      </c>
      <c r="H101" s="3" t="str">
        <f t="array" ref="H101">XLOOKUP(G:G,'Account Manager Data'!A:A,'Account Manager Data'!B:B,0)</f>
        <v>Teguh Wijaya</v>
      </c>
      <c r="I101" s="11" t="str">
        <f t="array" ref="I101">XLOOKUP($G:$G,'Account Manager Data'!$A:$A,'Account Manager Data'!C:C)</f>
        <v>Sulawesi</v>
      </c>
      <c r="J101" s="17">
        <v>6754672.0</v>
      </c>
      <c r="K101" s="17">
        <v>3640640.0</v>
      </c>
      <c r="L101" s="17">
        <v>0.0</v>
      </c>
      <c r="M101" s="17">
        <v>4274121.0</v>
      </c>
      <c r="N101" s="17">
        <v>0.0</v>
      </c>
      <c r="O101" s="17">
        <v>1.3116726E7</v>
      </c>
      <c r="P101" s="17">
        <v>1.076401E7</v>
      </c>
      <c r="Q101" s="17">
        <v>3327952.0</v>
      </c>
      <c r="R101" s="17">
        <v>1.0053124E7</v>
      </c>
      <c r="S101" s="17">
        <v>0.0</v>
      </c>
      <c r="T101" s="17">
        <v>1834678.0</v>
      </c>
      <c r="U101" s="17">
        <v>2591195.0</v>
      </c>
      <c r="V101" s="11">
        <f t="array" ref="V101">XLOOKUP(A:A,'Raw Revenue'!A:A,'Raw Revenue'!B:B,0)
</f>
        <v>0</v>
      </c>
      <c r="W101" s="11">
        <f t="array" ref="W101">XLOOKUP(A:A,'Raw Revenue'!C:C,'Raw Revenue'!D:D,0)</f>
        <v>0</v>
      </c>
      <c r="X101" s="11">
        <f t="array" ref="X101">XLOOKUP(A:A,'Raw Revenue'!E:E,'Raw Revenue'!F:F,0)</f>
        <v>0</v>
      </c>
      <c r="Y101" s="11">
        <f t="array" ref="Y101">XLOOKUP(A:A,'Raw Revenue'!G:G,'Raw Revenue'!H:H,0)</f>
        <v>0</v>
      </c>
      <c r="Z101" s="11">
        <f t="array" ref="Z101">XLOOKUP(A:A,'Raw Revenue'!I:I,'Raw Revenue'!J:J,0)</f>
        <v>0</v>
      </c>
      <c r="AA101" s="11">
        <f t="array" ref="AA101">XLOOKUP(A:A,'Raw Revenue'!K:K,'Raw Revenue'!L:L,0)</f>
        <v>0</v>
      </c>
      <c r="AB101" s="11">
        <f t="array" ref="AB101">XLOOKUP(A:A,'Raw Revenue'!M:M,'Raw Revenue'!N:N,0)</f>
        <v>0</v>
      </c>
      <c r="AC101" s="3">
        <v>0.0</v>
      </c>
      <c r="AD101" s="3">
        <v>0.0</v>
      </c>
      <c r="AE101" s="3">
        <v>0.0</v>
      </c>
      <c r="AF101" s="3">
        <v>0.0</v>
      </c>
      <c r="AG101" s="3">
        <v>0.0</v>
      </c>
    </row>
    <row r="102">
      <c r="A102" s="3" t="s">
        <v>524</v>
      </c>
      <c r="B102" s="3" t="s">
        <v>525</v>
      </c>
      <c r="C102" s="3" t="str">
        <f t="shared" si="1"/>
        <v>PT. Maju Jaya</v>
      </c>
      <c r="D102" s="3" t="s">
        <v>195</v>
      </c>
      <c r="E102" s="3" t="s">
        <v>196</v>
      </c>
      <c r="F102" s="3" t="s">
        <v>260</v>
      </c>
      <c r="G102" s="3" t="s">
        <v>70</v>
      </c>
      <c r="H102" s="3" t="str">
        <f t="array" ref="H102">XLOOKUP(G:G,'Account Manager Data'!A:A,'Account Manager Data'!B:B,0)</f>
        <v>Yusuf Hidayat</v>
      </c>
      <c r="I102" s="11" t="str">
        <f t="array" ref="I102">XLOOKUP($G:$G,'Account Manager Data'!$A:$A,'Account Manager Data'!C:C)</f>
        <v>Sumatera</v>
      </c>
      <c r="J102" s="17">
        <v>4442706.0</v>
      </c>
      <c r="K102" s="17">
        <v>5280274.0</v>
      </c>
      <c r="L102" s="17">
        <v>0.0</v>
      </c>
      <c r="M102" s="17">
        <v>0.0</v>
      </c>
      <c r="N102" s="17">
        <v>9911144.0</v>
      </c>
      <c r="O102" s="17">
        <v>9631535.0</v>
      </c>
      <c r="P102" s="17">
        <v>6482314.0</v>
      </c>
      <c r="Q102" s="17">
        <v>6956556.0</v>
      </c>
      <c r="R102" s="17">
        <v>8729758.0</v>
      </c>
      <c r="S102" s="17">
        <v>6830830.0</v>
      </c>
      <c r="T102" s="17">
        <v>7896945.0</v>
      </c>
      <c r="U102" s="17">
        <v>2315029.0</v>
      </c>
      <c r="V102" s="11">
        <f t="array" ref="V102">XLOOKUP(A:A,'Raw Revenue'!A:A,'Raw Revenue'!B:B,0)
</f>
        <v>0</v>
      </c>
      <c r="W102" s="11">
        <f t="array" ref="W102">XLOOKUP(A:A,'Raw Revenue'!C:C,'Raw Revenue'!D:D,0)</f>
        <v>0</v>
      </c>
      <c r="X102" s="11">
        <f t="array" ref="X102">XLOOKUP(A:A,'Raw Revenue'!E:E,'Raw Revenue'!F:F,0)</f>
        <v>0</v>
      </c>
      <c r="Y102" s="11">
        <f t="array" ref="Y102">XLOOKUP(A:A,'Raw Revenue'!G:G,'Raw Revenue'!H:H,0)</f>
        <v>0</v>
      </c>
      <c r="Z102" s="11">
        <f t="array" ref="Z102">XLOOKUP(A:A,'Raw Revenue'!I:I,'Raw Revenue'!J:J,0)</f>
        <v>0</v>
      </c>
      <c r="AA102" s="11">
        <f t="array" ref="AA102">XLOOKUP(A:A,'Raw Revenue'!K:K,'Raw Revenue'!L:L,0)</f>
        <v>0</v>
      </c>
      <c r="AB102" s="11">
        <f t="array" ref="AB102">XLOOKUP(A:A,'Raw Revenue'!M:M,'Raw Revenue'!N:N,0)</f>
        <v>0</v>
      </c>
      <c r="AC102" s="3">
        <v>0.0</v>
      </c>
      <c r="AD102" s="3">
        <v>0.0</v>
      </c>
      <c r="AE102" s="3">
        <v>0.0</v>
      </c>
      <c r="AF102" s="3">
        <v>0.0</v>
      </c>
      <c r="AG102" s="3">
        <v>0.0</v>
      </c>
    </row>
    <row r="103">
      <c r="A103" s="3" t="s">
        <v>526</v>
      </c>
      <c r="B103" s="3" t="s">
        <v>527</v>
      </c>
      <c r="C103" s="3" t="str">
        <f t="shared" si="1"/>
        <v>CV. Sumber Makmur</v>
      </c>
      <c r="D103" s="3" t="s">
        <v>84</v>
      </c>
      <c r="E103" s="3" t="s">
        <v>215</v>
      </c>
      <c r="F103" s="3" t="s">
        <v>216</v>
      </c>
      <c r="G103" s="3" t="s">
        <v>15</v>
      </c>
      <c r="H103" s="3" t="str">
        <f t="array" ref="H103">XLOOKUP(G:G,'Account Manager Data'!A:A,'Account Manager Data'!B:B,0)</f>
        <v>Rizky Maulana</v>
      </c>
      <c r="I103" s="11" t="str">
        <f t="array" ref="I103">XLOOKUP($G:$G,'Account Manager Data'!$A:$A,'Account Manager Data'!C:C)</f>
        <v>Jawa</v>
      </c>
      <c r="J103" s="17">
        <v>7547570.0</v>
      </c>
      <c r="K103" s="17">
        <v>6365043.0</v>
      </c>
      <c r="L103" s="17">
        <v>6690099.0</v>
      </c>
      <c r="M103" s="17">
        <v>1.1250597E7</v>
      </c>
      <c r="N103" s="17">
        <v>0.0</v>
      </c>
      <c r="O103" s="17">
        <v>1.4598376E7</v>
      </c>
      <c r="P103" s="17">
        <v>8811033.0</v>
      </c>
      <c r="Q103" s="17">
        <v>8454496.0</v>
      </c>
      <c r="R103" s="17">
        <v>1.2095421E7</v>
      </c>
      <c r="S103" s="17">
        <v>0.0</v>
      </c>
      <c r="T103" s="17">
        <v>1.4376759E7</v>
      </c>
      <c r="U103" s="17">
        <v>4599266.0</v>
      </c>
      <c r="V103" s="11">
        <f t="array" ref="V103">XLOOKUP(A:A,'Raw Revenue'!A:A,'Raw Revenue'!B:B,0)
</f>
        <v>0</v>
      </c>
      <c r="W103" s="11">
        <f t="array" ref="W103">XLOOKUP(A:A,'Raw Revenue'!C:C,'Raw Revenue'!D:D,0)</f>
        <v>0</v>
      </c>
      <c r="X103" s="11">
        <f t="array" ref="X103">XLOOKUP(A:A,'Raw Revenue'!E:E,'Raw Revenue'!F:F,0)</f>
        <v>0</v>
      </c>
      <c r="Y103" s="11">
        <f t="array" ref="Y103">XLOOKUP(A:A,'Raw Revenue'!G:G,'Raw Revenue'!H:H,0)</f>
        <v>0</v>
      </c>
      <c r="Z103" s="11">
        <f t="array" ref="Z103">XLOOKUP(A:A,'Raw Revenue'!I:I,'Raw Revenue'!J:J,0)</f>
        <v>0</v>
      </c>
      <c r="AA103" s="11">
        <f t="array" ref="AA103">XLOOKUP(A:A,'Raw Revenue'!K:K,'Raw Revenue'!L:L,0)</f>
        <v>0</v>
      </c>
      <c r="AB103" s="11">
        <f t="array" ref="AB103">XLOOKUP(A:A,'Raw Revenue'!M:M,'Raw Revenue'!N:N,0)</f>
        <v>0</v>
      </c>
      <c r="AC103" s="3">
        <v>0.0</v>
      </c>
      <c r="AD103" s="3">
        <v>0.0</v>
      </c>
      <c r="AE103" s="3">
        <v>0.0</v>
      </c>
      <c r="AF103" s="3">
        <v>0.0</v>
      </c>
      <c r="AG103" s="3">
        <v>0.0</v>
      </c>
    </row>
    <row r="104">
      <c r="A104" s="3" t="s">
        <v>528</v>
      </c>
      <c r="B104" s="3" t="s">
        <v>529</v>
      </c>
      <c r="C104" s="3" t="str">
        <f t="shared" si="1"/>
        <v>PT. Teknologi Nusantara</v>
      </c>
      <c r="D104" s="3" t="s">
        <v>214</v>
      </c>
      <c r="E104" s="3" t="s">
        <v>104</v>
      </c>
      <c r="F104" s="3" t="s">
        <v>134</v>
      </c>
      <c r="G104" s="3" t="s">
        <v>27</v>
      </c>
      <c r="H104" s="3" t="str">
        <f t="array" ref="H104">XLOOKUP(G:G,'Account Manager Data'!A:A,'Account Manager Data'!B:B,0)</f>
        <v>Dedi Kurniawan</v>
      </c>
      <c r="I104" s="11" t="str">
        <f t="array" ref="I104">XLOOKUP($G:$G,'Account Manager Data'!$A:$A,'Account Manager Data'!C:C)</f>
        <v>Kalimantan</v>
      </c>
      <c r="J104" s="17">
        <v>6062756.0</v>
      </c>
      <c r="K104" s="17">
        <v>2745085.0</v>
      </c>
      <c r="L104" s="17">
        <v>0.0</v>
      </c>
      <c r="M104" s="17">
        <v>4691926.0</v>
      </c>
      <c r="N104" s="17">
        <v>0.0</v>
      </c>
      <c r="O104" s="17">
        <v>9398667.0</v>
      </c>
      <c r="P104" s="17">
        <v>2252621.0</v>
      </c>
      <c r="Q104" s="17">
        <v>6653191.0</v>
      </c>
      <c r="R104" s="17">
        <v>7006473.0</v>
      </c>
      <c r="S104" s="17">
        <v>5733174.0</v>
      </c>
      <c r="T104" s="17">
        <v>1.6187733E7</v>
      </c>
      <c r="U104" s="17">
        <v>1.6762437E7</v>
      </c>
      <c r="V104" s="11">
        <f t="array" ref="V104">XLOOKUP(A:A,'Raw Revenue'!A:A,'Raw Revenue'!B:B,0)
</f>
        <v>0</v>
      </c>
      <c r="W104" s="11">
        <f t="array" ref="W104">XLOOKUP(A:A,'Raw Revenue'!C:C,'Raw Revenue'!D:D,0)</f>
        <v>0</v>
      </c>
      <c r="X104" s="11">
        <f t="array" ref="X104">XLOOKUP(A:A,'Raw Revenue'!E:E,'Raw Revenue'!F:F,0)</f>
        <v>0</v>
      </c>
      <c r="Y104" s="11">
        <f t="array" ref="Y104">XLOOKUP(A:A,'Raw Revenue'!G:G,'Raw Revenue'!H:H,0)</f>
        <v>0</v>
      </c>
      <c r="Z104" s="11">
        <f t="array" ref="Z104">XLOOKUP(A:A,'Raw Revenue'!I:I,'Raw Revenue'!J:J,0)</f>
        <v>0</v>
      </c>
      <c r="AA104" s="11">
        <f t="array" ref="AA104">XLOOKUP(A:A,'Raw Revenue'!K:K,'Raw Revenue'!L:L,0)</f>
        <v>0</v>
      </c>
      <c r="AB104" s="11">
        <f t="array" ref="AB104">XLOOKUP(A:A,'Raw Revenue'!M:M,'Raw Revenue'!N:N,0)</f>
        <v>0</v>
      </c>
      <c r="AC104" s="3">
        <v>0.0</v>
      </c>
      <c r="AD104" s="3">
        <v>0.0</v>
      </c>
      <c r="AE104" s="3">
        <v>0.0</v>
      </c>
      <c r="AF104" s="3">
        <v>0.0</v>
      </c>
      <c r="AG104" s="3">
        <v>0.0</v>
      </c>
    </row>
    <row r="105">
      <c r="A105" s="3" t="s">
        <v>530</v>
      </c>
      <c r="B105" s="3" t="s">
        <v>531</v>
      </c>
      <c r="C105" s="3" t="str">
        <f t="shared" si="1"/>
        <v>PT. Bakti Indonesia</v>
      </c>
      <c r="D105" s="3" t="s">
        <v>186</v>
      </c>
      <c r="E105" s="3" t="s">
        <v>196</v>
      </c>
      <c r="F105" s="3" t="s">
        <v>260</v>
      </c>
      <c r="G105" s="3" t="s">
        <v>78</v>
      </c>
      <c r="H105" s="3" t="str">
        <f t="array" ref="H105">XLOOKUP(G:G,'Account Manager Data'!A:A,'Account Manager Data'!B:B,0)</f>
        <v>Ilham Saputra</v>
      </c>
      <c r="I105" s="11" t="str">
        <f t="array" ref="I105">XLOOKUP($G:$G,'Account Manager Data'!$A:$A,'Account Manager Data'!C:C)</f>
        <v>Jawa</v>
      </c>
      <c r="J105" s="17">
        <v>6685297.0</v>
      </c>
      <c r="K105" s="17">
        <v>7087174.0</v>
      </c>
      <c r="L105" s="17">
        <v>9736525.0</v>
      </c>
      <c r="M105" s="17">
        <v>3230164.0</v>
      </c>
      <c r="N105" s="17">
        <v>1.0684614E7</v>
      </c>
      <c r="O105" s="17">
        <v>6445262.0</v>
      </c>
      <c r="P105" s="17">
        <v>4430558.0</v>
      </c>
      <c r="Q105" s="17">
        <v>9670840.0</v>
      </c>
      <c r="R105" s="17">
        <v>790689.0</v>
      </c>
      <c r="S105" s="17">
        <v>6927375.0</v>
      </c>
      <c r="T105" s="17">
        <v>9538298.0</v>
      </c>
      <c r="U105" s="17">
        <v>4556777.0</v>
      </c>
      <c r="V105" s="11">
        <f t="array" ref="V105">XLOOKUP(A:A,'Raw Revenue'!A:A,'Raw Revenue'!B:B,0)
</f>
        <v>0</v>
      </c>
      <c r="W105" s="11">
        <f t="array" ref="W105">XLOOKUP(A:A,'Raw Revenue'!C:C,'Raw Revenue'!D:D,0)</f>
        <v>0</v>
      </c>
      <c r="X105" s="11">
        <f t="array" ref="X105">XLOOKUP(A:A,'Raw Revenue'!E:E,'Raw Revenue'!F:F,0)</f>
        <v>0</v>
      </c>
      <c r="Y105" s="11">
        <f t="array" ref="Y105">XLOOKUP(A:A,'Raw Revenue'!G:G,'Raw Revenue'!H:H,0)</f>
        <v>0</v>
      </c>
      <c r="Z105" s="11">
        <f t="array" ref="Z105">XLOOKUP(A:A,'Raw Revenue'!I:I,'Raw Revenue'!J:J,0)</f>
        <v>0</v>
      </c>
      <c r="AA105" s="11">
        <f t="array" ref="AA105">XLOOKUP(A:A,'Raw Revenue'!K:K,'Raw Revenue'!L:L,0)</f>
        <v>0</v>
      </c>
      <c r="AB105" s="11">
        <f t="array" ref="AB105">XLOOKUP(A:A,'Raw Revenue'!M:M,'Raw Revenue'!N:N,0)</f>
        <v>0</v>
      </c>
      <c r="AC105" s="3">
        <v>0.0</v>
      </c>
      <c r="AD105" s="3">
        <v>0.0</v>
      </c>
      <c r="AE105" s="3">
        <v>0.0</v>
      </c>
      <c r="AF105" s="3">
        <v>0.0</v>
      </c>
      <c r="AG105" s="3">
        <v>0.0</v>
      </c>
    </row>
    <row r="106">
      <c r="A106" s="3" t="s">
        <v>281</v>
      </c>
      <c r="B106" s="3" t="s">
        <v>532</v>
      </c>
      <c r="C106" s="3" t="str">
        <f t="shared" si="1"/>
        <v>CV. Amanah Sejahtera</v>
      </c>
      <c r="D106" s="3" t="s">
        <v>103</v>
      </c>
      <c r="E106" s="3" t="s">
        <v>196</v>
      </c>
      <c r="F106" s="3" t="s">
        <v>315</v>
      </c>
      <c r="G106" s="3" t="s">
        <v>53</v>
      </c>
      <c r="H106" s="3" t="str">
        <f t="array" ref="H106">XLOOKUP(G:G,'Account Manager Data'!A:A,'Account Manager Data'!B:B,0)</f>
        <v>Fajar Ramadhan</v>
      </c>
      <c r="I106" s="11" t="str">
        <f t="array" ref="I106">XLOOKUP($G:$G,'Account Manager Data'!$A:$A,'Account Manager Data'!C:C)</f>
        <v>Sulawesi</v>
      </c>
      <c r="J106" s="17">
        <v>2042152.0</v>
      </c>
      <c r="K106" s="17">
        <v>5991527.0</v>
      </c>
      <c r="L106" s="17">
        <v>4038564.0</v>
      </c>
      <c r="M106" s="17">
        <v>639184.0</v>
      </c>
      <c r="N106" s="17">
        <v>1.1807207E7</v>
      </c>
      <c r="O106" s="17">
        <v>9492217.0</v>
      </c>
      <c r="P106" s="17">
        <v>9212612.0</v>
      </c>
      <c r="Q106" s="17">
        <v>1.5706119E7</v>
      </c>
      <c r="R106" s="17">
        <v>6888935.0</v>
      </c>
      <c r="S106" s="17">
        <v>4034921.0</v>
      </c>
      <c r="T106" s="17">
        <v>301651.0</v>
      </c>
      <c r="U106" s="17">
        <v>3417905.0</v>
      </c>
      <c r="V106" s="11">
        <f t="array" ref="V106">XLOOKUP(A:A,'Raw Revenue'!A:A,'Raw Revenue'!B:B,0)
</f>
        <v>3341764.454</v>
      </c>
      <c r="W106" s="11">
        <f t="array" ref="W106">XLOOKUP(A:A,'Raw Revenue'!C:C,'Raw Revenue'!D:D,0)</f>
        <v>3341764.454</v>
      </c>
      <c r="X106" s="11">
        <f t="array" ref="X106">XLOOKUP(A:A,'Raw Revenue'!E:E,'Raw Revenue'!F:F,0)</f>
        <v>6683528.908</v>
      </c>
      <c r="Y106" s="11">
        <f t="array" ref="Y106">XLOOKUP(A:A,'Raw Revenue'!G:G,'Raw Revenue'!H:H,0)</f>
        <v>5458215.275</v>
      </c>
      <c r="Z106" s="11">
        <f t="array" ref="Z106">XLOOKUP(A:A,'Raw Revenue'!I:I,'Raw Revenue'!J:J,0)</f>
        <v>4901254.533</v>
      </c>
      <c r="AA106" s="11">
        <f t="array" ref="AA106">XLOOKUP(A:A,'Raw Revenue'!K:K,'Raw Revenue'!L:L,0)</f>
        <v>12531616.7</v>
      </c>
      <c r="AB106" s="11">
        <f t="array" ref="AB106">XLOOKUP(A:A,'Raw Revenue'!M:M,'Raw Revenue'!N:N,0)</f>
        <v>11529087.37</v>
      </c>
      <c r="AC106" s="3">
        <v>0.0</v>
      </c>
      <c r="AD106" s="3">
        <v>0.0</v>
      </c>
      <c r="AE106" s="3">
        <v>0.0</v>
      </c>
      <c r="AF106" s="3">
        <v>0.0</v>
      </c>
      <c r="AG106" s="3">
        <v>0.0</v>
      </c>
    </row>
    <row r="107">
      <c r="A107" s="3" t="s">
        <v>439</v>
      </c>
      <c r="B107" s="3" t="s">
        <v>533</v>
      </c>
      <c r="C107" s="3" t="str">
        <f t="shared" si="1"/>
        <v>PT. Digital Solusi Pratama</v>
      </c>
      <c r="D107" s="3" t="s">
        <v>103</v>
      </c>
      <c r="E107" s="3" t="s">
        <v>187</v>
      </c>
      <c r="F107" s="3" t="s">
        <v>295</v>
      </c>
      <c r="G107" s="3" t="s">
        <v>63</v>
      </c>
      <c r="H107" s="3" t="str">
        <f t="array" ref="H107">XLOOKUP(G:G,'Account Manager Data'!A:A,'Account Manager Data'!B:B,0)</f>
        <v>Hendra Gunawan</v>
      </c>
      <c r="I107" s="11" t="str">
        <f t="array" ref="I107">XLOOKUP($G:$G,'Account Manager Data'!$A:$A,'Account Manager Data'!C:C)</f>
        <v>Kalimantan</v>
      </c>
      <c r="J107" s="17">
        <v>6655306.0</v>
      </c>
      <c r="K107" s="17">
        <v>4234030.0</v>
      </c>
      <c r="L107" s="17">
        <v>1128779.0</v>
      </c>
      <c r="M107" s="17">
        <v>5212274.0</v>
      </c>
      <c r="N107" s="17">
        <v>1.1610302E7</v>
      </c>
      <c r="O107" s="17">
        <v>8087530.0</v>
      </c>
      <c r="P107" s="17">
        <v>1368785.0</v>
      </c>
      <c r="Q107" s="17">
        <v>1.0052249E7</v>
      </c>
      <c r="R107" s="17">
        <v>6467891.0</v>
      </c>
      <c r="S107" s="17">
        <v>1.2257309E7</v>
      </c>
      <c r="T107" s="17">
        <v>1.5211896E7</v>
      </c>
      <c r="U107" s="17">
        <v>1.4940026E7</v>
      </c>
      <c r="V107" s="11">
        <f t="array" ref="V107">XLOOKUP(A:A,'Raw Revenue'!A:A,'Raw Revenue'!B:B,0)
</f>
        <v>13260970.06</v>
      </c>
      <c r="W107" s="11">
        <f t="array" ref="W107">XLOOKUP(A:A,'Raw Revenue'!C:C,'Raw Revenue'!D:D,0)</f>
        <v>13260970.06</v>
      </c>
      <c r="X107" s="11">
        <f t="array" ref="X107">XLOOKUP(A:A,'Raw Revenue'!E:E,'Raw Revenue'!F:F,0)</f>
        <v>26521940.11</v>
      </c>
      <c r="Y107" s="11">
        <f t="array" ref="Y107">XLOOKUP(A:A,'Raw Revenue'!G:G,'Raw Revenue'!H:H,0)</f>
        <v>21659584.42</v>
      </c>
      <c r="Z107" s="11">
        <f t="array" ref="Z107">XLOOKUP(A:A,'Raw Revenue'!I:I,'Raw Revenue'!J:J,0)</f>
        <v>19449422.75</v>
      </c>
      <c r="AA107" s="11">
        <f t="array" ref="AA107">XLOOKUP(A:A,'Raw Revenue'!K:K,'Raw Revenue'!L:L,0)</f>
        <v>49728637.71</v>
      </c>
      <c r="AB107" s="11">
        <f t="array" ref="AB107">XLOOKUP(A:A,'Raw Revenue'!M:M,'Raw Revenue'!N:N,0)</f>
        <v>45750346.69</v>
      </c>
      <c r="AC107" s="3">
        <v>0.0</v>
      </c>
      <c r="AD107" s="3">
        <v>0.0</v>
      </c>
      <c r="AE107" s="3">
        <v>0.0</v>
      </c>
      <c r="AF107" s="3">
        <v>0.0</v>
      </c>
      <c r="AG107" s="3">
        <v>0.0</v>
      </c>
    </row>
    <row r="108">
      <c r="A108" s="3" t="s">
        <v>206</v>
      </c>
      <c r="B108" s="3" t="s">
        <v>534</v>
      </c>
      <c r="C108" s="3" t="str">
        <f t="shared" si="1"/>
        <v>PT. Global Niaga Abadi</v>
      </c>
      <c r="D108" s="3" t="s">
        <v>103</v>
      </c>
      <c r="E108" s="3" t="s">
        <v>215</v>
      </c>
      <c r="F108" s="3" t="s">
        <v>216</v>
      </c>
      <c r="G108" s="3" t="s">
        <v>35</v>
      </c>
      <c r="H108" s="3" t="str">
        <f t="array" ref="H108">XLOOKUP(G:G,'Account Manager Data'!A:A,'Account Manager Data'!B:B,0)</f>
        <v>Ahmad Fauzi</v>
      </c>
      <c r="I108" s="11" t="str">
        <f t="array" ref="I108">XLOOKUP($G:$G,'Account Manager Data'!$A:$A,'Account Manager Data'!C:C)</f>
        <v>Sumatera</v>
      </c>
      <c r="J108" s="17">
        <v>6096596.0</v>
      </c>
      <c r="K108" s="17">
        <v>8961379.0</v>
      </c>
      <c r="L108" s="17">
        <v>9404601.0</v>
      </c>
      <c r="M108" s="17">
        <v>550330.0</v>
      </c>
      <c r="N108" s="17">
        <v>6625927.0</v>
      </c>
      <c r="O108" s="17">
        <v>1703298.0</v>
      </c>
      <c r="P108" s="17">
        <v>0.0</v>
      </c>
      <c r="Q108" s="17">
        <v>1.0759484E7</v>
      </c>
      <c r="R108" s="17">
        <v>4436192.0</v>
      </c>
      <c r="S108" s="17">
        <v>0.0</v>
      </c>
      <c r="T108" s="17">
        <v>1.0035985E7</v>
      </c>
      <c r="U108" s="17">
        <v>863112.0</v>
      </c>
      <c r="V108" s="11">
        <f t="array" ref="V108">XLOOKUP(A:A,'Raw Revenue'!A:A,'Raw Revenue'!B:B,0)
</f>
        <v>3855882.062</v>
      </c>
      <c r="W108" s="11">
        <f t="array" ref="W108">XLOOKUP(A:A,'Raw Revenue'!C:C,'Raw Revenue'!D:D,0)</f>
        <v>3855882.062</v>
      </c>
      <c r="X108" s="11">
        <f t="array" ref="X108">XLOOKUP(A:A,'Raw Revenue'!E:E,'Raw Revenue'!F:F,0)</f>
        <v>7711764.125</v>
      </c>
      <c r="Y108" s="11">
        <f t="array" ref="Y108">XLOOKUP(A:A,'Raw Revenue'!G:G,'Raw Revenue'!H:H,0)</f>
        <v>6297940.702</v>
      </c>
      <c r="Z108" s="11">
        <f t="array" ref="Z108">XLOOKUP(A:A,'Raw Revenue'!I:I,'Raw Revenue'!J:J,0)</f>
        <v>5655293.692</v>
      </c>
      <c r="AA108" s="11">
        <f t="array" ref="AA108">XLOOKUP(A:A,'Raw Revenue'!K:K,'Raw Revenue'!L:L,0)</f>
        <v>14459557.73</v>
      </c>
      <c r="AB108" s="11">
        <f t="array" ref="AB108">XLOOKUP(A:A,'Raw Revenue'!M:M,'Raw Revenue'!N:N,0)</f>
        <v>13302793.12</v>
      </c>
      <c r="AC108" s="3">
        <v>0.0</v>
      </c>
      <c r="AD108" s="3">
        <v>0.0</v>
      </c>
      <c r="AE108" s="3">
        <v>0.0</v>
      </c>
      <c r="AF108" s="3">
        <v>0.0</v>
      </c>
      <c r="AG108" s="3">
        <v>0.0</v>
      </c>
    </row>
    <row r="109">
      <c r="A109" s="3" t="s">
        <v>373</v>
      </c>
      <c r="B109" s="3" t="s">
        <v>535</v>
      </c>
      <c r="C109" s="3" t="str">
        <f t="shared" si="1"/>
        <v>PT. Indo Makmur Sentosa</v>
      </c>
      <c r="D109" s="3" t="s">
        <v>103</v>
      </c>
      <c r="E109" s="3" t="s">
        <v>215</v>
      </c>
      <c r="F109" s="3" t="s">
        <v>216</v>
      </c>
      <c r="G109" s="3" t="s">
        <v>74</v>
      </c>
      <c r="H109" s="3" t="str">
        <f t="array" ref="H109">XLOOKUP(G:G,'Account Manager Data'!A:A,'Account Manager Data'!B:B,0)</f>
        <v>Budi Santoso</v>
      </c>
      <c r="I109" s="11" t="str">
        <f t="array" ref="I109">XLOOKUP($G:$G,'Account Manager Data'!$A:$A,'Account Manager Data'!C:C)</f>
        <v>Papua</v>
      </c>
      <c r="J109" s="17">
        <v>2985945.0</v>
      </c>
      <c r="K109" s="17">
        <v>4377241.0</v>
      </c>
      <c r="L109" s="17">
        <v>0.0</v>
      </c>
      <c r="M109" s="17">
        <v>5053199.0</v>
      </c>
      <c r="N109" s="17">
        <v>7057847.0</v>
      </c>
      <c r="O109" s="17">
        <v>0.0</v>
      </c>
      <c r="P109" s="17">
        <v>4358387.0</v>
      </c>
      <c r="Q109" s="17">
        <v>6112082.0</v>
      </c>
      <c r="R109" s="17">
        <v>2600975.0</v>
      </c>
      <c r="S109" s="17">
        <v>3296611.0</v>
      </c>
      <c r="T109" s="17">
        <v>5528113.0</v>
      </c>
      <c r="U109" s="17">
        <v>1893103.0</v>
      </c>
      <c r="V109" s="11">
        <f t="array" ref="V109">XLOOKUP(A:A,'Raw Revenue'!A:A,'Raw Revenue'!B:B,0)
</f>
        <v>146568.6164</v>
      </c>
      <c r="W109" s="11">
        <f t="array" ref="W109">XLOOKUP(A:A,'Raw Revenue'!C:C,'Raw Revenue'!D:D,0)</f>
        <v>73284.3082</v>
      </c>
      <c r="X109" s="11">
        <f t="array" ref="X109">XLOOKUP(A:A,'Raw Revenue'!E:E,'Raw Revenue'!F:F,0)</f>
        <v>43970.58492</v>
      </c>
      <c r="Y109" s="11">
        <f t="array" ref="Y109">XLOOKUP(A:A,'Raw Revenue'!G:G,'Raw Revenue'!H:H,0)</f>
        <v>512990.1574</v>
      </c>
      <c r="Z109" s="11">
        <f t="array" ref="Z109">XLOOKUP(A:A,'Raw Revenue'!I:I,'Raw Revenue'!J:J,0)</f>
        <v>117254.8931</v>
      </c>
      <c r="AA109" s="11">
        <f t="array" ref="AA109">XLOOKUP(A:A,'Raw Revenue'!K:K,'Raw Revenue'!L:L,0)</f>
        <v>3297.793869</v>
      </c>
      <c r="AB109" s="11">
        <f t="array" ref="AB109">XLOOKUP(A:A,'Raw Revenue'!M:M,'Raw Revenue'!N:N,0)</f>
        <v>441904.3785</v>
      </c>
      <c r="AC109" s="3">
        <v>0.0</v>
      </c>
      <c r="AD109" s="3">
        <v>0.0</v>
      </c>
      <c r="AE109" s="3">
        <v>0.0</v>
      </c>
      <c r="AF109" s="3">
        <v>0.0</v>
      </c>
      <c r="AG109" s="3">
        <v>0.0</v>
      </c>
    </row>
    <row r="110">
      <c r="A110" s="3" t="s">
        <v>536</v>
      </c>
      <c r="B110" s="3" t="s">
        <v>537</v>
      </c>
      <c r="C110" s="3" t="str">
        <f t="shared" si="1"/>
        <v>PT. Citra Mandiri Utama</v>
      </c>
      <c r="D110" s="3" t="s">
        <v>130</v>
      </c>
      <c r="E110" s="3" t="s">
        <v>215</v>
      </c>
      <c r="F110" s="3" t="s">
        <v>227</v>
      </c>
      <c r="G110" s="3" t="s">
        <v>43</v>
      </c>
      <c r="H110" s="3" t="str">
        <f t="array" ref="H110">XLOOKUP(G:G,'Account Manager Data'!A:A,'Account Manager Data'!B:B,0)</f>
        <v>Eko Prasetyo</v>
      </c>
      <c r="I110" s="11" t="str">
        <f t="array" ref="I110">XLOOKUP($G:$G,'Account Manager Data'!$A:$A,'Account Manager Data'!C:C)</f>
        <v>Papua</v>
      </c>
      <c r="J110" s="17">
        <v>4846906.0</v>
      </c>
      <c r="K110" s="17">
        <v>3358089.0</v>
      </c>
      <c r="L110" s="17">
        <v>349200.0</v>
      </c>
      <c r="M110" s="17">
        <v>4442764.0</v>
      </c>
      <c r="N110" s="17">
        <v>773176.0</v>
      </c>
      <c r="O110" s="17">
        <v>1.1172721E7</v>
      </c>
      <c r="P110" s="17">
        <v>1.4772395E7</v>
      </c>
      <c r="Q110" s="17">
        <v>2078716.0</v>
      </c>
      <c r="R110" s="17">
        <v>660296.0</v>
      </c>
      <c r="S110" s="17">
        <v>1.4449261E7</v>
      </c>
      <c r="T110" s="17">
        <v>1.7632146E7</v>
      </c>
      <c r="U110" s="17">
        <v>1.2632495E7</v>
      </c>
      <c r="V110" s="11">
        <f t="array" ref="V110">XLOOKUP(A:A,'Raw Revenue'!A:A,'Raw Revenue'!B:B,0)
</f>
        <v>0</v>
      </c>
      <c r="W110" s="11">
        <f t="array" ref="W110">XLOOKUP(A:A,'Raw Revenue'!C:C,'Raw Revenue'!D:D,0)</f>
        <v>0</v>
      </c>
      <c r="X110" s="11">
        <f t="array" ref="X110">XLOOKUP(A:A,'Raw Revenue'!E:E,'Raw Revenue'!F:F,0)</f>
        <v>0</v>
      </c>
      <c r="Y110" s="11">
        <f t="array" ref="Y110">XLOOKUP(A:A,'Raw Revenue'!G:G,'Raw Revenue'!H:H,0)</f>
        <v>0</v>
      </c>
      <c r="Z110" s="11">
        <f t="array" ref="Z110">XLOOKUP(A:A,'Raw Revenue'!I:I,'Raw Revenue'!J:J,0)</f>
        <v>0</v>
      </c>
      <c r="AA110" s="11">
        <f t="array" ref="AA110">XLOOKUP(A:A,'Raw Revenue'!K:K,'Raw Revenue'!L:L,0)</f>
        <v>0</v>
      </c>
      <c r="AB110" s="11">
        <f t="array" ref="AB110">XLOOKUP(A:A,'Raw Revenue'!M:M,'Raw Revenue'!N:N,0)</f>
        <v>0</v>
      </c>
      <c r="AC110" s="3">
        <v>0.0</v>
      </c>
      <c r="AD110" s="3">
        <v>0.0</v>
      </c>
      <c r="AE110" s="3">
        <v>0.0</v>
      </c>
      <c r="AF110" s="3">
        <v>0.0</v>
      </c>
      <c r="AG110" s="3">
        <v>0.0</v>
      </c>
    </row>
    <row r="111">
      <c r="A111" s="3" t="s">
        <v>538</v>
      </c>
      <c r="B111" s="3" t="s">
        <v>539</v>
      </c>
      <c r="C111" s="3" t="str">
        <f t="shared" si="1"/>
        <v>PT. Sinar Dunia Baru</v>
      </c>
      <c r="D111" s="3" t="s">
        <v>84</v>
      </c>
      <c r="E111" s="3" t="s">
        <v>187</v>
      </c>
      <c r="F111" s="3" t="s">
        <v>269</v>
      </c>
      <c r="G111" s="3" t="s">
        <v>76</v>
      </c>
      <c r="H111" s="3" t="str">
        <f t="array" ref="H111">XLOOKUP(G:G,'Account Manager Data'!A:A,'Account Manager Data'!B:B,0)</f>
        <v>Teguh Wijaya</v>
      </c>
      <c r="I111" s="11" t="str">
        <f t="array" ref="I111">XLOOKUP($G:$G,'Account Manager Data'!$A:$A,'Account Manager Data'!C:C)</f>
        <v>Sulawesi</v>
      </c>
      <c r="J111" s="17">
        <v>2885755.0</v>
      </c>
      <c r="K111" s="17">
        <v>37199.0</v>
      </c>
      <c r="L111" s="17">
        <v>4474995.0</v>
      </c>
      <c r="M111" s="17">
        <v>4400449.0</v>
      </c>
      <c r="N111" s="17">
        <v>8091654.0</v>
      </c>
      <c r="O111" s="17">
        <v>4112407.0</v>
      </c>
      <c r="P111" s="17">
        <v>8377884.0</v>
      </c>
      <c r="Q111" s="17">
        <v>1.5980636E7</v>
      </c>
      <c r="R111" s="17">
        <v>0.0</v>
      </c>
      <c r="S111" s="17">
        <v>1.0261409E7</v>
      </c>
      <c r="T111" s="17">
        <v>6379942.0</v>
      </c>
      <c r="U111" s="17">
        <v>1.070615E7</v>
      </c>
      <c r="V111" s="11">
        <f t="array" ref="V111">XLOOKUP(A:A,'Raw Revenue'!A:A,'Raw Revenue'!B:B,0)
</f>
        <v>0</v>
      </c>
      <c r="W111" s="11">
        <f t="array" ref="W111">XLOOKUP(A:A,'Raw Revenue'!C:C,'Raw Revenue'!D:D,0)</f>
        <v>0</v>
      </c>
      <c r="X111" s="11">
        <f t="array" ref="X111">XLOOKUP(A:A,'Raw Revenue'!E:E,'Raw Revenue'!F:F,0)</f>
        <v>0</v>
      </c>
      <c r="Y111" s="11">
        <f t="array" ref="Y111">XLOOKUP(A:A,'Raw Revenue'!G:G,'Raw Revenue'!H:H,0)</f>
        <v>0</v>
      </c>
      <c r="Z111" s="11">
        <f t="array" ref="Z111">XLOOKUP(A:A,'Raw Revenue'!I:I,'Raw Revenue'!J:J,0)</f>
        <v>0</v>
      </c>
      <c r="AA111" s="11">
        <f t="array" ref="AA111">XLOOKUP(A:A,'Raw Revenue'!K:K,'Raw Revenue'!L:L,0)</f>
        <v>0</v>
      </c>
      <c r="AB111" s="11">
        <f t="array" ref="AB111">XLOOKUP(A:A,'Raw Revenue'!M:M,'Raw Revenue'!N:N,0)</f>
        <v>0</v>
      </c>
      <c r="AC111" s="3">
        <v>0.0</v>
      </c>
      <c r="AD111" s="3">
        <v>0.0</v>
      </c>
      <c r="AE111" s="3">
        <v>0.0</v>
      </c>
      <c r="AF111" s="3">
        <v>0.0</v>
      </c>
      <c r="AG111" s="3">
        <v>0.0</v>
      </c>
    </row>
    <row r="112">
      <c r="A112" s="3" t="s">
        <v>540</v>
      </c>
      <c r="B112" s="3" t="s">
        <v>541</v>
      </c>
      <c r="C112" s="3" t="str">
        <f t="shared" si="1"/>
        <v>CV. Karya Utama Mandiri</v>
      </c>
      <c r="D112" s="3" t="s">
        <v>130</v>
      </c>
      <c r="E112" s="3" t="s">
        <v>187</v>
      </c>
      <c r="F112" s="3" t="s">
        <v>188</v>
      </c>
      <c r="G112" s="3" t="s">
        <v>70</v>
      </c>
      <c r="H112" s="3" t="str">
        <f t="array" ref="H112">XLOOKUP(G:G,'Account Manager Data'!A:A,'Account Manager Data'!B:B,0)</f>
        <v>Yusuf Hidayat</v>
      </c>
      <c r="I112" s="11" t="str">
        <f t="array" ref="I112">XLOOKUP($G:$G,'Account Manager Data'!$A:$A,'Account Manager Data'!C:C)</f>
        <v>Sumatera</v>
      </c>
      <c r="J112" s="17">
        <v>5657137.0</v>
      </c>
      <c r="K112" s="17">
        <v>5895915.0</v>
      </c>
      <c r="L112" s="17">
        <v>5393671.0</v>
      </c>
      <c r="M112" s="17">
        <v>9638139.0</v>
      </c>
      <c r="N112" s="17">
        <v>1140082.0</v>
      </c>
      <c r="O112" s="17">
        <v>6256002.0</v>
      </c>
      <c r="P112" s="17">
        <v>6848685.0</v>
      </c>
      <c r="Q112" s="17">
        <v>6742098.0</v>
      </c>
      <c r="R112" s="17">
        <v>1.323991E7</v>
      </c>
      <c r="S112" s="17">
        <v>0.0</v>
      </c>
      <c r="T112" s="17">
        <v>1.7675194E7</v>
      </c>
      <c r="U112" s="17">
        <v>9491764.0</v>
      </c>
      <c r="V112" s="11">
        <f t="array" ref="V112">XLOOKUP(A:A,'Raw Revenue'!A:A,'Raw Revenue'!B:B,0)
</f>
        <v>0</v>
      </c>
      <c r="W112" s="11">
        <f t="array" ref="W112">XLOOKUP(A:A,'Raw Revenue'!C:C,'Raw Revenue'!D:D,0)</f>
        <v>0</v>
      </c>
      <c r="X112" s="11">
        <f t="array" ref="X112">XLOOKUP(A:A,'Raw Revenue'!E:E,'Raw Revenue'!F:F,0)</f>
        <v>0</v>
      </c>
      <c r="Y112" s="11">
        <f t="array" ref="Y112">XLOOKUP(A:A,'Raw Revenue'!G:G,'Raw Revenue'!H:H,0)</f>
        <v>0</v>
      </c>
      <c r="Z112" s="11">
        <f t="array" ref="Z112">XLOOKUP(A:A,'Raw Revenue'!I:I,'Raw Revenue'!J:J,0)</f>
        <v>0</v>
      </c>
      <c r="AA112" s="11">
        <f t="array" ref="AA112">XLOOKUP(A:A,'Raw Revenue'!K:K,'Raw Revenue'!L:L,0)</f>
        <v>0</v>
      </c>
      <c r="AB112" s="11">
        <f t="array" ref="AB112">XLOOKUP(A:A,'Raw Revenue'!M:M,'Raw Revenue'!N:N,0)</f>
        <v>0</v>
      </c>
      <c r="AC112" s="3">
        <v>0.0</v>
      </c>
      <c r="AD112" s="3">
        <v>0.0</v>
      </c>
      <c r="AE112" s="3">
        <v>0.0</v>
      </c>
      <c r="AF112" s="3">
        <v>0.0</v>
      </c>
      <c r="AG112" s="3">
        <v>0.0</v>
      </c>
    </row>
    <row r="113">
      <c r="A113" s="3" t="s">
        <v>542</v>
      </c>
      <c r="B113" s="3" t="s">
        <v>543</v>
      </c>
      <c r="C113" s="3" t="str">
        <f t="shared" si="1"/>
        <v>PT. Pratama Jaya Sentosa</v>
      </c>
      <c r="D113" s="3" t="s">
        <v>84</v>
      </c>
      <c r="E113" s="3" t="s">
        <v>215</v>
      </c>
      <c r="F113" s="3" t="s">
        <v>216</v>
      </c>
      <c r="G113" s="3" t="s">
        <v>15</v>
      </c>
      <c r="H113" s="3" t="str">
        <f t="array" ref="H113">XLOOKUP(G:G,'Account Manager Data'!A:A,'Account Manager Data'!B:B,0)</f>
        <v>Rizky Maulana</v>
      </c>
      <c r="I113" s="11" t="str">
        <f t="array" ref="I113">XLOOKUP($G:$G,'Account Manager Data'!$A:$A,'Account Manager Data'!C:C)</f>
        <v>Jawa</v>
      </c>
      <c r="J113" s="17">
        <v>6518316.0</v>
      </c>
      <c r="K113" s="17">
        <v>2369463.0</v>
      </c>
      <c r="L113" s="17">
        <v>9540873.0</v>
      </c>
      <c r="M113" s="17">
        <v>1.0036911E7</v>
      </c>
      <c r="N113" s="17">
        <v>7668022.0</v>
      </c>
      <c r="O113" s="17">
        <v>0.0</v>
      </c>
      <c r="P113" s="17">
        <v>6996143.0</v>
      </c>
      <c r="Q113" s="17">
        <v>0.0</v>
      </c>
      <c r="R113" s="17">
        <v>0.0</v>
      </c>
      <c r="S113" s="17">
        <v>1279061.0</v>
      </c>
      <c r="T113" s="17">
        <v>1096711.0</v>
      </c>
      <c r="U113" s="17">
        <v>1.1270772E7</v>
      </c>
      <c r="V113" s="11">
        <f t="array" ref="V113">XLOOKUP(A:A,'Raw Revenue'!A:A,'Raw Revenue'!B:B,0)
</f>
        <v>0</v>
      </c>
      <c r="W113" s="11">
        <f t="array" ref="W113">XLOOKUP(A:A,'Raw Revenue'!C:C,'Raw Revenue'!D:D,0)</f>
        <v>0</v>
      </c>
      <c r="X113" s="11">
        <f t="array" ref="X113">XLOOKUP(A:A,'Raw Revenue'!E:E,'Raw Revenue'!F:F,0)</f>
        <v>0</v>
      </c>
      <c r="Y113" s="11">
        <f t="array" ref="Y113">XLOOKUP(A:A,'Raw Revenue'!G:G,'Raw Revenue'!H:H,0)</f>
        <v>0</v>
      </c>
      <c r="Z113" s="11">
        <f t="array" ref="Z113">XLOOKUP(A:A,'Raw Revenue'!I:I,'Raw Revenue'!J:J,0)</f>
        <v>0</v>
      </c>
      <c r="AA113" s="11">
        <f t="array" ref="AA113">XLOOKUP(A:A,'Raw Revenue'!K:K,'Raw Revenue'!L:L,0)</f>
        <v>0</v>
      </c>
      <c r="AB113" s="11">
        <f t="array" ref="AB113">XLOOKUP(A:A,'Raw Revenue'!M:M,'Raw Revenue'!N:N,0)</f>
        <v>0</v>
      </c>
      <c r="AC113" s="3">
        <v>0.0</v>
      </c>
      <c r="AD113" s="3">
        <v>0.0</v>
      </c>
      <c r="AE113" s="3">
        <v>0.0</v>
      </c>
      <c r="AF113" s="3">
        <v>0.0</v>
      </c>
      <c r="AG113" s="3">
        <v>0.0</v>
      </c>
    </row>
    <row r="114">
      <c r="A114" s="3" t="s">
        <v>544</v>
      </c>
      <c r="B114" s="3" t="s">
        <v>545</v>
      </c>
      <c r="C114" s="3" t="str">
        <f t="shared" si="1"/>
        <v>PT. Abadi Selamanya Jaya</v>
      </c>
      <c r="D114" s="3" t="s">
        <v>130</v>
      </c>
      <c r="E114" s="3" t="s">
        <v>187</v>
      </c>
      <c r="F114" s="3" t="s">
        <v>295</v>
      </c>
      <c r="G114" s="3" t="s">
        <v>53</v>
      </c>
      <c r="H114" s="3" t="str">
        <f t="array" ref="H114">XLOOKUP(G:G,'Account Manager Data'!A:A,'Account Manager Data'!B:B,0)</f>
        <v>Fajar Ramadhan</v>
      </c>
      <c r="I114" s="11" t="str">
        <f t="array" ref="I114">XLOOKUP($G:$G,'Account Manager Data'!$A:$A,'Account Manager Data'!C:C)</f>
        <v>Sulawesi</v>
      </c>
      <c r="J114" s="17">
        <v>1244335.0</v>
      </c>
      <c r="K114" s="17">
        <v>6556916.0</v>
      </c>
      <c r="L114" s="17">
        <v>2025461.0</v>
      </c>
      <c r="M114" s="17">
        <v>8138201.0</v>
      </c>
      <c r="N114" s="17">
        <v>7124259.0</v>
      </c>
      <c r="O114" s="17">
        <v>5758192.0</v>
      </c>
      <c r="P114" s="17">
        <v>4815792.0</v>
      </c>
      <c r="Q114" s="17">
        <v>9154001.0</v>
      </c>
      <c r="R114" s="17">
        <v>6804362.0</v>
      </c>
      <c r="S114" s="17">
        <v>2347864.0</v>
      </c>
      <c r="T114" s="17">
        <v>1.7208406E7</v>
      </c>
      <c r="U114" s="17">
        <v>5269532.0</v>
      </c>
      <c r="V114" s="11">
        <f t="array" ref="V114">XLOOKUP(A:A,'Raw Revenue'!A:A,'Raw Revenue'!B:B,0)
</f>
        <v>0</v>
      </c>
      <c r="W114" s="11">
        <f t="array" ref="W114">XLOOKUP(A:A,'Raw Revenue'!C:C,'Raw Revenue'!D:D,0)</f>
        <v>0</v>
      </c>
      <c r="X114" s="11">
        <f t="array" ref="X114">XLOOKUP(A:A,'Raw Revenue'!E:E,'Raw Revenue'!F:F,0)</f>
        <v>0</v>
      </c>
      <c r="Y114" s="11">
        <f t="array" ref="Y114">XLOOKUP(A:A,'Raw Revenue'!G:G,'Raw Revenue'!H:H,0)</f>
        <v>0</v>
      </c>
      <c r="Z114" s="11">
        <f t="array" ref="Z114">XLOOKUP(A:A,'Raw Revenue'!I:I,'Raw Revenue'!J:J,0)</f>
        <v>0</v>
      </c>
      <c r="AA114" s="11">
        <f t="array" ref="AA114">XLOOKUP(A:A,'Raw Revenue'!K:K,'Raw Revenue'!L:L,0)</f>
        <v>0</v>
      </c>
      <c r="AB114" s="11">
        <f t="array" ref="AB114">XLOOKUP(A:A,'Raw Revenue'!M:M,'Raw Revenue'!N:N,0)</f>
        <v>0</v>
      </c>
      <c r="AC114" s="3">
        <v>0.0</v>
      </c>
      <c r="AD114" s="3">
        <v>0.0</v>
      </c>
      <c r="AE114" s="3">
        <v>0.0</v>
      </c>
      <c r="AF114" s="3">
        <v>0.0</v>
      </c>
      <c r="AG114" s="3">
        <v>0.0</v>
      </c>
    </row>
    <row r="115">
      <c r="A115" s="3" t="s">
        <v>546</v>
      </c>
      <c r="B115" s="3" t="s">
        <v>547</v>
      </c>
      <c r="C115" s="3" t="str">
        <f t="shared" si="1"/>
        <v>PT. Mandiri Sejahtera Bersama</v>
      </c>
      <c r="D115" s="3" t="s">
        <v>186</v>
      </c>
      <c r="E115" s="3" t="s">
        <v>215</v>
      </c>
      <c r="F115" s="3" t="s">
        <v>216</v>
      </c>
      <c r="G115" s="3" t="s">
        <v>27</v>
      </c>
      <c r="H115" s="3" t="str">
        <f t="array" ref="H115">XLOOKUP(G:G,'Account Manager Data'!A:A,'Account Manager Data'!B:B,0)</f>
        <v>Dedi Kurniawan</v>
      </c>
      <c r="I115" s="11" t="str">
        <f t="array" ref="I115">XLOOKUP($G:$G,'Account Manager Data'!$A:$A,'Account Manager Data'!C:C)</f>
        <v>Kalimantan</v>
      </c>
      <c r="J115" s="17">
        <v>202422.0</v>
      </c>
      <c r="K115" s="17">
        <v>2966076.0</v>
      </c>
      <c r="L115" s="17">
        <v>935574.0</v>
      </c>
      <c r="M115" s="17">
        <v>6252648.0</v>
      </c>
      <c r="N115" s="17">
        <v>4348922.0</v>
      </c>
      <c r="O115" s="17">
        <v>9467823.0</v>
      </c>
      <c r="P115" s="17">
        <v>1.1092717E7</v>
      </c>
      <c r="Q115" s="17">
        <v>1836795.0</v>
      </c>
      <c r="R115" s="17">
        <v>0.0</v>
      </c>
      <c r="S115" s="17">
        <v>564928.0</v>
      </c>
      <c r="T115" s="17">
        <v>1.2271236E7</v>
      </c>
      <c r="U115" s="17">
        <v>1.7026962E7</v>
      </c>
      <c r="V115" s="11">
        <f t="array" ref="V115">XLOOKUP(A:A,'Raw Revenue'!A:A,'Raw Revenue'!B:B,0)
</f>
        <v>0</v>
      </c>
      <c r="W115" s="11">
        <f t="array" ref="W115">XLOOKUP(A:A,'Raw Revenue'!C:C,'Raw Revenue'!D:D,0)</f>
        <v>0</v>
      </c>
      <c r="X115" s="11">
        <f t="array" ref="X115">XLOOKUP(A:A,'Raw Revenue'!E:E,'Raw Revenue'!F:F,0)</f>
        <v>0</v>
      </c>
      <c r="Y115" s="11">
        <f t="array" ref="Y115">XLOOKUP(A:A,'Raw Revenue'!G:G,'Raw Revenue'!H:H,0)</f>
        <v>0</v>
      </c>
      <c r="Z115" s="11">
        <f t="array" ref="Z115">XLOOKUP(A:A,'Raw Revenue'!I:I,'Raw Revenue'!J:J,0)</f>
        <v>0</v>
      </c>
      <c r="AA115" s="11">
        <f t="array" ref="AA115">XLOOKUP(A:A,'Raw Revenue'!K:K,'Raw Revenue'!L:L,0)</f>
        <v>0</v>
      </c>
      <c r="AB115" s="11">
        <f t="array" ref="AB115">XLOOKUP(A:A,'Raw Revenue'!M:M,'Raw Revenue'!N:N,0)</f>
        <v>0</v>
      </c>
      <c r="AC115" s="3">
        <v>0.0</v>
      </c>
      <c r="AD115" s="3">
        <v>0.0</v>
      </c>
      <c r="AE115" s="3">
        <v>0.0</v>
      </c>
      <c r="AF115" s="3">
        <v>0.0</v>
      </c>
      <c r="AG115" s="3">
        <v>0.0</v>
      </c>
    </row>
    <row r="116">
      <c r="A116" s="3" t="s">
        <v>548</v>
      </c>
      <c r="B116" s="3" t="s">
        <v>549</v>
      </c>
      <c r="C116" s="3" t="str">
        <f t="shared" si="1"/>
        <v>PT. Sejahtera Alam Indonesia</v>
      </c>
      <c r="D116" s="3" t="s">
        <v>84</v>
      </c>
      <c r="E116" s="3" t="s">
        <v>215</v>
      </c>
      <c r="F116" s="3" t="s">
        <v>300</v>
      </c>
      <c r="G116" s="3" t="s">
        <v>78</v>
      </c>
      <c r="H116" s="3" t="str">
        <f t="array" ref="H116">XLOOKUP(G:G,'Account Manager Data'!A:A,'Account Manager Data'!B:B,0)</f>
        <v>Ilham Saputra</v>
      </c>
      <c r="I116" s="11" t="str">
        <f t="array" ref="I116">XLOOKUP($G:$G,'Account Manager Data'!$A:$A,'Account Manager Data'!C:C)</f>
        <v>Jawa</v>
      </c>
      <c r="J116" s="17">
        <v>3462707.0</v>
      </c>
      <c r="K116" s="17">
        <v>1109551.0</v>
      </c>
      <c r="L116" s="17">
        <v>1179650.0</v>
      </c>
      <c r="M116" s="17">
        <v>1606367.0</v>
      </c>
      <c r="N116" s="17">
        <v>1.178677E7</v>
      </c>
      <c r="O116" s="17">
        <v>3445249.0</v>
      </c>
      <c r="P116" s="17">
        <v>1.5978829E7</v>
      </c>
      <c r="Q116" s="17">
        <v>1.1887126E7</v>
      </c>
      <c r="R116" s="17">
        <v>1.190791E7</v>
      </c>
      <c r="S116" s="17">
        <v>8165711.0</v>
      </c>
      <c r="T116" s="17">
        <v>7367605.0</v>
      </c>
      <c r="U116" s="17">
        <v>2253264.0</v>
      </c>
      <c r="V116" s="11">
        <f t="array" ref="V116">XLOOKUP(A:A,'Raw Revenue'!A:A,'Raw Revenue'!B:B,0)
</f>
        <v>0</v>
      </c>
      <c r="W116" s="11">
        <f t="array" ref="W116">XLOOKUP(A:A,'Raw Revenue'!C:C,'Raw Revenue'!D:D,0)</f>
        <v>0</v>
      </c>
      <c r="X116" s="11">
        <f t="array" ref="X116">XLOOKUP(A:A,'Raw Revenue'!E:E,'Raw Revenue'!F:F,0)</f>
        <v>0</v>
      </c>
      <c r="Y116" s="11">
        <f t="array" ref="Y116">XLOOKUP(A:A,'Raw Revenue'!G:G,'Raw Revenue'!H:H,0)</f>
        <v>0</v>
      </c>
      <c r="Z116" s="11">
        <f t="array" ref="Z116">XLOOKUP(A:A,'Raw Revenue'!I:I,'Raw Revenue'!J:J,0)</f>
        <v>0</v>
      </c>
      <c r="AA116" s="11">
        <f t="array" ref="AA116">XLOOKUP(A:A,'Raw Revenue'!K:K,'Raw Revenue'!L:L,0)</f>
        <v>0</v>
      </c>
      <c r="AB116" s="11">
        <f t="array" ref="AB116">XLOOKUP(A:A,'Raw Revenue'!M:M,'Raw Revenue'!N:N,0)</f>
        <v>0</v>
      </c>
      <c r="AC116" s="3">
        <v>0.0</v>
      </c>
      <c r="AD116" s="3">
        <v>0.0</v>
      </c>
      <c r="AE116" s="3">
        <v>0.0</v>
      </c>
      <c r="AF116" s="3">
        <v>0.0</v>
      </c>
      <c r="AG116" s="3">
        <v>0.0</v>
      </c>
    </row>
    <row r="117">
      <c r="A117" s="3" t="s">
        <v>550</v>
      </c>
      <c r="B117" s="3" t="s">
        <v>551</v>
      </c>
      <c r="C117" s="3" t="str">
        <f t="shared" si="1"/>
        <v>PT. Indah Kargo Logistik</v>
      </c>
      <c r="D117" s="3" t="s">
        <v>195</v>
      </c>
      <c r="E117" s="3" t="s">
        <v>104</v>
      </c>
      <c r="F117" s="3" t="s">
        <v>134</v>
      </c>
      <c r="G117" s="3" t="s">
        <v>63</v>
      </c>
      <c r="H117" s="3" t="str">
        <f t="array" ref="H117">XLOOKUP(G:G,'Account Manager Data'!A:A,'Account Manager Data'!B:B,0)</f>
        <v>Hendra Gunawan</v>
      </c>
      <c r="I117" s="11" t="str">
        <f t="array" ref="I117">XLOOKUP($G:$G,'Account Manager Data'!$A:$A,'Account Manager Data'!C:C)</f>
        <v>Kalimantan</v>
      </c>
      <c r="J117" s="17">
        <v>535523.0</v>
      </c>
      <c r="K117" s="17">
        <v>4012536.0</v>
      </c>
      <c r="L117" s="17">
        <v>1.0644966E7</v>
      </c>
      <c r="M117" s="17">
        <v>1180625.0</v>
      </c>
      <c r="N117" s="17">
        <v>1.3698873E7</v>
      </c>
      <c r="O117" s="17">
        <v>3244229.0</v>
      </c>
      <c r="P117" s="17">
        <v>8194350.0</v>
      </c>
      <c r="Q117" s="17">
        <v>9670443.0</v>
      </c>
      <c r="R117" s="17">
        <v>4834890.0</v>
      </c>
      <c r="S117" s="17">
        <v>1.5348697E7</v>
      </c>
      <c r="T117" s="17">
        <v>1.629512E7</v>
      </c>
      <c r="U117" s="17">
        <v>1.2885933E7</v>
      </c>
      <c r="V117" s="11">
        <f t="array" ref="V117">XLOOKUP(A:A,'Raw Revenue'!A:A,'Raw Revenue'!B:B,0)
</f>
        <v>0</v>
      </c>
      <c r="W117" s="11">
        <f t="array" ref="W117">XLOOKUP(A:A,'Raw Revenue'!C:C,'Raw Revenue'!D:D,0)</f>
        <v>0</v>
      </c>
      <c r="X117" s="11">
        <f t="array" ref="X117">XLOOKUP(A:A,'Raw Revenue'!E:E,'Raw Revenue'!F:F,0)</f>
        <v>0</v>
      </c>
      <c r="Y117" s="11">
        <f t="array" ref="Y117">XLOOKUP(A:A,'Raw Revenue'!G:G,'Raw Revenue'!H:H,0)</f>
        <v>0</v>
      </c>
      <c r="Z117" s="11">
        <f t="array" ref="Z117">XLOOKUP(A:A,'Raw Revenue'!I:I,'Raw Revenue'!J:J,0)</f>
        <v>0</v>
      </c>
      <c r="AA117" s="11">
        <f t="array" ref="AA117">XLOOKUP(A:A,'Raw Revenue'!K:K,'Raw Revenue'!L:L,0)</f>
        <v>0</v>
      </c>
      <c r="AB117" s="11">
        <f t="array" ref="AB117">XLOOKUP(A:A,'Raw Revenue'!M:M,'Raw Revenue'!N:N,0)</f>
        <v>0</v>
      </c>
      <c r="AC117" s="3">
        <v>0.0</v>
      </c>
      <c r="AD117" s="3">
        <v>0.0</v>
      </c>
      <c r="AE117" s="3">
        <v>0.0</v>
      </c>
      <c r="AF117" s="3">
        <v>0.0</v>
      </c>
      <c r="AG117" s="3">
        <v>0.0</v>
      </c>
    </row>
    <row r="118">
      <c r="A118" s="3" t="s">
        <v>552</v>
      </c>
      <c r="B118" s="3" t="s">
        <v>553</v>
      </c>
      <c r="C118" s="3" t="str">
        <f t="shared" si="1"/>
        <v>PT. Berkah Alam Semesta</v>
      </c>
      <c r="D118" s="3" t="s">
        <v>214</v>
      </c>
      <c r="E118" s="3" t="s">
        <v>187</v>
      </c>
      <c r="F118" s="3" t="s">
        <v>269</v>
      </c>
      <c r="G118" s="3" t="s">
        <v>35</v>
      </c>
      <c r="H118" s="3" t="str">
        <f t="array" ref="H118">XLOOKUP(G:G,'Account Manager Data'!A:A,'Account Manager Data'!B:B,0)</f>
        <v>Ahmad Fauzi</v>
      </c>
      <c r="I118" s="11" t="str">
        <f t="array" ref="I118">XLOOKUP($G:$G,'Account Manager Data'!$A:$A,'Account Manager Data'!C:C)</f>
        <v>Sumatera</v>
      </c>
      <c r="J118" s="17">
        <v>7378340.0</v>
      </c>
      <c r="K118" s="17">
        <v>7659104.0</v>
      </c>
      <c r="L118" s="17">
        <v>0.0</v>
      </c>
      <c r="M118" s="17">
        <v>9487869.0</v>
      </c>
      <c r="N118" s="17">
        <v>4285913.0</v>
      </c>
      <c r="O118" s="17">
        <v>9211148.0</v>
      </c>
      <c r="P118" s="17">
        <v>1.5410746E7</v>
      </c>
      <c r="Q118" s="17">
        <v>2500744.0</v>
      </c>
      <c r="R118" s="17">
        <v>911710.0</v>
      </c>
      <c r="S118" s="17">
        <v>4483910.0</v>
      </c>
      <c r="T118" s="17">
        <v>1.2343736E7</v>
      </c>
      <c r="U118" s="17">
        <v>1.8353736E7</v>
      </c>
      <c r="V118" s="11">
        <f t="array" ref="V118">XLOOKUP(A:A,'Raw Revenue'!A:A,'Raw Revenue'!B:B,0)
</f>
        <v>0</v>
      </c>
      <c r="W118" s="11">
        <f t="array" ref="W118">XLOOKUP(A:A,'Raw Revenue'!C:C,'Raw Revenue'!D:D,0)</f>
        <v>0</v>
      </c>
      <c r="X118" s="11">
        <f t="array" ref="X118">XLOOKUP(A:A,'Raw Revenue'!E:E,'Raw Revenue'!F:F,0)</f>
        <v>0</v>
      </c>
      <c r="Y118" s="11">
        <f t="array" ref="Y118">XLOOKUP(A:A,'Raw Revenue'!G:G,'Raw Revenue'!H:H,0)</f>
        <v>0</v>
      </c>
      <c r="Z118" s="11">
        <f t="array" ref="Z118">XLOOKUP(A:A,'Raw Revenue'!I:I,'Raw Revenue'!J:J,0)</f>
        <v>0</v>
      </c>
      <c r="AA118" s="11">
        <f t="array" ref="AA118">XLOOKUP(A:A,'Raw Revenue'!K:K,'Raw Revenue'!L:L,0)</f>
        <v>0</v>
      </c>
      <c r="AB118" s="11">
        <f t="array" ref="AB118">XLOOKUP(A:A,'Raw Revenue'!M:M,'Raw Revenue'!N:N,0)</f>
        <v>0</v>
      </c>
      <c r="AC118" s="3">
        <v>0.0</v>
      </c>
      <c r="AD118" s="3">
        <v>0.0</v>
      </c>
      <c r="AE118" s="3">
        <v>0.0</v>
      </c>
      <c r="AF118" s="3">
        <v>0.0</v>
      </c>
      <c r="AG118" s="3">
        <v>0.0</v>
      </c>
    </row>
    <row r="119">
      <c r="A119" s="3" t="s">
        <v>554</v>
      </c>
      <c r="B119" s="3" t="s">
        <v>555</v>
      </c>
      <c r="C119" s="3" t="str">
        <f t="shared" si="1"/>
        <v>PT. Cahaya Baru Indonesia</v>
      </c>
      <c r="D119" s="3" t="s">
        <v>84</v>
      </c>
      <c r="E119" s="3" t="s">
        <v>196</v>
      </c>
      <c r="F119" s="3" t="s">
        <v>197</v>
      </c>
      <c r="G119" s="3" t="s">
        <v>43</v>
      </c>
      <c r="H119" s="3" t="str">
        <f t="array" ref="H119">XLOOKUP(G:G,'Account Manager Data'!A:A,'Account Manager Data'!B:B,0)</f>
        <v>Eko Prasetyo</v>
      </c>
      <c r="I119" s="11" t="str">
        <f t="array" ref="I119">XLOOKUP($G:$G,'Account Manager Data'!$A:$A,'Account Manager Data'!C:C)</f>
        <v>Papua</v>
      </c>
      <c r="J119" s="17">
        <v>1871173.0</v>
      </c>
      <c r="K119" s="17">
        <v>8198644.0</v>
      </c>
      <c r="L119" s="17">
        <v>8208370.0</v>
      </c>
      <c r="M119" s="17">
        <v>1.014979E7</v>
      </c>
      <c r="N119" s="17">
        <v>1.2543616E7</v>
      </c>
      <c r="O119" s="17">
        <v>4621639.0</v>
      </c>
      <c r="P119" s="17">
        <v>1.4764055E7</v>
      </c>
      <c r="Q119" s="17">
        <v>1921676.0</v>
      </c>
      <c r="R119" s="17">
        <v>1.6103599E7</v>
      </c>
      <c r="S119" s="17">
        <v>3633668.0</v>
      </c>
      <c r="T119" s="17">
        <v>2640667.0</v>
      </c>
      <c r="U119" s="17">
        <v>1.2623808E7</v>
      </c>
      <c r="V119" s="11">
        <f t="array" ref="V119">XLOOKUP(A:A,'Raw Revenue'!A:A,'Raw Revenue'!B:B,0)
</f>
        <v>0</v>
      </c>
      <c r="W119" s="11">
        <f t="array" ref="W119">XLOOKUP(A:A,'Raw Revenue'!C:C,'Raw Revenue'!D:D,0)</f>
        <v>0</v>
      </c>
      <c r="X119" s="11">
        <f t="array" ref="X119">XLOOKUP(A:A,'Raw Revenue'!E:E,'Raw Revenue'!F:F,0)</f>
        <v>0</v>
      </c>
      <c r="Y119" s="11">
        <f t="array" ref="Y119">XLOOKUP(A:A,'Raw Revenue'!G:G,'Raw Revenue'!H:H,0)</f>
        <v>0</v>
      </c>
      <c r="Z119" s="11">
        <f t="array" ref="Z119">XLOOKUP(A:A,'Raw Revenue'!I:I,'Raw Revenue'!J:J,0)</f>
        <v>0</v>
      </c>
      <c r="AA119" s="11">
        <f t="array" ref="AA119">XLOOKUP(A:A,'Raw Revenue'!K:K,'Raw Revenue'!L:L,0)</f>
        <v>0</v>
      </c>
      <c r="AB119" s="11">
        <f t="array" ref="AB119">XLOOKUP(A:A,'Raw Revenue'!M:M,'Raw Revenue'!N:N,0)</f>
        <v>0</v>
      </c>
      <c r="AC119" s="3">
        <v>0.0</v>
      </c>
      <c r="AD119" s="3">
        <v>0.0</v>
      </c>
      <c r="AE119" s="3">
        <v>0.0</v>
      </c>
      <c r="AF119" s="3">
        <v>0.0</v>
      </c>
      <c r="AG119" s="3">
        <v>0.0</v>
      </c>
    </row>
    <row r="120">
      <c r="A120" s="3" t="s">
        <v>374</v>
      </c>
      <c r="B120" s="3" t="s">
        <v>556</v>
      </c>
      <c r="C120" s="3" t="str">
        <f t="shared" si="1"/>
        <v>PT. Mentari Pagi Sejahtera</v>
      </c>
      <c r="D120" s="3" t="s">
        <v>103</v>
      </c>
      <c r="E120" s="3" t="s">
        <v>187</v>
      </c>
      <c r="F120" s="3" t="s">
        <v>295</v>
      </c>
      <c r="G120" s="3" t="s">
        <v>74</v>
      </c>
      <c r="H120" s="3" t="str">
        <f t="array" ref="H120">XLOOKUP(G:G,'Account Manager Data'!A:A,'Account Manager Data'!B:B,0)</f>
        <v>Budi Santoso</v>
      </c>
      <c r="I120" s="11" t="str">
        <f t="array" ref="I120">XLOOKUP($G:$G,'Account Manager Data'!$A:$A,'Account Manager Data'!C:C)</f>
        <v>Papua</v>
      </c>
      <c r="J120" s="17">
        <v>1637371.0</v>
      </c>
      <c r="K120" s="17">
        <v>3420940.0</v>
      </c>
      <c r="L120" s="17">
        <v>149113.0</v>
      </c>
      <c r="M120" s="17">
        <v>1.1577297E7</v>
      </c>
      <c r="N120" s="17">
        <v>743942.0</v>
      </c>
      <c r="O120" s="17">
        <v>91308.0</v>
      </c>
      <c r="P120" s="17">
        <v>9521606.0</v>
      </c>
      <c r="Q120" s="17">
        <v>9807724.0</v>
      </c>
      <c r="R120" s="17">
        <v>1.5775846E7</v>
      </c>
      <c r="S120" s="17">
        <v>7903732.0</v>
      </c>
      <c r="T120" s="17">
        <v>7675187.0</v>
      </c>
      <c r="U120" s="17">
        <v>1.0178433E7</v>
      </c>
      <c r="V120" s="11">
        <f t="array" ref="V120">XLOOKUP(A:A,'Raw Revenue'!A:A,'Raw Revenue'!B:B,0)
</f>
        <v>732843.082</v>
      </c>
      <c r="W120" s="11">
        <f t="array" ref="W120">XLOOKUP(A:A,'Raw Revenue'!C:C,'Raw Revenue'!D:D,0)</f>
        <v>366421.541</v>
      </c>
      <c r="X120" s="11">
        <f t="array" ref="X120">XLOOKUP(A:A,'Raw Revenue'!E:E,'Raw Revenue'!F:F,0)</f>
        <v>219852.9246</v>
      </c>
      <c r="Y120" s="11">
        <f t="array" ref="Y120">XLOOKUP(A:A,'Raw Revenue'!G:G,'Raw Revenue'!H:H,0)</f>
        <v>2564950.787</v>
      </c>
      <c r="Z120" s="11">
        <f t="array" ref="Z120">XLOOKUP(A:A,'Raw Revenue'!I:I,'Raw Revenue'!J:J,0)</f>
        <v>586274.4656</v>
      </c>
      <c r="AA120" s="11">
        <f t="array" ref="AA120">XLOOKUP(A:A,'Raw Revenue'!K:K,'Raw Revenue'!L:L,0)</f>
        <v>16488.96935</v>
      </c>
      <c r="AB120" s="11">
        <f t="array" ref="AB120">XLOOKUP(A:A,'Raw Revenue'!M:M,'Raw Revenue'!N:N,0)</f>
        <v>2209521.892</v>
      </c>
      <c r="AC120" s="3">
        <v>0.0</v>
      </c>
      <c r="AD120" s="3">
        <v>0.0</v>
      </c>
      <c r="AE120" s="3">
        <v>0.0</v>
      </c>
      <c r="AF120" s="3">
        <v>0.0</v>
      </c>
      <c r="AG120" s="3">
        <v>0.0</v>
      </c>
    </row>
    <row r="121">
      <c r="A121" s="3" t="s">
        <v>557</v>
      </c>
      <c r="B121" s="3" t="s">
        <v>558</v>
      </c>
      <c r="C121" s="3" t="str">
        <f t="shared" si="1"/>
        <v>PT. Bintang Kejora Nusantara</v>
      </c>
      <c r="D121" s="3" t="s">
        <v>130</v>
      </c>
      <c r="E121" s="3" t="s">
        <v>187</v>
      </c>
      <c r="F121" s="3" t="s">
        <v>188</v>
      </c>
      <c r="G121" s="3" t="s">
        <v>76</v>
      </c>
      <c r="H121" s="3" t="str">
        <f t="array" ref="H121">XLOOKUP(G:G,'Account Manager Data'!A:A,'Account Manager Data'!B:B,0)</f>
        <v>Teguh Wijaya</v>
      </c>
      <c r="I121" s="11" t="str">
        <f t="array" ref="I121">XLOOKUP($G:$G,'Account Manager Data'!$A:$A,'Account Manager Data'!C:C)</f>
        <v>Sulawesi</v>
      </c>
      <c r="J121" s="17">
        <v>2452631.0</v>
      </c>
      <c r="K121" s="17">
        <v>8271700.0</v>
      </c>
      <c r="L121" s="17">
        <v>3474067.0</v>
      </c>
      <c r="M121" s="17">
        <v>3516681.0</v>
      </c>
      <c r="N121" s="17">
        <v>700436.0</v>
      </c>
      <c r="O121" s="17">
        <v>1.459337E7</v>
      </c>
      <c r="P121" s="17">
        <v>9955089.0</v>
      </c>
      <c r="Q121" s="17">
        <v>1.1309959E7</v>
      </c>
      <c r="R121" s="17">
        <v>1.1088773E7</v>
      </c>
      <c r="S121" s="17">
        <v>8706302.0</v>
      </c>
      <c r="T121" s="17">
        <v>1.0073512E7</v>
      </c>
      <c r="U121" s="17">
        <v>1859762.0</v>
      </c>
      <c r="V121" s="11">
        <f t="array" ref="V121">XLOOKUP(A:A,'Raw Revenue'!A:A,'Raw Revenue'!B:B,0)
</f>
        <v>0</v>
      </c>
      <c r="W121" s="11">
        <f t="array" ref="W121">XLOOKUP(A:A,'Raw Revenue'!C:C,'Raw Revenue'!D:D,0)</f>
        <v>0</v>
      </c>
      <c r="X121" s="11">
        <f t="array" ref="X121">XLOOKUP(A:A,'Raw Revenue'!E:E,'Raw Revenue'!F:F,0)</f>
        <v>0</v>
      </c>
      <c r="Y121" s="11">
        <f t="array" ref="Y121">XLOOKUP(A:A,'Raw Revenue'!G:G,'Raw Revenue'!H:H,0)</f>
        <v>0</v>
      </c>
      <c r="Z121" s="11">
        <f t="array" ref="Z121">XLOOKUP(A:A,'Raw Revenue'!I:I,'Raw Revenue'!J:J,0)</f>
        <v>0</v>
      </c>
      <c r="AA121" s="11">
        <f t="array" ref="AA121">XLOOKUP(A:A,'Raw Revenue'!K:K,'Raw Revenue'!L:L,0)</f>
        <v>0</v>
      </c>
      <c r="AB121" s="11">
        <f t="array" ref="AB121">XLOOKUP(A:A,'Raw Revenue'!M:M,'Raw Revenue'!N:N,0)</f>
        <v>0</v>
      </c>
      <c r="AC121" s="3">
        <v>0.0</v>
      </c>
      <c r="AD121" s="3">
        <v>0.0</v>
      </c>
      <c r="AE121" s="3">
        <v>0.0</v>
      </c>
      <c r="AF121" s="3">
        <v>0.0</v>
      </c>
      <c r="AG121" s="3">
        <v>0.0</v>
      </c>
    </row>
    <row r="122">
      <c r="A122" s="3" t="s">
        <v>559</v>
      </c>
      <c r="B122" s="3" t="s">
        <v>560</v>
      </c>
      <c r="C122" s="3" t="str">
        <f t="shared" si="1"/>
        <v>PT. Maju Jaya</v>
      </c>
      <c r="D122" s="3" t="s">
        <v>84</v>
      </c>
      <c r="E122" s="3" t="s">
        <v>85</v>
      </c>
      <c r="F122" s="3" t="s">
        <v>86</v>
      </c>
      <c r="G122" s="3" t="s">
        <v>70</v>
      </c>
      <c r="H122" s="3" t="str">
        <f t="array" ref="H122">XLOOKUP(G:G,'Account Manager Data'!A:A,'Account Manager Data'!B:B,0)</f>
        <v>Yusuf Hidayat</v>
      </c>
      <c r="I122" s="11" t="str">
        <f t="array" ref="I122">XLOOKUP($G:$G,'Account Manager Data'!$A:$A,'Account Manager Data'!C:C)</f>
        <v>Sumatera</v>
      </c>
      <c r="J122" s="17">
        <v>3415303.0</v>
      </c>
      <c r="K122" s="17">
        <v>8314382.0</v>
      </c>
      <c r="L122" s="17">
        <v>0.0</v>
      </c>
      <c r="M122" s="17">
        <v>1544023.0</v>
      </c>
      <c r="N122" s="17">
        <v>2005614.0</v>
      </c>
      <c r="O122" s="17">
        <v>4591618.0</v>
      </c>
      <c r="P122" s="17">
        <v>9458524.0</v>
      </c>
      <c r="Q122" s="17">
        <v>3991630.0</v>
      </c>
      <c r="R122" s="17">
        <v>1.1173461E7</v>
      </c>
      <c r="S122" s="17">
        <v>346825.0</v>
      </c>
      <c r="T122" s="17">
        <v>1.6402183E7</v>
      </c>
      <c r="U122" s="17">
        <v>6266224.0</v>
      </c>
      <c r="V122" s="11">
        <f t="array" ref="V122">XLOOKUP(A:A,'Raw Revenue'!A:A,'Raw Revenue'!B:B,0)
</f>
        <v>0</v>
      </c>
      <c r="W122" s="11">
        <f t="array" ref="W122">XLOOKUP(A:A,'Raw Revenue'!C:C,'Raw Revenue'!D:D,0)</f>
        <v>0</v>
      </c>
      <c r="X122" s="11">
        <f t="array" ref="X122">XLOOKUP(A:A,'Raw Revenue'!E:E,'Raw Revenue'!F:F,0)</f>
        <v>0</v>
      </c>
      <c r="Y122" s="11">
        <f t="array" ref="Y122">XLOOKUP(A:A,'Raw Revenue'!G:G,'Raw Revenue'!H:H,0)</f>
        <v>0</v>
      </c>
      <c r="Z122" s="11">
        <f t="array" ref="Z122">XLOOKUP(A:A,'Raw Revenue'!I:I,'Raw Revenue'!J:J,0)</f>
        <v>0</v>
      </c>
      <c r="AA122" s="11">
        <f t="array" ref="AA122">XLOOKUP(A:A,'Raw Revenue'!K:K,'Raw Revenue'!L:L,0)</f>
        <v>0</v>
      </c>
      <c r="AB122" s="11">
        <f t="array" ref="AB122">XLOOKUP(A:A,'Raw Revenue'!M:M,'Raw Revenue'!N:N,0)</f>
        <v>0</v>
      </c>
      <c r="AC122" s="3">
        <v>0.0</v>
      </c>
      <c r="AD122" s="3">
        <v>0.0</v>
      </c>
      <c r="AE122" s="3">
        <v>0.0</v>
      </c>
      <c r="AF122" s="3">
        <v>0.0</v>
      </c>
      <c r="AG122" s="3">
        <v>0.0</v>
      </c>
    </row>
    <row r="123">
      <c r="A123" s="3" t="s">
        <v>561</v>
      </c>
      <c r="B123" s="3" t="s">
        <v>562</v>
      </c>
      <c r="C123" s="3" t="str">
        <f t="shared" si="1"/>
        <v>CV. Sumber Makmur</v>
      </c>
      <c r="D123" s="3" t="s">
        <v>130</v>
      </c>
      <c r="E123" s="3" t="s">
        <v>104</v>
      </c>
      <c r="F123" s="3" t="s">
        <v>252</v>
      </c>
      <c r="G123" s="3" t="s">
        <v>15</v>
      </c>
      <c r="H123" s="3" t="str">
        <f t="array" ref="H123">XLOOKUP(G:G,'Account Manager Data'!A:A,'Account Manager Data'!B:B,0)</f>
        <v>Rizky Maulana</v>
      </c>
      <c r="I123" s="11" t="str">
        <f t="array" ref="I123">XLOOKUP($G:$G,'Account Manager Data'!$A:$A,'Account Manager Data'!C:C)</f>
        <v>Jawa</v>
      </c>
      <c r="J123" s="17">
        <v>6611011.0</v>
      </c>
      <c r="K123" s="17">
        <v>739698.0</v>
      </c>
      <c r="L123" s="17">
        <v>8132353.0</v>
      </c>
      <c r="M123" s="17">
        <v>810678.0</v>
      </c>
      <c r="N123" s="17">
        <v>1.4234702E7</v>
      </c>
      <c r="O123" s="17">
        <v>9735375.0</v>
      </c>
      <c r="P123" s="17">
        <v>3157574.0</v>
      </c>
      <c r="Q123" s="17">
        <v>2812135.0</v>
      </c>
      <c r="R123" s="17">
        <v>6693953.0</v>
      </c>
      <c r="S123" s="17">
        <v>1.2015032E7</v>
      </c>
      <c r="T123" s="17">
        <v>1.0842043E7</v>
      </c>
      <c r="U123" s="17">
        <v>2472538.0</v>
      </c>
      <c r="V123" s="11">
        <f t="array" ref="V123">XLOOKUP(A:A,'Raw Revenue'!A:A,'Raw Revenue'!B:B,0)
</f>
        <v>0</v>
      </c>
      <c r="W123" s="11">
        <f t="array" ref="W123">XLOOKUP(A:A,'Raw Revenue'!C:C,'Raw Revenue'!D:D,0)</f>
        <v>0</v>
      </c>
      <c r="X123" s="11">
        <f t="array" ref="X123">XLOOKUP(A:A,'Raw Revenue'!E:E,'Raw Revenue'!F:F,0)</f>
        <v>0</v>
      </c>
      <c r="Y123" s="11">
        <f t="array" ref="Y123">XLOOKUP(A:A,'Raw Revenue'!G:G,'Raw Revenue'!H:H,0)</f>
        <v>0</v>
      </c>
      <c r="Z123" s="11">
        <f t="array" ref="Z123">XLOOKUP(A:A,'Raw Revenue'!I:I,'Raw Revenue'!J:J,0)</f>
        <v>0</v>
      </c>
      <c r="AA123" s="11">
        <f t="array" ref="AA123">XLOOKUP(A:A,'Raw Revenue'!K:K,'Raw Revenue'!L:L,0)</f>
        <v>0</v>
      </c>
      <c r="AB123" s="11">
        <f t="array" ref="AB123">XLOOKUP(A:A,'Raw Revenue'!M:M,'Raw Revenue'!N:N,0)</f>
        <v>0</v>
      </c>
      <c r="AC123" s="3">
        <v>0.0</v>
      </c>
      <c r="AD123" s="3">
        <v>0.0</v>
      </c>
      <c r="AE123" s="3">
        <v>0.0</v>
      </c>
      <c r="AF123" s="3">
        <v>0.0</v>
      </c>
      <c r="AG123" s="3">
        <v>0.0</v>
      </c>
    </row>
    <row r="124">
      <c r="A124" s="3" t="s">
        <v>181</v>
      </c>
      <c r="B124" s="3" t="s">
        <v>563</v>
      </c>
      <c r="C124" s="3" t="str">
        <f t="shared" si="1"/>
        <v>PT. Teknologi Nusantara</v>
      </c>
      <c r="D124" s="3" t="s">
        <v>103</v>
      </c>
      <c r="E124" s="3" t="s">
        <v>104</v>
      </c>
      <c r="F124" s="3" t="s">
        <v>134</v>
      </c>
      <c r="G124" s="3" t="s">
        <v>27</v>
      </c>
      <c r="H124" s="3" t="str">
        <f t="array" ref="H124">XLOOKUP(G:G,'Account Manager Data'!A:A,'Account Manager Data'!B:B,0)</f>
        <v>Dedi Kurniawan</v>
      </c>
      <c r="I124" s="11" t="str">
        <f t="array" ref="I124">XLOOKUP($G:$G,'Account Manager Data'!$A:$A,'Account Manager Data'!C:C)</f>
        <v>Kalimantan</v>
      </c>
      <c r="J124" s="17">
        <v>6734181.0</v>
      </c>
      <c r="K124" s="17">
        <v>2694254.0</v>
      </c>
      <c r="L124" s="17">
        <v>3511353.0</v>
      </c>
      <c r="M124" s="17">
        <v>120846.0</v>
      </c>
      <c r="N124" s="17">
        <v>7036723.0</v>
      </c>
      <c r="O124" s="17">
        <v>6202707.0</v>
      </c>
      <c r="P124" s="17">
        <v>9355623.0</v>
      </c>
      <c r="Q124" s="17">
        <v>6050148.0</v>
      </c>
      <c r="R124" s="17">
        <v>4995000.0</v>
      </c>
      <c r="S124" s="17">
        <v>1.4730081E7</v>
      </c>
      <c r="T124" s="17">
        <v>4700432.0</v>
      </c>
      <c r="U124" s="17">
        <v>3023237.0</v>
      </c>
      <c r="V124" s="11">
        <f t="array" ref="V124">XLOOKUP(A:A,'Raw Revenue'!A:A,'Raw Revenue'!B:B,0)
</f>
        <v>5569607.424</v>
      </c>
      <c r="W124" s="11">
        <f t="array" ref="W124">XLOOKUP(A:A,'Raw Revenue'!C:C,'Raw Revenue'!D:D,0)</f>
        <v>5569607.424</v>
      </c>
      <c r="X124" s="11">
        <f t="array" ref="X124">XLOOKUP(A:A,'Raw Revenue'!E:E,'Raw Revenue'!F:F,0)</f>
        <v>11139214.85</v>
      </c>
      <c r="Y124" s="11">
        <f t="array" ref="Y124">XLOOKUP(A:A,'Raw Revenue'!G:G,'Raw Revenue'!H:H,0)</f>
        <v>9097025.458</v>
      </c>
      <c r="Z124" s="11">
        <f t="array" ref="Z124">XLOOKUP(A:A,'Raw Revenue'!I:I,'Raw Revenue'!J:J,0)</f>
        <v>8168757.554</v>
      </c>
      <c r="AA124" s="11">
        <f t="array" ref="AA124">XLOOKUP(A:A,'Raw Revenue'!K:K,'Raw Revenue'!L:L,0)</f>
        <v>20886027.84</v>
      </c>
      <c r="AB124" s="11">
        <f t="array" ref="AB124">XLOOKUP(A:A,'Raw Revenue'!M:M,'Raw Revenue'!N:N,0)</f>
        <v>19215145.61</v>
      </c>
      <c r="AC124" s="3">
        <v>0.0</v>
      </c>
      <c r="AD124" s="3">
        <v>0.0</v>
      </c>
      <c r="AE124" s="3">
        <v>0.0</v>
      </c>
      <c r="AF124" s="3">
        <v>0.0</v>
      </c>
      <c r="AG124" s="3">
        <v>0.0</v>
      </c>
    </row>
    <row r="125">
      <c r="A125" s="3" t="s">
        <v>564</v>
      </c>
      <c r="B125" s="3" t="s">
        <v>565</v>
      </c>
      <c r="C125" s="3" t="str">
        <f t="shared" si="1"/>
        <v>PT. Bakti Indonesia</v>
      </c>
      <c r="D125" s="3" t="s">
        <v>186</v>
      </c>
      <c r="E125" s="3" t="s">
        <v>187</v>
      </c>
      <c r="F125" s="3" t="s">
        <v>295</v>
      </c>
      <c r="G125" s="3" t="s">
        <v>78</v>
      </c>
      <c r="H125" s="3" t="str">
        <f t="array" ref="H125">XLOOKUP(G:G,'Account Manager Data'!A:A,'Account Manager Data'!B:B,0)</f>
        <v>Ilham Saputra</v>
      </c>
      <c r="I125" s="11" t="str">
        <f t="array" ref="I125">XLOOKUP($G:$G,'Account Manager Data'!$A:$A,'Account Manager Data'!C:C)</f>
        <v>Jawa</v>
      </c>
      <c r="J125" s="17">
        <v>1369062.0</v>
      </c>
      <c r="K125" s="17">
        <v>6735221.0</v>
      </c>
      <c r="L125" s="17">
        <v>8138972.0</v>
      </c>
      <c r="M125" s="17">
        <v>7097895.0</v>
      </c>
      <c r="N125" s="17">
        <v>1.1214785E7</v>
      </c>
      <c r="O125" s="17">
        <v>402637.0</v>
      </c>
      <c r="P125" s="17">
        <v>1.3547055E7</v>
      </c>
      <c r="Q125" s="17">
        <v>2498563.0</v>
      </c>
      <c r="R125" s="17">
        <v>7334044.0</v>
      </c>
      <c r="S125" s="17">
        <v>1.7279501E7</v>
      </c>
      <c r="T125" s="17">
        <v>1.3089379E7</v>
      </c>
      <c r="U125" s="17">
        <v>1.3846796E7</v>
      </c>
      <c r="V125" s="11">
        <f t="array" ref="V125">XLOOKUP(A:A,'Raw Revenue'!A:A,'Raw Revenue'!B:B,0)
</f>
        <v>0</v>
      </c>
      <c r="W125" s="11">
        <f t="array" ref="W125">XLOOKUP(A:A,'Raw Revenue'!C:C,'Raw Revenue'!D:D,0)</f>
        <v>0</v>
      </c>
      <c r="X125" s="11">
        <f t="array" ref="X125">XLOOKUP(A:A,'Raw Revenue'!E:E,'Raw Revenue'!F:F,0)</f>
        <v>0</v>
      </c>
      <c r="Y125" s="11">
        <f t="array" ref="Y125">XLOOKUP(A:A,'Raw Revenue'!G:G,'Raw Revenue'!H:H,0)</f>
        <v>0</v>
      </c>
      <c r="Z125" s="11">
        <f t="array" ref="Z125">XLOOKUP(A:A,'Raw Revenue'!I:I,'Raw Revenue'!J:J,0)</f>
        <v>0</v>
      </c>
      <c r="AA125" s="11">
        <f t="array" ref="AA125">XLOOKUP(A:A,'Raw Revenue'!K:K,'Raw Revenue'!L:L,0)</f>
        <v>0</v>
      </c>
      <c r="AB125" s="11">
        <f t="array" ref="AB125">XLOOKUP(A:A,'Raw Revenue'!M:M,'Raw Revenue'!N:N,0)</f>
        <v>0</v>
      </c>
      <c r="AC125" s="3">
        <v>0.0</v>
      </c>
      <c r="AD125" s="3">
        <v>0.0</v>
      </c>
      <c r="AE125" s="3">
        <v>0.0</v>
      </c>
      <c r="AF125" s="3">
        <v>0.0</v>
      </c>
      <c r="AG125" s="3">
        <v>0.0</v>
      </c>
    </row>
    <row r="126">
      <c r="A126" s="3" t="s">
        <v>284</v>
      </c>
      <c r="B126" s="3" t="s">
        <v>566</v>
      </c>
      <c r="C126" s="3" t="str">
        <f t="shared" si="1"/>
        <v>CV. Amanah Sejahtera</v>
      </c>
      <c r="D126" s="3" t="s">
        <v>103</v>
      </c>
      <c r="E126" s="3" t="s">
        <v>196</v>
      </c>
      <c r="F126" s="3" t="s">
        <v>260</v>
      </c>
      <c r="G126" s="3" t="s">
        <v>53</v>
      </c>
      <c r="H126" s="3" t="str">
        <f t="array" ref="H126">XLOOKUP(G:G,'Account Manager Data'!A:A,'Account Manager Data'!B:B,0)</f>
        <v>Fajar Ramadhan</v>
      </c>
      <c r="I126" s="11" t="str">
        <f t="array" ref="I126">XLOOKUP($G:$G,'Account Manager Data'!$A:$A,'Account Manager Data'!C:C)</f>
        <v>Sulawesi</v>
      </c>
      <c r="J126" s="17">
        <v>1851748.0</v>
      </c>
      <c r="K126" s="17">
        <v>8793407.0</v>
      </c>
      <c r="L126" s="17">
        <v>7300175.0</v>
      </c>
      <c r="M126" s="17">
        <v>8552079.0</v>
      </c>
      <c r="N126" s="17">
        <v>851416.0</v>
      </c>
      <c r="O126" s="17">
        <v>1.1903113E7</v>
      </c>
      <c r="P126" s="17">
        <v>1.119641E7</v>
      </c>
      <c r="Q126" s="17">
        <v>7218927.0</v>
      </c>
      <c r="R126" s="17">
        <v>5732453.0</v>
      </c>
      <c r="S126" s="17">
        <v>1.265137E7</v>
      </c>
      <c r="T126" s="17">
        <v>1.3115054E7</v>
      </c>
      <c r="U126" s="17">
        <v>1.2903636E7</v>
      </c>
      <c r="V126" s="11">
        <f t="array" ref="V126">XLOOKUP(A:A,'Raw Revenue'!A:A,'Raw Revenue'!B:B,0)
</f>
        <v>6683528.908</v>
      </c>
      <c r="W126" s="11">
        <f t="array" ref="W126">XLOOKUP(A:A,'Raw Revenue'!C:C,'Raw Revenue'!D:D,0)</f>
        <v>6683528.908</v>
      </c>
      <c r="X126" s="11">
        <f t="array" ref="X126">XLOOKUP(A:A,'Raw Revenue'!E:E,'Raw Revenue'!F:F,0)</f>
        <v>13367057.82</v>
      </c>
      <c r="Y126" s="11">
        <f t="array" ref="Y126">XLOOKUP(A:A,'Raw Revenue'!G:G,'Raw Revenue'!H:H,0)</f>
        <v>10916430.55</v>
      </c>
      <c r="Z126" s="11">
        <f t="array" ref="Z126">XLOOKUP(A:A,'Raw Revenue'!I:I,'Raw Revenue'!J:J,0)</f>
        <v>9802509.065</v>
      </c>
      <c r="AA126" s="11">
        <f t="array" ref="AA126">XLOOKUP(A:A,'Raw Revenue'!K:K,'Raw Revenue'!L:L,0)</f>
        <v>25063233.41</v>
      </c>
      <c r="AB126" s="11">
        <f t="array" ref="AB126">XLOOKUP(A:A,'Raw Revenue'!M:M,'Raw Revenue'!N:N,0)</f>
        <v>23058174.73</v>
      </c>
      <c r="AC126" s="3">
        <v>0.0</v>
      </c>
      <c r="AD126" s="3">
        <v>0.0</v>
      </c>
      <c r="AE126" s="3">
        <v>0.0</v>
      </c>
      <c r="AF126" s="3">
        <v>0.0</v>
      </c>
      <c r="AG126" s="3">
        <v>0.0</v>
      </c>
    </row>
    <row r="127">
      <c r="A127" s="3" t="s">
        <v>567</v>
      </c>
      <c r="B127" s="3" t="s">
        <v>568</v>
      </c>
      <c r="C127" s="3" t="str">
        <f t="shared" si="1"/>
        <v>PT. Digital Solusi Pratama</v>
      </c>
      <c r="D127" s="3" t="s">
        <v>84</v>
      </c>
      <c r="E127" s="3" t="s">
        <v>196</v>
      </c>
      <c r="F127" s="3" t="s">
        <v>260</v>
      </c>
      <c r="G127" s="3" t="s">
        <v>63</v>
      </c>
      <c r="H127" s="3" t="str">
        <f t="array" ref="H127">XLOOKUP(G:G,'Account Manager Data'!A:A,'Account Manager Data'!B:B,0)</f>
        <v>Hendra Gunawan</v>
      </c>
      <c r="I127" s="11" t="str">
        <f t="array" ref="I127">XLOOKUP($G:$G,'Account Manager Data'!$A:$A,'Account Manager Data'!C:C)</f>
        <v>Kalimantan</v>
      </c>
      <c r="J127" s="17">
        <v>1877445.0</v>
      </c>
      <c r="K127" s="17">
        <v>6254089.0</v>
      </c>
      <c r="L127" s="17">
        <v>1730253.0</v>
      </c>
      <c r="M127" s="17">
        <v>2315637.0</v>
      </c>
      <c r="N127" s="17">
        <v>3976854.0</v>
      </c>
      <c r="O127" s="17">
        <v>7814473.0</v>
      </c>
      <c r="P127" s="17">
        <v>1.4205571E7</v>
      </c>
      <c r="Q127" s="17">
        <v>1.2549163E7</v>
      </c>
      <c r="R127" s="17">
        <v>6108805.0</v>
      </c>
      <c r="S127" s="17">
        <v>7108193.0</v>
      </c>
      <c r="T127" s="17">
        <v>1.8298328E7</v>
      </c>
      <c r="U127" s="17">
        <v>1.3783788E7</v>
      </c>
      <c r="V127" s="11">
        <f t="array" ref="V127">XLOOKUP(A:A,'Raw Revenue'!A:A,'Raw Revenue'!B:B,0)
</f>
        <v>0</v>
      </c>
      <c r="W127" s="11">
        <f t="array" ref="W127">XLOOKUP(A:A,'Raw Revenue'!C:C,'Raw Revenue'!D:D,0)</f>
        <v>0</v>
      </c>
      <c r="X127" s="11">
        <f t="array" ref="X127">XLOOKUP(A:A,'Raw Revenue'!E:E,'Raw Revenue'!F:F,0)</f>
        <v>0</v>
      </c>
      <c r="Y127" s="11">
        <f t="array" ref="Y127">XLOOKUP(A:A,'Raw Revenue'!G:G,'Raw Revenue'!H:H,0)</f>
        <v>0</v>
      </c>
      <c r="Z127" s="11">
        <f t="array" ref="Z127">XLOOKUP(A:A,'Raw Revenue'!I:I,'Raw Revenue'!J:J,0)</f>
        <v>0</v>
      </c>
      <c r="AA127" s="11">
        <f t="array" ref="AA127">XLOOKUP(A:A,'Raw Revenue'!K:K,'Raw Revenue'!L:L,0)</f>
        <v>0</v>
      </c>
      <c r="AB127" s="11">
        <f t="array" ref="AB127">XLOOKUP(A:A,'Raw Revenue'!M:M,'Raw Revenue'!N:N,0)</f>
        <v>0</v>
      </c>
      <c r="AC127" s="3">
        <v>0.0</v>
      </c>
      <c r="AD127" s="3">
        <v>0.0</v>
      </c>
      <c r="AE127" s="3">
        <v>0.0</v>
      </c>
      <c r="AF127" s="3">
        <v>0.0</v>
      </c>
      <c r="AG127" s="3">
        <v>0.0</v>
      </c>
    </row>
    <row r="128">
      <c r="A128" s="3" t="s">
        <v>569</v>
      </c>
      <c r="B128" s="3" t="s">
        <v>570</v>
      </c>
      <c r="C128" s="3" t="str">
        <f t="shared" si="1"/>
        <v>PT. Global Niaga Abadi</v>
      </c>
      <c r="D128" s="3" t="s">
        <v>130</v>
      </c>
      <c r="E128" s="3" t="s">
        <v>85</v>
      </c>
      <c r="F128" s="3" t="s">
        <v>407</v>
      </c>
      <c r="G128" s="3" t="s">
        <v>35</v>
      </c>
      <c r="H128" s="3" t="str">
        <f t="array" ref="H128">XLOOKUP(G:G,'Account Manager Data'!A:A,'Account Manager Data'!B:B,0)</f>
        <v>Ahmad Fauzi</v>
      </c>
      <c r="I128" s="11" t="str">
        <f t="array" ref="I128">XLOOKUP($G:$G,'Account Manager Data'!$A:$A,'Account Manager Data'!C:C)</f>
        <v>Sumatera</v>
      </c>
      <c r="J128" s="17">
        <v>1782924.0</v>
      </c>
      <c r="K128" s="17">
        <v>467259.0</v>
      </c>
      <c r="L128" s="17">
        <v>6815898.0</v>
      </c>
      <c r="M128" s="17">
        <v>1.0700254E7</v>
      </c>
      <c r="N128" s="17">
        <v>1.3524736E7</v>
      </c>
      <c r="O128" s="17">
        <v>1.0150583E7</v>
      </c>
      <c r="P128" s="17">
        <v>1.4354815E7</v>
      </c>
      <c r="Q128" s="17">
        <v>9515056.0</v>
      </c>
      <c r="R128" s="17">
        <v>1.4714697E7</v>
      </c>
      <c r="S128" s="17">
        <v>8649611.0</v>
      </c>
      <c r="T128" s="17">
        <v>6249284.0</v>
      </c>
      <c r="U128" s="17">
        <v>0.0</v>
      </c>
      <c r="V128" s="11">
        <f t="array" ref="V128">XLOOKUP(A:A,'Raw Revenue'!A:A,'Raw Revenue'!B:B,0)
</f>
        <v>0</v>
      </c>
      <c r="W128" s="11">
        <f t="array" ref="W128">XLOOKUP(A:A,'Raw Revenue'!C:C,'Raw Revenue'!D:D,0)</f>
        <v>0</v>
      </c>
      <c r="X128" s="11">
        <f t="array" ref="X128">XLOOKUP(A:A,'Raw Revenue'!E:E,'Raw Revenue'!F:F,0)</f>
        <v>0</v>
      </c>
      <c r="Y128" s="11">
        <f t="array" ref="Y128">XLOOKUP(A:A,'Raw Revenue'!G:G,'Raw Revenue'!H:H,0)</f>
        <v>0</v>
      </c>
      <c r="Z128" s="11">
        <f t="array" ref="Z128">XLOOKUP(A:A,'Raw Revenue'!I:I,'Raw Revenue'!J:J,0)</f>
        <v>0</v>
      </c>
      <c r="AA128" s="11">
        <f t="array" ref="AA128">XLOOKUP(A:A,'Raw Revenue'!K:K,'Raw Revenue'!L:L,0)</f>
        <v>0</v>
      </c>
      <c r="AB128" s="11">
        <f t="array" ref="AB128">XLOOKUP(A:A,'Raw Revenue'!M:M,'Raw Revenue'!N:N,0)</f>
        <v>0</v>
      </c>
      <c r="AC128" s="3">
        <v>0.0</v>
      </c>
      <c r="AD128" s="3">
        <v>0.0</v>
      </c>
      <c r="AE128" s="3">
        <v>0.0</v>
      </c>
      <c r="AF128" s="3">
        <v>0.0</v>
      </c>
      <c r="AG128" s="3">
        <v>0.0</v>
      </c>
    </row>
    <row r="129">
      <c r="A129" s="3" t="s">
        <v>377</v>
      </c>
      <c r="B129" s="3" t="s">
        <v>571</v>
      </c>
      <c r="C129" s="3" t="str">
        <f t="shared" si="1"/>
        <v>PT. Indo Makmur Sentosa</v>
      </c>
      <c r="D129" s="3" t="s">
        <v>103</v>
      </c>
      <c r="E129" s="3" t="s">
        <v>85</v>
      </c>
      <c r="F129" s="3" t="s">
        <v>86</v>
      </c>
      <c r="G129" s="3" t="s">
        <v>74</v>
      </c>
      <c r="H129" s="3" t="str">
        <f t="array" ref="H129">XLOOKUP(G:G,'Account Manager Data'!A:A,'Account Manager Data'!B:B,0)</f>
        <v>Budi Santoso</v>
      </c>
      <c r="I129" s="11" t="str">
        <f t="array" ref="I129">XLOOKUP($G:$G,'Account Manager Data'!$A:$A,'Account Manager Data'!C:C)</f>
        <v>Papua</v>
      </c>
      <c r="J129" s="17">
        <v>328811.0</v>
      </c>
      <c r="K129" s="17">
        <v>2335323.0</v>
      </c>
      <c r="L129" s="17">
        <v>5828477.0</v>
      </c>
      <c r="M129" s="17">
        <v>9412743.0</v>
      </c>
      <c r="N129" s="17">
        <v>4261074.0</v>
      </c>
      <c r="O129" s="17">
        <v>8492286.0</v>
      </c>
      <c r="P129" s="17">
        <v>8118701.0</v>
      </c>
      <c r="Q129" s="17">
        <v>5574982.0</v>
      </c>
      <c r="R129" s="17">
        <v>2376463.0</v>
      </c>
      <c r="S129" s="17">
        <v>1.3622036E7</v>
      </c>
      <c r="T129" s="17">
        <v>1.4779452E7</v>
      </c>
      <c r="U129" s="17">
        <v>1.3921861E7</v>
      </c>
      <c r="V129" s="11">
        <f t="array" ref="V129">XLOOKUP(A:A,'Raw Revenue'!A:A,'Raw Revenue'!B:B,0)
</f>
        <v>1465686.164</v>
      </c>
      <c r="W129" s="11">
        <f t="array" ref="W129">XLOOKUP(A:A,'Raw Revenue'!C:C,'Raw Revenue'!D:D,0)</f>
        <v>732843.082</v>
      </c>
      <c r="X129" s="11">
        <f t="array" ref="X129">XLOOKUP(A:A,'Raw Revenue'!E:E,'Raw Revenue'!F:F,0)</f>
        <v>439705.8492</v>
      </c>
      <c r="Y129" s="11">
        <f t="array" ref="Y129">XLOOKUP(A:A,'Raw Revenue'!G:G,'Raw Revenue'!H:H,0)</f>
        <v>5129901.574</v>
      </c>
      <c r="Z129" s="11">
        <f t="array" ref="Z129">XLOOKUP(A:A,'Raw Revenue'!I:I,'Raw Revenue'!J:J,0)</f>
        <v>1172548.931</v>
      </c>
      <c r="AA129" s="11">
        <f t="array" ref="AA129">XLOOKUP(A:A,'Raw Revenue'!K:K,'Raw Revenue'!L:L,0)</f>
        <v>32977.93869</v>
      </c>
      <c r="AB129" s="11">
        <f t="array" ref="AB129">XLOOKUP(A:A,'Raw Revenue'!M:M,'Raw Revenue'!N:N,0)</f>
        <v>4419043.785</v>
      </c>
      <c r="AC129" s="3">
        <v>0.0</v>
      </c>
      <c r="AD129" s="3">
        <v>0.0</v>
      </c>
      <c r="AE129" s="3">
        <v>0.0</v>
      </c>
      <c r="AF129" s="3">
        <v>0.0</v>
      </c>
      <c r="AG129" s="3">
        <v>0.0</v>
      </c>
    </row>
    <row r="130">
      <c r="A130" s="3" t="s">
        <v>572</v>
      </c>
      <c r="B130" s="3" t="s">
        <v>573</v>
      </c>
      <c r="C130" s="3" t="str">
        <f t="shared" si="1"/>
        <v>PT. Citra Mandiri Utama</v>
      </c>
      <c r="D130" s="3" t="s">
        <v>130</v>
      </c>
      <c r="E130" s="3" t="s">
        <v>196</v>
      </c>
      <c r="F130" s="3" t="s">
        <v>197</v>
      </c>
      <c r="G130" s="3" t="s">
        <v>43</v>
      </c>
      <c r="H130" s="3" t="str">
        <f t="array" ref="H130">XLOOKUP(G:G,'Account Manager Data'!A:A,'Account Manager Data'!B:B,0)</f>
        <v>Eko Prasetyo</v>
      </c>
      <c r="I130" s="11" t="str">
        <f t="array" ref="I130">XLOOKUP($G:$G,'Account Manager Data'!$A:$A,'Account Manager Data'!C:C)</f>
        <v>Papua</v>
      </c>
      <c r="J130" s="17">
        <v>1849678.0</v>
      </c>
      <c r="K130" s="17">
        <v>6059604.0</v>
      </c>
      <c r="L130" s="17">
        <v>2678033.0</v>
      </c>
      <c r="M130" s="17">
        <v>6196094.0</v>
      </c>
      <c r="N130" s="17">
        <v>1.3014479E7</v>
      </c>
      <c r="O130" s="17">
        <v>6921148.0</v>
      </c>
      <c r="P130" s="17">
        <v>1853893.0</v>
      </c>
      <c r="Q130" s="17">
        <v>1996986.0</v>
      </c>
      <c r="R130" s="17">
        <v>1549607.0</v>
      </c>
      <c r="S130" s="17">
        <v>7443834.0</v>
      </c>
      <c r="T130" s="17">
        <v>1.677985E7</v>
      </c>
      <c r="U130" s="17">
        <v>3528758.0</v>
      </c>
      <c r="V130" s="11">
        <f t="array" ref="V130">XLOOKUP(A:A,'Raw Revenue'!A:A,'Raw Revenue'!B:B,0)
</f>
        <v>0</v>
      </c>
      <c r="W130" s="11">
        <f t="array" ref="W130">XLOOKUP(A:A,'Raw Revenue'!C:C,'Raw Revenue'!D:D,0)</f>
        <v>0</v>
      </c>
      <c r="X130" s="11">
        <f t="array" ref="X130">XLOOKUP(A:A,'Raw Revenue'!E:E,'Raw Revenue'!F:F,0)</f>
        <v>0</v>
      </c>
      <c r="Y130" s="11">
        <f t="array" ref="Y130">XLOOKUP(A:A,'Raw Revenue'!G:G,'Raw Revenue'!H:H,0)</f>
        <v>0</v>
      </c>
      <c r="Z130" s="11">
        <f t="array" ref="Z130">XLOOKUP(A:A,'Raw Revenue'!I:I,'Raw Revenue'!J:J,0)</f>
        <v>0</v>
      </c>
      <c r="AA130" s="11">
        <f t="array" ref="AA130">XLOOKUP(A:A,'Raw Revenue'!K:K,'Raw Revenue'!L:L,0)</f>
        <v>0</v>
      </c>
      <c r="AB130" s="11">
        <f t="array" ref="AB130">XLOOKUP(A:A,'Raw Revenue'!M:M,'Raw Revenue'!N:N,0)</f>
        <v>0</v>
      </c>
      <c r="AC130" s="3">
        <v>0.0</v>
      </c>
      <c r="AD130" s="3">
        <v>0.0</v>
      </c>
      <c r="AE130" s="3">
        <v>0.0</v>
      </c>
      <c r="AF130" s="3">
        <v>0.0</v>
      </c>
      <c r="AG130" s="3">
        <v>0.0</v>
      </c>
    </row>
    <row r="131">
      <c r="A131" s="3" t="s">
        <v>574</v>
      </c>
      <c r="B131" s="3" t="s">
        <v>575</v>
      </c>
      <c r="C131" s="3" t="str">
        <f t="shared" si="1"/>
        <v>PT. Sinar Dunia Baru</v>
      </c>
      <c r="D131" s="3" t="s">
        <v>130</v>
      </c>
      <c r="E131" s="3" t="s">
        <v>187</v>
      </c>
      <c r="F131" s="3" t="s">
        <v>269</v>
      </c>
      <c r="G131" s="3" t="s">
        <v>76</v>
      </c>
      <c r="H131" s="3" t="str">
        <f t="array" ref="H131">XLOOKUP(G:G,'Account Manager Data'!A:A,'Account Manager Data'!B:B,0)</f>
        <v>Teguh Wijaya</v>
      </c>
      <c r="I131" s="11" t="str">
        <f t="array" ref="I131">XLOOKUP($G:$G,'Account Manager Data'!$A:$A,'Account Manager Data'!C:C)</f>
        <v>Sulawesi</v>
      </c>
      <c r="J131" s="17">
        <v>611360.0</v>
      </c>
      <c r="K131" s="17">
        <v>8842662.0</v>
      </c>
      <c r="L131" s="17">
        <v>3422913.0</v>
      </c>
      <c r="M131" s="17">
        <v>829413.0</v>
      </c>
      <c r="N131" s="17">
        <v>4863305.0</v>
      </c>
      <c r="O131" s="17">
        <v>296723.0</v>
      </c>
      <c r="P131" s="17">
        <v>1699812.0</v>
      </c>
      <c r="Q131" s="17">
        <v>0.0</v>
      </c>
      <c r="R131" s="17">
        <v>4395636.0</v>
      </c>
      <c r="S131" s="17">
        <v>5882214.0</v>
      </c>
      <c r="T131" s="17">
        <v>5722966.0</v>
      </c>
      <c r="U131" s="17">
        <v>1.2444691E7</v>
      </c>
      <c r="V131" s="11">
        <f t="array" ref="V131">XLOOKUP(A:A,'Raw Revenue'!A:A,'Raw Revenue'!B:B,0)
</f>
        <v>0</v>
      </c>
      <c r="W131" s="11">
        <f t="array" ref="W131">XLOOKUP(A:A,'Raw Revenue'!C:C,'Raw Revenue'!D:D,0)</f>
        <v>0</v>
      </c>
      <c r="X131" s="11">
        <f t="array" ref="X131">XLOOKUP(A:A,'Raw Revenue'!E:E,'Raw Revenue'!F:F,0)</f>
        <v>0</v>
      </c>
      <c r="Y131" s="11">
        <f t="array" ref="Y131">XLOOKUP(A:A,'Raw Revenue'!G:G,'Raw Revenue'!H:H,0)</f>
        <v>0</v>
      </c>
      <c r="Z131" s="11">
        <f t="array" ref="Z131">XLOOKUP(A:A,'Raw Revenue'!I:I,'Raw Revenue'!J:J,0)</f>
        <v>0</v>
      </c>
      <c r="AA131" s="11">
        <f t="array" ref="AA131">XLOOKUP(A:A,'Raw Revenue'!K:K,'Raw Revenue'!L:L,0)</f>
        <v>0</v>
      </c>
      <c r="AB131" s="11">
        <f t="array" ref="AB131">XLOOKUP(A:A,'Raw Revenue'!M:M,'Raw Revenue'!N:N,0)</f>
        <v>0</v>
      </c>
      <c r="AC131" s="3">
        <v>0.0</v>
      </c>
      <c r="AD131" s="3">
        <v>0.0</v>
      </c>
      <c r="AE131" s="3">
        <v>0.0</v>
      </c>
      <c r="AF131" s="3">
        <v>0.0</v>
      </c>
      <c r="AG131" s="3">
        <v>0.0</v>
      </c>
    </row>
    <row r="132">
      <c r="A132" s="3" t="s">
        <v>576</v>
      </c>
      <c r="B132" s="3" t="s">
        <v>577</v>
      </c>
      <c r="C132" s="3" t="str">
        <f t="shared" si="1"/>
        <v>CV. Karya Utama Mandiri</v>
      </c>
      <c r="D132" s="3" t="s">
        <v>130</v>
      </c>
      <c r="E132" s="3" t="s">
        <v>215</v>
      </c>
      <c r="F132" s="3" t="s">
        <v>227</v>
      </c>
      <c r="G132" s="3" t="s">
        <v>70</v>
      </c>
      <c r="H132" s="3" t="str">
        <f t="array" ref="H132">XLOOKUP(G:G,'Account Manager Data'!A:A,'Account Manager Data'!B:B,0)</f>
        <v>Yusuf Hidayat</v>
      </c>
      <c r="I132" s="11" t="str">
        <f t="array" ref="I132">XLOOKUP($G:$G,'Account Manager Data'!$A:$A,'Account Manager Data'!C:C)</f>
        <v>Sumatera</v>
      </c>
      <c r="J132" s="17">
        <v>7634040.0</v>
      </c>
      <c r="K132" s="17">
        <v>6076157.0</v>
      </c>
      <c r="L132" s="17">
        <v>1.0317757E7</v>
      </c>
      <c r="M132" s="17">
        <v>1.0157188E7</v>
      </c>
      <c r="N132" s="17">
        <v>4751686.0</v>
      </c>
      <c r="O132" s="17">
        <v>3970039.0</v>
      </c>
      <c r="P132" s="17">
        <v>1.5130985E7</v>
      </c>
      <c r="Q132" s="17">
        <v>8871247.0</v>
      </c>
      <c r="R132" s="17">
        <v>2699567.0</v>
      </c>
      <c r="S132" s="17">
        <v>505216.0</v>
      </c>
      <c r="T132" s="17">
        <v>1.7890828E7</v>
      </c>
      <c r="U132" s="17">
        <v>1.6027007E7</v>
      </c>
      <c r="V132" s="11">
        <f t="array" ref="V132">XLOOKUP(A:A,'Raw Revenue'!A:A,'Raw Revenue'!B:B,0)
</f>
        <v>0</v>
      </c>
      <c r="W132" s="11">
        <f t="array" ref="W132">XLOOKUP(A:A,'Raw Revenue'!C:C,'Raw Revenue'!D:D,0)</f>
        <v>0</v>
      </c>
      <c r="X132" s="11">
        <f t="array" ref="X132">XLOOKUP(A:A,'Raw Revenue'!E:E,'Raw Revenue'!F:F,0)</f>
        <v>0</v>
      </c>
      <c r="Y132" s="11">
        <f t="array" ref="Y132">XLOOKUP(A:A,'Raw Revenue'!G:G,'Raw Revenue'!H:H,0)</f>
        <v>0</v>
      </c>
      <c r="Z132" s="11">
        <f t="array" ref="Z132">XLOOKUP(A:A,'Raw Revenue'!I:I,'Raw Revenue'!J:J,0)</f>
        <v>0</v>
      </c>
      <c r="AA132" s="11">
        <f t="array" ref="AA132">XLOOKUP(A:A,'Raw Revenue'!K:K,'Raw Revenue'!L:L,0)</f>
        <v>0</v>
      </c>
      <c r="AB132" s="11">
        <f t="array" ref="AB132">XLOOKUP(A:A,'Raw Revenue'!M:M,'Raw Revenue'!N:N,0)</f>
        <v>0</v>
      </c>
      <c r="AC132" s="3">
        <v>0.0</v>
      </c>
      <c r="AD132" s="3">
        <v>0.0</v>
      </c>
      <c r="AE132" s="3">
        <v>0.0</v>
      </c>
      <c r="AF132" s="3">
        <v>0.0</v>
      </c>
      <c r="AG132" s="3">
        <v>0.0</v>
      </c>
    </row>
    <row r="133">
      <c r="A133" s="3" t="s">
        <v>578</v>
      </c>
      <c r="B133" s="3" t="s">
        <v>579</v>
      </c>
      <c r="C133" s="3" t="str">
        <f t="shared" si="1"/>
        <v>PT. Pratama Jaya Sentosa</v>
      </c>
      <c r="D133" s="3" t="s">
        <v>186</v>
      </c>
      <c r="E133" s="3" t="s">
        <v>85</v>
      </c>
      <c r="F133" s="3" t="s">
        <v>407</v>
      </c>
      <c r="G133" s="3" t="s">
        <v>15</v>
      </c>
      <c r="H133" s="3" t="str">
        <f t="array" ref="H133">XLOOKUP(G:G,'Account Manager Data'!A:A,'Account Manager Data'!B:B,0)</f>
        <v>Rizky Maulana</v>
      </c>
      <c r="I133" s="11" t="str">
        <f t="array" ref="I133">XLOOKUP($G:$G,'Account Manager Data'!$A:$A,'Account Manager Data'!C:C)</f>
        <v>Jawa</v>
      </c>
      <c r="J133" s="17">
        <v>2508540.0</v>
      </c>
      <c r="K133" s="17">
        <v>4444610.0</v>
      </c>
      <c r="L133" s="17">
        <v>4645408.0</v>
      </c>
      <c r="M133" s="17">
        <v>6514586.0</v>
      </c>
      <c r="N133" s="17">
        <v>3336963.0</v>
      </c>
      <c r="O133" s="17">
        <v>2189106.0</v>
      </c>
      <c r="P133" s="17">
        <v>4536455.0</v>
      </c>
      <c r="Q133" s="17">
        <v>0.0</v>
      </c>
      <c r="R133" s="17">
        <v>2950376.0</v>
      </c>
      <c r="S133" s="17">
        <v>6329234.0</v>
      </c>
      <c r="T133" s="17">
        <v>1.7372741E7</v>
      </c>
      <c r="U133" s="17">
        <v>3289095.0</v>
      </c>
      <c r="V133" s="11">
        <f t="array" ref="V133">XLOOKUP(A:A,'Raw Revenue'!A:A,'Raw Revenue'!B:B,0)
</f>
        <v>0</v>
      </c>
      <c r="W133" s="11">
        <f t="array" ref="W133">XLOOKUP(A:A,'Raw Revenue'!C:C,'Raw Revenue'!D:D,0)</f>
        <v>0</v>
      </c>
      <c r="X133" s="11">
        <f t="array" ref="X133">XLOOKUP(A:A,'Raw Revenue'!E:E,'Raw Revenue'!F:F,0)</f>
        <v>0</v>
      </c>
      <c r="Y133" s="11">
        <f t="array" ref="Y133">XLOOKUP(A:A,'Raw Revenue'!G:G,'Raw Revenue'!H:H,0)</f>
        <v>0</v>
      </c>
      <c r="Z133" s="11">
        <f t="array" ref="Z133">XLOOKUP(A:A,'Raw Revenue'!I:I,'Raw Revenue'!J:J,0)</f>
        <v>0</v>
      </c>
      <c r="AA133" s="11">
        <f t="array" ref="AA133">XLOOKUP(A:A,'Raw Revenue'!K:K,'Raw Revenue'!L:L,0)</f>
        <v>0</v>
      </c>
      <c r="AB133" s="11">
        <f t="array" ref="AB133">XLOOKUP(A:A,'Raw Revenue'!M:M,'Raw Revenue'!N:N,0)</f>
        <v>0</v>
      </c>
      <c r="AC133" s="3">
        <v>0.0</v>
      </c>
      <c r="AD133" s="3">
        <v>0.0</v>
      </c>
      <c r="AE133" s="3">
        <v>0.0</v>
      </c>
      <c r="AF133" s="3">
        <v>0.0</v>
      </c>
      <c r="AG133" s="3">
        <v>0.0</v>
      </c>
    </row>
    <row r="134">
      <c r="A134" s="3" t="s">
        <v>580</v>
      </c>
      <c r="B134" s="3" t="s">
        <v>581</v>
      </c>
      <c r="C134" s="3" t="str">
        <f t="shared" si="1"/>
        <v>PT. Abadi Selamanya Jaya</v>
      </c>
      <c r="D134" s="3" t="s">
        <v>186</v>
      </c>
      <c r="E134" s="3" t="s">
        <v>196</v>
      </c>
      <c r="F134" s="3" t="s">
        <v>260</v>
      </c>
      <c r="G134" s="3" t="s">
        <v>53</v>
      </c>
      <c r="H134" s="3" t="str">
        <f t="array" ref="H134">XLOOKUP(G:G,'Account Manager Data'!A:A,'Account Manager Data'!B:B,0)</f>
        <v>Fajar Ramadhan</v>
      </c>
      <c r="I134" s="11" t="str">
        <f t="array" ref="I134">XLOOKUP($G:$G,'Account Manager Data'!$A:$A,'Account Manager Data'!C:C)</f>
        <v>Sulawesi</v>
      </c>
      <c r="J134" s="17">
        <v>1952919.0</v>
      </c>
      <c r="K134" s="17">
        <v>3919784.0</v>
      </c>
      <c r="L134" s="17">
        <v>6427974.0</v>
      </c>
      <c r="M134" s="17">
        <v>1.1080886E7</v>
      </c>
      <c r="N134" s="17">
        <v>0.0</v>
      </c>
      <c r="O134" s="17">
        <v>2548940.0</v>
      </c>
      <c r="P134" s="17">
        <v>9219530.0</v>
      </c>
      <c r="Q134" s="17">
        <v>7792637.0</v>
      </c>
      <c r="R134" s="17">
        <v>3606862.0</v>
      </c>
      <c r="S134" s="17">
        <v>8265441.0</v>
      </c>
      <c r="T134" s="17">
        <v>1.8397365E7</v>
      </c>
      <c r="U134" s="17">
        <v>2532223.0</v>
      </c>
      <c r="V134" s="11">
        <f t="array" ref="V134">XLOOKUP(A:A,'Raw Revenue'!A:A,'Raw Revenue'!B:B,0)
</f>
        <v>0</v>
      </c>
      <c r="W134" s="11">
        <f t="array" ref="W134">XLOOKUP(A:A,'Raw Revenue'!C:C,'Raw Revenue'!D:D,0)</f>
        <v>0</v>
      </c>
      <c r="X134" s="11">
        <f t="array" ref="X134">XLOOKUP(A:A,'Raw Revenue'!E:E,'Raw Revenue'!F:F,0)</f>
        <v>0</v>
      </c>
      <c r="Y134" s="11">
        <f t="array" ref="Y134">XLOOKUP(A:A,'Raw Revenue'!G:G,'Raw Revenue'!H:H,0)</f>
        <v>0</v>
      </c>
      <c r="Z134" s="11">
        <f t="array" ref="Z134">XLOOKUP(A:A,'Raw Revenue'!I:I,'Raw Revenue'!J:J,0)</f>
        <v>0</v>
      </c>
      <c r="AA134" s="11">
        <f t="array" ref="AA134">XLOOKUP(A:A,'Raw Revenue'!K:K,'Raw Revenue'!L:L,0)</f>
        <v>0</v>
      </c>
      <c r="AB134" s="11">
        <f t="array" ref="AB134">XLOOKUP(A:A,'Raw Revenue'!M:M,'Raw Revenue'!N:N,0)</f>
        <v>0</v>
      </c>
      <c r="AC134" s="3">
        <v>0.0</v>
      </c>
      <c r="AD134" s="3">
        <v>0.0</v>
      </c>
      <c r="AE134" s="3">
        <v>0.0</v>
      </c>
      <c r="AF134" s="3">
        <v>0.0</v>
      </c>
      <c r="AG134" s="3">
        <v>0.0</v>
      </c>
    </row>
    <row r="135">
      <c r="A135" s="3" t="s">
        <v>582</v>
      </c>
      <c r="B135" s="3" t="s">
        <v>583</v>
      </c>
      <c r="C135" s="3" t="str">
        <f t="shared" si="1"/>
        <v>PT. Mandiri Sejahtera Bersama</v>
      </c>
      <c r="D135" s="3" t="s">
        <v>130</v>
      </c>
      <c r="E135" s="3" t="s">
        <v>215</v>
      </c>
      <c r="F135" s="3" t="s">
        <v>227</v>
      </c>
      <c r="G135" s="3" t="s">
        <v>27</v>
      </c>
      <c r="H135" s="3" t="str">
        <f t="array" ref="H135">XLOOKUP(G:G,'Account Manager Data'!A:A,'Account Manager Data'!B:B,0)</f>
        <v>Dedi Kurniawan</v>
      </c>
      <c r="I135" s="11" t="str">
        <f t="array" ref="I135">XLOOKUP($G:$G,'Account Manager Data'!$A:$A,'Account Manager Data'!C:C)</f>
        <v>Kalimantan</v>
      </c>
      <c r="J135" s="17">
        <v>6561804.0</v>
      </c>
      <c r="K135" s="17">
        <v>8006540.0</v>
      </c>
      <c r="L135" s="17">
        <v>4556718.0</v>
      </c>
      <c r="M135" s="17">
        <v>850197.0</v>
      </c>
      <c r="N135" s="17">
        <v>6974742.0</v>
      </c>
      <c r="O135" s="17">
        <v>8733477.0</v>
      </c>
      <c r="P135" s="17">
        <v>1.4496188E7</v>
      </c>
      <c r="Q135" s="17">
        <v>2736858.0</v>
      </c>
      <c r="R135" s="17">
        <v>1.6957576E7</v>
      </c>
      <c r="S135" s="17">
        <v>3794996.0</v>
      </c>
      <c r="T135" s="17">
        <v>1.2148032E7</v>
      </c>
      <c r="U135" s="17">
        <v>4558929.0</v>
      </c>
      <c r="V135" s="11">
        <f t="array" ref="V135">XLOOKUP(A:A,'Raw Revenue'!A:A,'Raw Revenue'!B:B,0)
</f>
        <v>0</v>
      </c>
      <c r="W135" s="11">
        <f t="array" ref="W135">XLOOKUP(A:A,'Raw Revenue'!C:C,'Raw Revenue'!D:D,0)</f>
        <v>0</v>
      </c>
      <c r="X135" s="11">
        <f t="array" ref="X135">XLOOKUP(A:A,'Raw Revenue'!E:E,'Raw Revenue'!F:F,0)</f>
        <v>0</v>
      </c>
      <c r="Y135" s="11">
        <f t="array" ref="Y135">XLOOKUP(A:A,'Raw Revenue'!G:G,'Raw Revenue'!H:H,0)</f>
        <v>0</v>
      </c>
      <c r="Z135" s="11">
        <f t="array" ref="Z135">XLOOKUP(A:A,'Raw Revenue'!I:I,'Raw Revenue'!J:J,0)</f>
        <v>0</v>
      </c>
      <c r="AA135" s="11">
        <f t="array" ref="AA135">XLOOKUP(A:A,'Raw Revenue'!K:K,'Raw Revenue'!L:L,0)</f>
        <v>0</v>
      </c>
      <c r="AB135" s="11">
        <f t="array" ref="AB135">XLOOKUP(A:A,'Raw Revenue'!M:M,'Raw Revenue'!N:N,0)</f>
        <v>0</v>
      </c>
      <c r="AC135" s="3">
        <v>0.0</v>
      </c>
      <c r="AD135" s="3">
        <v>0.0</v>
      </c>
      <c r="AE135" s="3">
        <v>0.0</v>
      </c>
      <c r="AF135" s="3">
        <v>0.0</v>
      </c>
      <c r="AG135" s="3">
        <v>0.0</v>
      </c>
    </row>
    <row r="136">
      <c r="A136" s="3" t="s">
        <v>584</v>
      </c>
      <c r="B136" s="3" t="s">
        <v>585</v>
      </c>
      <c r="C136" s="3" t="str">
        <f t="shared" si="1"/>
        <v>PT. Sejahtera Alam Indonesia</v>
      </c>
      <c r="D136" s="3" t="s">
        <v>186</v>
      </c>
      <c r="E136" s="3" t="s">
        <v>104</v>
      </c>
      <c r="F136" s="3" t="s">
        <v>105</v>
      </c>
      <c r="G136" s="3" t="s">
        <v>78</v>
      </c>
      <c r="H136" s="3" t="str">
        <f t="array" ref="H136">XLOOKUP(G:G,'Account Manager Data'!A:A,'Account Manager Data'!B:B,0)</f>
        <v>Ilham Saputra</v>
      </c>
      <c r="I136" s="11" t="str">
        <f t="array" ref="I136">XLOOKUP($G:$G,'Account Manager Data'!$A:$A,'Account Manager Data'!C:C)</f>
        <v>Jawa</v>
      </c>
      <c r="J136" s="17">
        <v>2890811.0</v>
      </c>
      <c r="K136" s="17">
        <v>7066253.0</v>
      </c>
      <c r="L136" s="17">
        <v>3351202.0</v>
      </c>
      <c r="M136" s="17">
        <v>1860419.0</v>
      </c>
      <c r="N136" s="17">
        <v>8378300.0</v>
      </c>
      <c r="O136" s="17">
        <v>482500.0</v>
      </c>
      <c r="P136" s="17">
        <v>7237268.0</v>
      </c>
      <c r="Q136" s="17">
        <v>4147043.0</v>
      </c>
      <c r="R136" s="17">
        <v>6086129.0</v>
      </c>
      <c r="S136" s="17">
        <v>9349106.0</v>
      </c>
      <c r="T136" s="17">
        <v>0.0</v>
      </c>
      <c r="U136" s="17">
        <v>1.4563295E7</v>
      </c>
      <c r="V136" s="11">
        <f t="array" ref="V136">XLOOKUP(A:A,'Raw Revenue'!A:A,'Raw Revenue'!B:B,0)
</f>
        <v>0</v>
      </c>
      <c r="W136" s="11">
        <f t="array" ref="W136">XLOOKUP(A:A,'Raw Revenue'!C:C,'Raw Revenue'!D:D,0)</f>
        <v>0</v>
      </c>
      <c r="X136" s="11">
        <f t="array" ref="X136">XLOOKUP(A:A,'Raw Revenue'!E:E,'Raw Revenue'!F:F,0)</f>
        <v>0</v>
      </c>
      <c r="Y136" s="11">
        <f t="array" ref="Y136">XLOOKUP(A:A,'Raw Revenue'!G:G,'Raw Revenue'!H:H,0)</f>
        <v>0</v>
      </c>
      <c r="Z136" s="11">
        <f t="array" ref="Z136">XLOOKUP(A:A,'Raw Revenue'!I:I,'Raw Revenue'!J:J,0)</f>
        <v>0</v>
      </c>
      <c r="AA136" s="11">
        <f t="array" ref="AA136">XLOOKUP(A:A,'Raw Revenue'!K:K,'Raw Revenue'!L:L,0)</f>
        <v>0</v>
      </c>
      <c r="AB136" s="11">
        <f t="array" ref="AB136">XLOOKUP(A:A,'Raw Revenue'!M:M,'Raw Revenue'!N:N,0)</f>
        <v>0</v>
      </c>
      <c r="AC136" s="3">
        <v>0.0</v>
      </c>
      <c r="AD136" s="3">
        <v>0.0</v>
      </c>
      <c r="AE136" s="3">
        <v>0.0</v>
      </c>
      <c r="AF136" s="3">
        <v>0.0</v>
      </c>
      <c r="AG136" s="3">
        <v>0.0</v>
      </c>
    </row>
    <row r="137">
      <c r="A137" s="3" t="s">
        <v>586</v>
      </c>
      <c r="B137" s="3" t="s">
        <v>587</v>
      </c>
      <c r="C137" s="3" t="str">
        <f t="shared" si="1"/>
        <v>PT. Indah Kargo Logistik</v>
      </c>
      <c r="D137" s="3" t="s">
        <v>195</v>
      </c>
      <c r="E137" s="3" t="s">
        <v>215</v>
      </c>
      <c r="F137" s="3" t="s">
        <v>300</v>
      </c>
      <c r="G137" s="3" t="s">
        <v>63</v>
      </c>
      <c r="H137" s="3" t="str">
        <f t="array" ref="H137">XLOOKUP(G:G,'Account Manager Data'!A:A,'Account Manager Data'!B:B,0)</f>
        <v>Hendra Gunawan</v>
      </c>
      <c r="I137" s="11" t="str">
        <f t="array" ref="I137">XLOOKUP($G:$G,'Account Manager Data'!$A:$A,'Account Manager Data'!C:C)</f>
        <v>Kalimantan</v>
      </c>
      <c r="J137" s="17">
        <v>2972580.0</v>
      </c>
      <c r="K137" s="17">
        <v>2823236.0</v>
      </c>
      <c r="L137" s="17">
        <v>4249452.0</v>
      </c>
      <c r="M137" s="17">
        <v>2962061.0</v>
      </c>
      <c r="N137" s="17">
        <v>0.0</v>
      </c>
      <c r="O137" s="17">
        <v>1.4314658E7</v>
      </c>
      <c r="P137" s="17">
        <v>7332297.0</v>
      </c>
      <c r="Q137" s="17">
        <v>1.5741852E7</v>
      </c>
      <c r="R137" s="17">
        <v>6059388.0</v>
      </c>
      <c r="S137" s="17">
        <v>1.465301E7</v>
      </c>
      <c r="T137" s="17">
        <v>1.0022496E7</v>
      </c>
      <c r="U137" s="17">
        <v>2423896.0</v>
      </c>
      <c r="V137" s="11">
        <f t="array" ref="V137">XLOOKUP(A:A,'Raw Revenue'!A:A,'Raw Revenue'!B:B,0)
</f>
        <v>0</v>
      </c>
      <c r="W137" s="11">
        <f t="array" ref="W137">XLOOKUP(A:A,'Raw Revenue'!C:C,'Raw Revenue'!D:D,0)</f>
        <v>0</v>
      </c>
      <c r="X137" s="11">
        <f t="array" ref="X137">XLOOKUP(A:A,'Raw Revenue'!E:E,'Raw Revenue'!F:F,0)</f>
        <v>0</v>
      </c>
      <c r="Y137" s="11">
        <f t="array" ref="Y137">XLOOKUP(A:A,'Raw Revenue'!G:G,'Raw Revenue'!H:H,0)</f>
        <v>0</v>
      </c>
      <c r="Z137" s="11">
        <f t="array" ref="Z137">XLOOKUP(A:A,'Raw Revenue'!I:I,'Raw Revenue'!J:J,0)</f>
        <v>0</v>
      </c>
      <c r="AA137" s="11">
        <f t="array" ref="AA137">XLOOKUP(A:A,'Raw Revenue'!K:K,'Raw Revenue'!L:L,0)</f>
        <v>0</v>
      </c>
      <c r="AB137" s="11">
        <f t="array" ref="AB137">XLOOKUP(A:A,'Raw Revenue'!M:M,'Raw Revenue'!N:N,0)</f>
        <v>0</v>
      </c>
      <c r="AC137" s="3">
        <v>0.0</v>
      </c>
      <c r="AD137" s="3">
        <v>0.0</v>
      </c>
      <c r="AE137" s="3">
        <v>0.0</v>
      </c>
      <c r="AF137" s="3">
        <v>0.0</v>
      </c>
      <c r="AG137" s="3">
        <v>0.0</v>
      </c>
    </row>
    <row r="138">
      <c r="A138" s="3" t="s">
        <v>588</v>
      </c>
      <c r="B138" s="3" t="s">
        <v>589</v>
      </c>
      <c r="C138" s="3" t="str">
        <f t="shared" si="1"/>
        <v>PT. Berkah Alam Semesta</v>
      </c>
      <c r="D138" s="3" t="s">
        <v>84</v>
      </c>
      <c r="E138" s="3" t="s">
        <v>104</v>
      </c>
      <c r="F138" s="3" t="s">
        <v>134</v>
      </c>
      <c r="G138" s="3" t="s">
        <v>35</v>
      </c>
      <c r="H138" s="3" t="str">
        <f t="array" ref="H138">XLOOKUP(G:G,'Account Manager Data'!A:A,'Account Manager Data'!B:B,0)</f>
        <v>Ahmad Fauzi</v>
      </c>
      <c r="I138" s="11" t="str">
        <f t="array" ref="I138">XLOOKUP($G:$G,'Account Manager Data'!$A:$A,'Account Manager Data'!C:C)</f>
        <v>Sumatera</v>
      </c>
      <c r="J138" s="17">
        <v>680628.0</v>
      </c>
      <c r="K138" s="17">
        <v>3864064.0</v>
      </c>
      <c r="L138" s="17">
        <v>8282454.0</v>
      </c>
      <c r="M138" s="17">
        <v>8939799.0</v>
      </c>
      <c r="N138" s="17">
        <v>3620555.0</v>
      </c>
      <c r="O138" s="17">
        <v>243178.0</v>
      </c>
      <c r="P138" s="17">
        <v>1.3394651E7</v>
      </c>
      <c r="Q138" s="17">
        <v>8327223.0</v>
      </c>
      <c r="R138" s="17">
        <v>8326024.0</v>
      </c>
      <c r="S138" s="17">
        <v>870023.0</v>
      </c>
      <c r="T138" s="17">
        <v>9604917.0</v>
      </c>
      <c r="U138" s="17">
        <v>1.7037715E7</v>
      </c>
      <c r="V138" s="11">
        <f t="array" ref="V138">XLOOKUP(A:A,'Raw Revenue'!A:A,'Raw Revenue'!B:B,0)
</f>
        <v>0</v>
      </c>
      <c r="W138" s="11">
        <f t="array" ref="W138">XLOOKUP(A:A,'Raw Revenue'!C:C,'Raw Revenue'!D:D,0)</f>
        <v>0</v>
      </c>
      <c r="X138" s="11">
        <f t="array" ref="X138">XLOOKUP(A:A,'Raw Revenue'!E:E,'Raw Revenue'!F:F,0)</f>
        <v>0</v>
      </c>
      <c r="Y138" s="11">
        <f t="array" ref="Y138">XLOOKUP(A:A,'Raw Revenue'!G:G,'Raw Revenue'!H:H,0)</f>
        <v>0</v>
      </c>
      <c r="Z138" s="11">
        <f t="array" ref="Z138">XLOOKUP(A:A,'Raw Revenue'!I:I,'Raw Revenue'!J:J,0)</f>
        <v>0</v>
      </c>
      <c r="AA138" s="11">
        <f t="array" ref="AA138">XLOOKUP(A:A,'Raw Revenue'!K:K,'Raw Revenue'!L:L,0)</f>
        <v>0</v>
      </c>
      <c r="AB138" s="11">
        <f t="array" ref="AB138">XLOOKUP(A:A,'Raw Revenue'!M:M,'Raw Revenue'!N:N,0)</f>
        <v>0</v>
      </c>
      <c r="AC138" s="3">
        <v>0.0</v>
      </c>
      <c r="AD138" s="3">
        <v>0.0</v>
      </c>
      <c r="AE138" s="3">
        <v>0.0</v>
      </c>
      <c r="AF138" s="3">
        <v>0.0</v>
      </c>
      <c r="AG138" s="3">
        <v>0.0</v>
      </c>
    </row>
    <row r="139">
      <c r="A139" s="3" t="s">
        <v>590</v>
      </c>
      <c r="B139" s="3" t="s">
        <v>591</v>
      </c>
      <c r="C139" s="3" t="str">
        <f t="shared" si="1"/>
        <v>PT. Cahaya Baru Indonesia</v>
      </c>
      <c r="D139" s="3" t="s">
        <v>84</v>
      </c>
      <c r="E139" s="3" t="s">
        <v>215</v>
      </c>
      <c r="F139" s="3" t="s">
        <v>300</v>
      </c>
      <c r="G139" s="3" t="s">
        <v>43</v>
      </c>
      <c r="H139" s="3" t="str">
        <f t="array" ref="H139">XLOOKUP(G:G,'Account Manager Data'!A:A,'Account Manager Data'!B:B,0)</f>
        <v>Eko Prasetyo</v>
      </c>
      <c r="I139" s="11" t="str">
        <f t="array" ref="I139">XLOOKUP($G:$G,'Account Manager Data'!$A:$A,'Account Manager Data'!C:C)</f>
        <v>Papua</v>
      </c>
      <c r="J139" s="17">
        <v>7576840.0</v>
      </c>
      <c r="K139" s="17">
        <v>0.0</v>
      </c>
      <c r="L139" s="17">
        <v>4324904.0</v>
      </c>
      <c r="M139" s="17">
        <v>7108909.0</v>
      </c>
      <c r="N139" s="17">
        <v>8318302.0</v>
      </c>
      <c r="O139" s="17">
        <v>4317562.0</v>
      </c>
      <c r="P139" s="17">
        <v>1.2466825E7</v>
      </c>
      <c r="Q139" s="17">
        <v>1.3845504E7</v>
      </c>
      <c r="R139" s="17">
        <v>1.5422896E7</v>
      </c>
      <c r="S139" s="17">
        <v>1.1999604E7</v>
      </c>
      <c r="T139" s="17">
        <v>1.9144034E7</v>
      </c>
      <c r="U139" s="17">
        <v>4467587.0</v>
      </c>
      <c r="V139" s="11">
        <f t="array" ref="V139">XLOOKUP(A:A,'Raw Revenue'!A:A,'Raw Revenue'!B:B,0)
</f>
        <v>0</v>
      </c>
      <c r="W139" s="11">
        <f t="array" ref="W139">XLOOKUP(A:A,'Raw Revenue'!C:C,'Raw Revenue'!D:D,0)</f>
        <v>0</v>
      </c>
      <c r="X139" s="11">
        <f t="array" ref="X139">XLOOKUP(A:A,'Raw Revenue'!E:E,'Raw Revenue'!F:F,0)</f>
        <v>0</v>
      </c>
      <c r="Y139" s="11">
        <f t="array" ref="Y139">XLOOKUP(A:A,'Raw Revenue'!G:G,'Raw Revenue'!H:H,0)</f>
        <v>0</v>
      </c>
      <c r="Z139" s="11">
        <f t="array" ref="Z139">XLOOKUP(A:A,'Raw Revenue'!I:I,'Raw Revenue'!J:J,0)</f>
        <v>0</v>
      </c>
      <c r="AA139" s="11">
        <f t="array" ref="AA139">XLOOKUP(A:A,'Raw Revenue'!K:K,'Raw Revenue'!L:L,0)</f>
        <v>0</v>
      </c>
      <c r="AB139" s="11">
        <f t="array" ref="AB139">XLOOKUP(A:A,'Raw Revenue'!M:M,'Raw Revenue'!N:N,0)</f>
        <v>0</v>
      </c>
      <c r="AC139" s="3">
        <v>0.0</v>
      </c>
      <c r="AD139" s="3">
        <v>0.0</v>
      </c>
      <c r="AE139" s="3">
        <v>0.0</v>
      </c>
      <c r="AF139" s="3">
        <v>0.0</v>
      </c>
      <c r="AG139" s="3">
        <v>0.0</v>
      </c>
    </row>
    <row r="140">
      <c r="A140" s="3" t="s">
        <v>592</v>
      </c>
      <c r="B140" s="3" t="s">
        <v>593</v>
      </c>
      <c r="C140" s="3" t="str">
        <f t="shared" si="1"/>
        <v>PT. Mentari Pagi Sejahtera</v>
      </c>
      <c r="D140" s="3" t="s">
        <v>84</v>
      </c>
      <c r="E140" s="3" t="s">
        <v>187</v>
      </c>
      <c r="F140" s="3" t="s">
        <v>188</v>
      </c>
      <c r="G140" s="3" t="s">
        <v>74</v>
      </c>
      <c r="H140" s="3" t="str">
        <f t="array" ref="H140">XLOOKUP(G:G,'Account Manager Data'!A:A,'Account Manager Data'!B:B,0)</f>
        <v>Budi Santoso</v>
      </c>
      <c r="I140" s="11" t="str">
        <f t="array" ref="I140">XLOOKUP($G:$G,'Account Manager Data'!$A:$A,'Account Manager Data'!C:C)</f>
        <v>Papua</v>
      </c>
      <c r="J140" s="17">
        <v>4374974.0</v>
      </c>
      <c r="K140" s="17">
        <v>4486935.0</v>
      </c>
      <c r="L140" s="17">
        <v>1.0703576E7</v>
      </c>
      <c r="M140" s="17">
        <v>5196290.0</v>
      </c>
      <c r="N140" s="17">
        <v>1.3693339E7</v>
      </c>
      <c r="O140" s="17">
        <v>3169743.0</v>
      </c>
      <c r="P140" s="17">
        <v>8216816.0</v>
      </c>
      <c r="Q140" s="17">
        <v>0.0</v>
      </c>
      <c r="R140" s="17">
        <v>8305114.0</v>
      </c>
      <c r="S140" s="17">
        <v>267003.0</v>
      </c>
      <c r="T140" s="17">
        <v>1081697.0</v>
      </c>
      <c r="U140" s="17">
        <v>1.8005157E7</v>
      </c>
      <c r="V140" s="11">
        <f t="array" ref="V140">XLOOKUP(A:A,'Raw Revenue'!A:A,'Raw Revenue'!B:B,0)
</f>
        <v>0</v>
      </c>
      <c r="W140" s="11">
        <f t="array" ref="W140">XLOOKUP(A:A,'Raw Revenue'!C:C,'Raw Revenue'!D:D,0)</f>
        <v>0</v>
      </c>
      <c r="X140" s="11">
        <f t="array" ref="X140">XLOOKUP(A:A,'Raw Revenue'!E:E,'Raw Revenue'!F:F,0)</f>
        <v>0</v>
      </c>
      <c r="Y140" s="11">
        <f t="array" ref="Y140">XLOOKUP(A:A,'Raw Revenue'!G:G,'Raw Revenue'!H:H,0)</f>
        <v>0</v>
      </c>
      <c r="Z140" s="11">
        <f t="array" ref="Z140">XLOOKUP(A:A,'Raw Revenue'!I:I,'Raw Revenue'!J:J,0)</f>
        <v>0</v>
      </c>
      <c r="AA140" s="11">
        <f t="array" ref="AA140">XLOOKUP(A:A,'Raw Revenue'!K:K,'Raw Revenue'!L:L,0)</f>
        <v>0</v>
      </c>
      <c r="AB140" s="11">
        <f t="array" ref="AB140">XLOOKUP(A:A,'Raw Revenue'!M:M,'Raw Revenue'!N:N,0)</f>
        <v>0</v>
      </c>
      <c r="AC140" s="3">
        <v>0.0</v>
      </c>
      <c r="AD140" s="3">
        <v>0.0</v>
      </c>
      <c r="AE140" s="3">
        <v>0.0</v>
      </c>
      <c r="AF140" s="3">
        <v>0.0</v>
      </c>
      <c r="AG140" s="3">
        <v>0.0</v>
      </c>
    </row>
    <row r="141">
      <c r="A141" s="3" t="s">
        <v>594</v>
      </c>
      <c r="B141" s="3" t="s">
        <v>595</v>
      </c>
      <c r="C141" s="3" t="str">
        <f t="shared" si="1"/>
        <v>PT. Bintang Kejora Nusantara</v>
      </c>
      <c r="D141" s="3" t="s">
        <v>84</v>
      </c>
      <c r="E141" s="3" t="s">
        <v>196</v>
      </c>
      <c r="F141" s="3" t="s">
        <v>197</v>
      </c>
      <c r="G141" s="3" t="s">
        <v>76</v>
      </c>
      <c r="H141" s="3" t="str">
        <f t="array" ref="H141">XLOOKUP(G:G,'Account Manager Data'!A:A,'Account Manager Data'!B:B,0)</f>
        <v>Teguh Wijaya</v>
      </c>
      <c r="I141" s="11" t="str">
        <f t="array" ref="I141">XLOOKUP($G:$G,'Account Manager Data'!$A:$A,'Account Manager Data'!C:C)</f>
        <v>Sulawesi</v>
      </c>
      <c r="J141" s="17">
        <v>695087.0</v>
      </c>
      <c r="K141" s="17">
        <v>5063474.0</v>
      </c>
      <c r="L141" s="17">
        <v>5022765.0</v>
      </c>
      <c r="M141" s="17">
        <v>6613713.0</v>
      </c>
      <c r="N141" s="17">
        <v>7218407.0</v>
      </c>
      <c r="O141" s="17">
        <v>7580131.0</v>
      </c>
      <c r="P141" s="17">
        <v>77421.0</v>
      </c>
      <c r="Q141" s="17">
        <v>0.0</v>
      </c>
      <c r="R141" s="17">
        <v>1.1972638E7</v>
      </c>
      <c r="S141" s="17">
        <v>7302882.0</v>
      </c>
      <c r="T141" s="17">
        <v>391709.0</v>
      </c>
      <c r="U141" s="17">
        <v>5026218.0</v>
      </c>
      <c r="V141" s="11">
        <f t="array" ref="V141">XLOOKUP(A:A,'Raw Revenue'!A:A,'Raw Revenue'!B:B,0)
</f>
        <v>0</v>
      </c>
      <c r="W141" s="11">
        <f t="array" ref="W141">XLOOKUP(A:A,'Raw Revenue'!C:C,'Raw Revenue'!D:D,0)</f>
        <v>0</v>
      </c>
      <c r="X141" s="11">
        <f t="array" ref="X141">XLOOKUP(A:A,'Raw Revenue'!E:E,'Raw Revenue'!F:F,0)</f>
        <v>0</v>
      </c>
      <c r="Y141" s="11">
        <f t="array" ref="Y141">XLOOKUP(A:A,'Raw Revenue'!G:G,'Raw Revenue'!H:H,0)</f>
        <v>0</v>
      </c>
      <c r="Z141" s="11">
        <f t="array" ref="Z141">XLOOKUP(A:A,'Raw Revenue'!I:I,'Raw Revenue'!J:J,0)</f>
        <v>0</v>
      </c>
      <c r="AA141" s="11">
        <f t="array" ref="AA141">XLOOKUP(A:A,'Raw Revenue'!K:K,'Raw Revenue'!L:L,0)</f>
        <v>0</v>
      </c>
      <c r="AB141" s="11">
        <f t="array" ref="AB141">XLOOKUP(A:A,'Raw Revenue'!M:M,'Raw Revenue'!N:N,0)</f>
        <v>0</v>
      </c>
      <c r="AC141" s="3">
        <v>0.0</v>
      </c>
      <c r="AD141" s="3">
        <v>0.0</v>
      </c>
      <c r="AE141" s="3">
        <v>0.0</v>
      </c>
      <c r="AF141" s="3">
        <v>0.0</v>
      </c>
      <c r="AG141" s="3">
        <v>0.0</v>
      </c>
    </row>
    <row r="142">
      <c r="A142" s="3" t="s">
        <v>596</v>
      </c>
      <c r="B142" s="3" t="s">
        <v>597</v>
      </c>
      <c r="C142" s="3" t="str">
        <f t="shared" si="1"/>
        <v>PT. Maju Jaya</v>
      </c>
      <c r="D142" s="3" t="s">
        <v>84</v>
      </c>
      <c r="E142" s="3" t="s">
        <v>85</v>
      </c>
      <c r="F142" s="3" t="s">
        <v>86</v>
      </c>
      <c r="G142" s="3" t="s">
        <v>70</v>
      </c>
      <c r="H142" s="3" t="str">
        <f t="array" ref="H142">XLOOKUP(G:G,'Account Manager Data'!A:A,'Account Manager Data'!B:B,0)</f>
        <v>Yusuf Hidayat</v>
      </c>
      <c r="I142" s="11" t="str">
        <f t="array" ref="I142">XLOOKUP($G:$G,'Account Manager Data'!$A:$A,'Account Manager Data'!C:C)</f>
        <v>Sumatera</v>
      </c>
      <c r="J142" s="17">
        <v>6330890.0</v>
      </c>
      <c r="K142" s="17">
        <v>7175200.0</v>
      </c>
      <c r="L142" s="17">
        <v>8072322.0</v>
      </c>
      <c r="M142" s="17">
        <v>516603.0</v>
      </c>
      <c r="N142" s="17">
        <v>1651567.0</v>
      </c>
      <c r="O142" s="17">
        <v>1.1873046E7</v>
      </c>
      <c r="P142" s="17">
        <v>8577684.0</v>
      </c>
      <c r="Q142" s="17">
        <v>4811080.0</v>
      </c>
      <c r="R142" s="17">
        <v>8673623.0</v>
      </c>
      <c r="S142" s="17">
        <v>1.6941899E7</v>
      </c>
      <c r="T142" s="17">
        <v>5765628.0</v>
      </c>
      <c r="U142" s="17">
        <v>0.0</v>
      </c>
      <c r="V142" s="11">
        <f t="array" ref="V142">XLOOKUP(A:A,'Raw Revenue'!A:A,'Raw Revenue'!B:B,0)
</f>
        <v>0</v>
      </c>
      <c r="W142" s="11">
        <f t="array" ref="W142">XLOOKUP(A:A,'Raw Revenue'!C:C,'Raw Revenue'!D:D,0)</f>
        <v>0</v>
      </c>
      <c r="X142" s="11">
        <f t="array" ref="X142">XLOOKUP(A:A,'Raw Revenue'!E:E,'Raw Revenue'!F:F,0)</f>
        <v>0</v>
      </c>
      <c r="Y142" s="11">
        <f t="array" ref="Y142">XLOOKUP(A:A,'Raw Revenue'!G:G,'Raw Revenue'!H:H,0)</f>
        <v>0</v>
      </c>
      <c r="Z142" s="11">
        <f t="array" ref="Z142">XLOOKUP(A:A,'Raw Revenue'!I:I,'Raw Revenue'!J:J,0)</f>
        <v>0</v>
      </c>
      <c r="AA142" s="11">
        <f t="array" ref="AA142">XLOOKUP(A:A,'Raw Revenue'!K:K,'Raw Revenue'!L:L,0)</f>
        <v>0</v>
      </c>
      <c r="AB142" s="11">
        <f t="array" ref="AB142">XLOOKUP(A:A,'Raw Revenue'!M:M,'Raw Revenue'!N:N,0)</f>
        <v>0</v>
      </c>
      <c r="AC142" s="3">
        <v>0.0</v>
      </c>
      <c r="AD142" s="3">
        <v>0.0</v>
      </c>
      <c r="AE142" s="3">
        <v>0.0</v>
      </c>
      <c r="AF142" s="3">
        <v>0.0</v>
      </c>
      <c r="AG142" s="3">
        <v>0.0</v>
      </c>
    </row>
    <row r="143">
      <c r="A143" s="3" t="s">
        <v>598</v>
      </c>
      <c r="B143" s="3" t="s">
        <v>599</v>
      </c>
      <c r="C143" s="3" t="str">
        <f t="shared" si="1"/>
        <v>CV. Sumber Makmur</v>
      </c>
      <c r="D143" s="3" t="s">
        <v>130</v>
      </c>
      <c r="E143" s="3" t="s">
        <v>215</v>
      </c>
      <c r="F143" s="3" t="s">
        <v>227</v>
      </c>
      <c r="G143" s="3" t="s">
        <v>15</v>
      </c>
      <c r="H143" s="3" t="str">
        <f t="array" ref="H143">XLOOKUP(G:G,'Account Manager Data'!A:A,'Account Manager Data'!B:B,0)</f>
        <v>Rizky Maulana</v>
      </c>
      <c r="I143" s="11" t="str">
        <f t="array" ref="I143">XLOOKUP($G:$G,'Account Manager Data'!$A:$A,'Account Manager Data'!C:C)</f>
        <v>Jawa</v>
      </c>
      <c r="J143" s="17">
        <v>338197.0</v>
      </c>
      <c r="K143" s="17">
        <v>8100822.0</v>
      </c>
      <c r="L143" s="17">
        <v>3923338.0</v>
      </c>
      <c r="M143" s="17">
        <v>729405.0</v>
      </c>
      <c r="N143" s="17">
        <v>7009688.0</v>
      </c>
      <c r="O143" s="17">
        <v>8188613.0</v>
      </c>
      <c r="P143" s="17">
        <v>4651506.0</v>
      </c>
      <c r="Q143" s="17">
        <v>1.5975472E7</v>
      </c>
      <c r="R143" s="17">
        <v>420112.0</v>
      </c>
      <c r="S143" s="17">
        <v>1.1878495E7</v>
      </c>
      <c r="T143" s="17">
        <v>1.0250036E7</v>
      </c>
      <c r="U143" s="17">
        <v>1870990.0</v>
      </c>
      <c r="V143" s="11">
        <f t="array" ref="V143">XLOOKUP(A:A,'Raw Revenue'!A:A,'Raw Revenue'!B:B,0)
</f>
        <v>0</v>
      </c>
      <c r="W143" s="11">
        <f t="array" ref="W143">XLOOKUP(A:A,'Raw Revenue'!C:C,'Raw Revenue'!D:D,0)</f>
        <v>0</v>
      </c>
      <c r="X143" s="11">
        <f t="array" ref="X143">XLOOKUP(A:A,'Raw Revenue'!E:E,'Raw Revenue'!F:F,0)</f>
        <v>0</v>
      </c>
      <c r="Y143" s="11">
        <f t="array" ref="Y143">XLOOKUP(A:A,'Raw Revenue'!G:G,'Raw Revenue'!H:H,0)</f>
        <v>0</v>
      </c>
      <c r="Z143" s="11">
        <f t="array" ref="Z143">XLOOKUP(A:A,'Raw Revenue'!I:I,'Raw Revenue'!J:J,0)</f>
        <v>0</v>
      </c>
      <c r="AA143" s="11">
        <f t="array" ref="AA143">XLOOKUP(A:A,'Raw Revenue'!K:K,'Raw Revenue'!L:L,0)</f>
        <v>0</v>
      </c>
      <c r="AB143" s="11">
        <f t="array" ref="AB143">XLOOKUP(A:A,'Raw Revenue'!M:M,'Raw Revenue'!N:N,0)</f>
        <v>0</v>
      </c>
      <c r="AC143" s="3">
        <v>0.0</v>
      </c>
      <c r="AD143" s="3">
        <v>0.0</v>
      </c>
      <c r="AE143" s="3">
        <v>0.0</v>
      </c>
      <c r="AF143" s="3">
        <v>0.0</v>
      </c>
      <c r="AG143" s="3">
        <v>0.0</v>
      </c>
    </row>
    <row r="144">
      <c r="A144" s="3" t="s">
        <v>600</v>
      </c>
      <c r="B144" s="3" t="s">
        <v>601</v>
      </c>
      <c r="C144" s="3" t="str">
        <f t="shared" si="1"/>
        <v>PT. Teknologi Nusantara</v>
      </c>
      <c r="D144" s="3" t="s">
        <v>130</v>
      </c>
      <c r="E144" s="3" t="s">
        <v>104</v>
      </c>
      <c r="F144" s="3" t="s">
        <v>252</v>
      </c>
      <c r="G144" s="3" t="s">
        <v>27</v>
      </c>
      <c r="H144" s="3" t="str">
        <f t="array" ref="H144">XLOOKUP(G:G,'Account Manager Data'!A:A,'Account Manager Data'!B:B,0)</f>
        <v>Dedi Kurniawan</v>
      </c>
      <c r="I144" s="11" t="str">
        <f t="array" ref="I144">XLOOKUP($G:$G,'Account Manager Data'!$A:$A,'Account Manager Data'!C:C)</f>
        <v>Kalimantan</v>
      </c>
      <c r="J144" s="17">
        <v>0.0</v>
      </c>
      <c r="K144" s="17">
        <v>9024043.0</v>
      </c>
      <c r="L144" s="17">
        <v>1.0247659E7</v>
      </c>
      <c r="M144" s="17">
        <v>9403489.0</v>
      </c>
      <c r="N144" s="17">
        <v>6011389.0</v>
      </c>
      <c r="O144" s="17">
        <v>2406002.0</v>
      </c>
      <c r="P144" s="17">
        <v>6853955.0</v>
      </c>
      <c r="Q144" s="17">
        <v>1.5067661E7</v>
      </c>
      <c r="R144" s="17">
        <v>0.0</v>
      </c>
      <c r="S144" s="17">
        <v>8939040.0</v>
      </c>
      <c r="T144" s="17">
        <v>1.8760042E7</v>
      </c>
      <c r="U144" s="17">
        <v>1.0419053E7</v>
      </c>
      <c r="V144" s="11">
        <f t="array" ref="V144">XLOOKUP(A:A,'Raw Revenue'!A:A,'Raw Revenue'!B:B,0)
</f>
        <v>0</v>
      </c>
      <c r="W144" s="11">
        <f t="array" ref="W144">XLOOKUP(A:A,'Raw Revenue'!C:C,'Raw Revenue'!D:D,0)</f>
        <v>0</v>
      </c>
      <c r="X144" s="11">
        <f t="array" ref="X144">XLOOKUP(A:A,'Raw Revenue'!E:E,'Raw Revenue'!F:F,0)</f>
        <v>0</v>
      </c>
      <c r="Y144" s="11">
        <f t="array" ref="Y144">XLOOKUP(A:A,'Raw Revenue'!G:G,'Raw Revenue'!H:H,0)</f>
        <v>0</v>
      </c>
      <c r="Z144" s="11">
        <f t="array" ref="Z144">XLOOKUP(A:A,'Raw Revenue'!I:I,'Raw Revenue'!J:J,0)</f>
        <v>0</v>
      </c>
      <c r="AA144" s="11">
        <f t="array" ref="AA144">XLOOKUP(A:A,'Raw Revenue'!K:K,'Raw Revenue'!L:L,0)</f>
        <v>0</v>
      </c>
      <c r="AB144" s="11">
        <f t="array" ref="AB144">XLOOKUP(A:A,'Raw Revenue'!M:M,'Raw Revenue'!N:N,0)</f>
        <v>0</v>
      </c>
      <c r="AC144" s="3">
        <v>0.0</v>
      </c>
      <c r="AD144" s="3">
        <v>0.0</v>
      </c>
      <c r="AE144" s="3">
        <v>0.0</v>
      </c>
      <c r="AF144" s="3">
        <v>0.0</v>
      </c>
      <c r="AG144" s="3">
        <v>0.0</v>
      </c>
    </row>
    <row r="145">
      <c r="A145" s="3" t="s">
        <v>602</v>
      </c>
      <c r="B145" s="3" t="s">
        <v>603</v>
      </c>
      <c r="C145" s="3" t="str">
        <f t="shared" si="1"/>
        <v>PT. Bakti Indonesia</v>
      </c>
      <c r="D145" s="3" t="s">
        <v>214</v>
      </c>
      <c r="E145" s="3" t="s">
        <v>104</v>
      </c>
      <c r="F145" s="3" t="s">
        <v>134</v>
      </c>
      <c r="G145" s="3" t="s">
        <v>78</v>
      </c>
      <c r="H145" s="3" t="str">
        <f t="array" ref="H145">XLOOKUP(G:G,'Account Manager Data'!A:A,'Account Manager Data'!B:B,0)</f>
        <v>Ilham Saputra</v>
      </c>
      <c r="I145" s="11" t="str">
        <f t="array" ref="I145">XLOOKUP($G:$G,'Account Manager Data'!$A:$A,'Account Manager Data'!C:C)</f>
        <v>Jawa</v>
      </c>
      <c r="J145" s="17">
        <v>2870655.0</v>
      </c>
      <c r="K145" s="17">
        <v>4604923.0</v>
      </c>
      <c r="L145" s="17">
        <v>8039260.0</v>
      </c>
      <c r="M145" s="17">
        <v>1076699.0</v>
      </c>
      <c r="N145" s="17">
        <v>1285064.0</v>
      </c>
      <c r="O145" s="17">
        <v>1.1615913E7</v>
      </c>
      <c r="P145" s="17">
        <v>7336539.0</v>
      </c>
      <c r="Q145" s="17">
        <v>1.151346E7</v>
      </c>
      <c r="R145" s="17">
        <v>1.2576888E7</v>
      </c>
      <c r="S145" s="17">
        <v>2527617.0</v>
      </c>
      <c r="T145" s="17">
        <v>407417.0</v>
      </c>
      <c r="U145" s="17">
        <v>1.14442E7</v>
      </c>
      <c r="V145" s="11">
        <f t="array" ref="V145">XLOOKUP(A:A,'Raw Revenue'!A:A,'Raw Revenue'!B:B,0)
</f>
        <v>0</v>
      </c>
      <c r="W145" s="11">
        <f t="array" ref="W145">XLOOKUP(A:A,'Raw Revenue'!C:C,'Raw Revenue'!D:D,0)</f>
        <v>0</v>
      </c>
      <c r="X145" s="11">
        <f t="array" ref="X145">XLOOKUP(A:A,'Raw Revenue'!E:E,'Raw Revenue'!F:F,0)</f>
        <v>0</v>
      </c>
      <c r="Y145" s="11">
        <f t="array" ref="Y145">XLOOKUP(A:A,'Raw Revenue'!G:G,'Raw Revenue'!H:H,0)</f>
        <v>0</v>
      </c>
      <c r="Z145" s="11">
        <f t="array" ref="Z145">XLOOKUP(A:A,'Raw Revenue'!I:I,'Raw Revenue'!J:J,0)</f>
        <v>0</v>
      </c>
      <c r="AA145" s="11">
        <f t="array" ref="AA145">XLOOKUP(A:A,'Raw Revenue'!K:K,'Raw Revenue'!L:L,0)</f>
        <v>0</v>
      </c>
      <c r="AB145" s="11">
        <f t="array" ref="AB145">XLOOKUP(A:A,'Raw Revenue'!M:M,'Raw Revenue'!N:N,0)</f>
        <v>0</v>
      </c>
      <c r="AC145" s="3">
        <v>0.0</v>
      </c>
      <c r="AD145" s="3">
        <v>0.0</v>
      </c>
      <c r="AE145" s="3">
        <v>0.0</v>
      </c>
      <c r="AF145" s="3">
        <v>0.0</v>
      </c>
      <c r="AG145" s="3">
        <v>0.0</v>
      </c>
    </row>
    <row r="146">
      <c r="A146" s="3" t="s">
        <v>287</v>
      </c>
      <c r="B146" s="3" t="s">
        <v>604</v>
      </c>
      <c r="C146" s="3" t="str">
        <f t="shared" si="1"/>
        <v>CV. Amanah Sejahtera</v>
      </c>
      <c r="D146" s="3" t="s">
        <v>103</v>
      </c>
      <c r="E146" s="3" t="s">
        <v>215</v>
      </c>
      <c r="F146" s="3" t="s">
        <v>216</v>
      </c>
      <c r="G146" s="3" t="s">
        <v>53</v>
      </c>
      <c r="H146" s="3" t="str">
        <f t="array" ref="H146">XLOOKUP(G:G,'Account Manager Data'!A:A,'Account Manager Data'!B:B,0)</f>
        <v>Fajar Ramadhan</v>
      </c>
      <c r="I146" s="11" t="str">
        <f t="array" ref="I146">XLOOKUP($G:$G,'Account Manager Data'!$A:$A,'Account Manager Data'!C:C)</f>
        <v>Sulawesi</v>
      </c>
      <c r="J146" s="17">
        <v>7725611.0</v>
      </c>
      <c r="K146" s="17">
        <v>4006121.0</v>
      </c>
      <c r="L146" s="17">
        <v>685577.0</v>
      </c>
      <c r="M146" s="17">
        <v>7042978.0</v>
      </c>
      <c r="N146" s="17">
        <v>608278.0</v>
      </c>
      <c r="O146" s="17">
        <v>8051341.0</v>
      </c>
      <c r="P146" s="17">
        <v>1.3425524E7</v>
      </c>
      <c r="Q146" s="17">
        <v>6684780.0</v>
      </c>
      <c r="R146" s="17">
        <v>4917994.0</v>
      </c>
      <c r="S146" s="17">
        <v>1.1205861E7</v>
      </c>
      <c r="T146" s="17">
        <v>1035380.0</v>
      </c>
      <c r="U146" s="17">
        <v>5290459.0</v>
      </c>
      <c r="V146" s="11">
        <f t="array" ref="V146">XLOOKUP(A:A,'Raw Revenue'!A:A,'Raw Revenue'!B:B,0)
</f>
        <v>1113921.485</v>
      </c>
      <c r="W146" s="11">
        <f t="array" ref="W146">XLOOKUP(A:A,'Raw Revenue'!C:C,'Raw Revenue'!D:D,0)</f>
        <v>1113921.485</v>
      </c>
      <c r="X146" s="11">
        <f t="array" ref="X146">XLOOKUP(A:A,'Raw Revenue'!E:E,'Raw Revenue'!F:F,0)</f>
        <v>2227842.969</v>
      </c>
      <c r="Y146" s="11">
        <f t="array" ref="Y146">XLOOKUP(A:A,'Raw Revenue'!G:G,'Raw Revenue'!H:H,0)</f>
        <v>1819405.092</v>
      </c>
      <c r="Z146" s="11">
        <f t="array" ref="Z146">XLOOKUP(A:A,'Raw Revenue'!I:I,'Raw Revenue'!J:J,0)</f>
        <v>1633751.511</v>
      </c>
      <c r="AA146" s="11">
        <f t="array" ref="AA146">XLOOKUP(A:A,'Raw Revenue'!K:K,'Raw Revenue'!L:L,0)</f>
        <v>4177205.568</v>
      </c>
      <c r="AB146" s="11">
        <f t="array" ref="AB146">XLOOKUP(A:A,'Raw Revenue'!M:M,'Raw Revenue'!N:N,0)</f>
        <v>3843029.122</v>
      </c>
      <c r="AC146" s="3">
        <v>0.0</v>
      </c>
      <c r="AD146" s="3">
        <v>0.0</v>
      </c>
      <c r="AE146" s="3">
        <v>0.0</v>
      </c>
      <c r="AF146" s="3">
        <v>0.0</v>
      </c>
      <c r="AG146" s="3">
        <v>0.0</v>
      </c>
    </row>
    <row r="147">
      <c r="A147" s="3" t="s">
        <v>605</v>
      </c>
      <c r="B147" s="3" t="s">
        <v>606</v>
      </c>
      <c r="C147" s="3" t="str">
        <f t="shared" si="1"/>
        <v>PT. Digital Solusi Pratama</v>
      </c>
      <c r="D147" s="3" t="s">
        <v>84</v>
      </c>
      <c r="E147" s="3" t="s">
        <v>85</v>
      </c>
      <c r="F147" s="3" t="s">
        <v>86</v>
      </c>
      <c r="G147" s="3" t="s">
        <v>63</v>
      </c>
      <c r="H147" s="3" t="str">
        <f t="array" ref="H147">XLOOKUP(G:G,'Account Manager Data'!A:A,'Account Manager Data'!B:B,0)</f>
        <v>Hendra Gunawan</v>
      </c>
      <c r="I147" s="11" t="str">
        <f t="array" ref="I147">XLOOKUP($G:$G,'Account Manager Data'!$A:$A,'Account Manager Data'!C:C)</f>
        <v>Kalimantan</v>
      </c>
      <c r="J147" s="17">
        <v>6438434.0</v>
      </c>
      <c r="K147" s="17">
        <v>2465674.0</v>
      </c>
      <c r="L147" s="17">
        <v>1.0105695E7</v>
      </c>
      <c r="M147" s="17">
        <v>5016986.0</v>
      </c>
      <c r="N147" s="17">
        <v>1.090653E7</v>
      </c>
      <c r="O147" s="17">
        <v>3824942.0</v>
      </c>
      <c r="P147" s="17">
        <v>1.5330531E7</v>
      </c>
      <c r="Q147" s="17">
        <v>0.0</v>
      </c>
      <c r="R147" s="17">
        <v>1.1407515E7</v>
      </c>
      <c r="S147" s="17">
        <v>216486.0</v>
      </c>
      <c r="T147" s="17">
        <v>3104313.0</v>
      </c>
      <c r="U147" s="17">
        <v>0.0</v>
      </c>
      <c r="V147" s="11">
        <f t="array" ref="V147">XLOOKUP(A:A,'Raw Revenue'!A:A,'Raw Revenue'!B:B,0)
</f>
        <v>0</v>
      </c>
      <c r="W147" s="11">
        <f t="array" ref="W147">XLOOKUP(A:A,'Raw Revenue'!C:C,'Raw Revenue'!D:D,0)</f>
        <v>0</v>
      </c>
      <c r="X147" s="11">
        <f t="array" ref="X147">XLOOKUP(A:A,'Raw Revenue'!E:E,'Raw Revenue'!F:F,0)</f>
        <v>0</v>
      </c>
      <c r="Y147" s="11">
        <f t="array" ref="Y147">XLOOKUP(A:A,'Raw Revenue'!G:G,'Raw Revenue'!H:H,0)</f>
        <v>0</v>
      </c>
      <c r="Z147" s="11">
        <f t="array" ref="Z147">XLOOKUP(A:A,'Raw Revenue'!I:I,'Raw Revenue'!J:J,0)</f>
        <v>0</v>
      </c>
      <c r="AA147" s="11">
        <f t="array" ref="AA147">XLOOKUP(A:A,'Raw Revenue'!K:K,'Raw Revenue'!L:L,0)</f>
        <v>0</v>
      </c>
      <c r="AB147" s="11">
        <f t="array" ref="AB147">XLOOKUP(A:A,'Raw Revenue'!M:M,'Raw Revenue'!N:N,0)</f>
        <v>0</v>
      </c>
      <c r="AC147" s="3">
        <v>0.0</v>
      </c>
      <c r="AD147" s="3">
        <v>0.0</v>
      </c>
      <c r="AE147" s="3">
        <v>0.0</v>
      </c>
      <c r="AF147" s="3">
        <v>0.0</v>
      </c>
      <c r="AG147" s="3">
        <v>0.0</v>
      </c>
    </row>
    <row r="148">
      <c r="A148" s="3" t="s">
        <v>607</v>
      </c>
      <c r="B148" s="3" t="s">
        <v>608</v>
      </c>
      <c r="C148" s="3" t="str">
        <f t="shared" si="1"/>
        <v>PT. Global Niaga Abadi</v>
      </c>
      <c r="D148" s="3" t="s">
        <v>195</v>
      </c>
      <c r="E148" s="3" t="s">
        <v>85</v>
      </c>
      <c r="F148" s="3" t="s">
        <v>86</v>
      </c>
      <c r="G148" s="3" t="s">
        <v>35</v>
      </c>
      <c r="H148" s="3" t="str">
        <f t="array" ref="H148">XLOOKUP(G:G,'Account Manager Data'!A:A,'Account Manager Data'!B:B,0)</f>
        <v>Ahmad Fauzi</v>
      </c>
      <c r="I148" s="11" t="str">
        <f t="array" ref="I148">XLOOKUP($G:$G,'Account Manager Data'!$A:$A,'Account Manager Data'!C:C)</f>
        <v>Sumatera</v>
      </c>
      <c r="J148" s="17">
        <v>2374593.0</v>
      </c>
      <c r="K148" s="17">
        <v>4426608.0</v>
      </c>
      <c r="L148" s="17">
        <v>9519476.0</v>
      </c>
      <c r="M148" s="17">
        <v>0.0</v>
      </c>
      <c r="N148" s="17">
        <v>1.0028685E7</v>
      </c>
      <c r="O148" s="17">
        <v>1.4897825E7</v>
      </c>
      <c r="P148" s="17">
        <v>4066167.0</v>
      </c>
      <c r="Q148" s="17">
        <v>7259285.0</v>
      </c>
      <c r="R148" s="17">
        <v>7863119.0</v>
      </c>
      <c r="S148" s="17">
        <v>8950861.0</v>
      </c>
      <c r="T148" s="17">
        <v>1.662396E7</v>
      </c>
      <c r="U148" s="17">
        <v>1.6923383E7</v>
      </c>
      <c r="V148" s="11">
        <f t="array" ref="V148">XLOOKUP(A:A,'Raw Revenue'!A:A,'Raw Revenue'!B:B,0)
</f>
        <v>0</v>
      </c>
      <c r="W148" s="11">
        <f t="array" ref="W148">XLOOKUP(A:A,'Raw Revenue'!C:C,'Raw Revenue'!D:D,0)</f>
        <v>0</v>
      </c>
      <c r="X148" s="11">
        <f t="array" ref="X148">XLOOKUP(A:A,'Raw Revenue'!E:E,'Raw Revenue'!F:F,0)</f>
        <v>0</v>
      </c>
      <c r="Y148" s="11">
        <f t="array" ref="Y148">XLOOKUP(A:A,'Raw Revenue'!G:G,'Raw Revenue'!H:H,0)</f>
        <v>0</v>
      </c>
      <c r="Z148" s="11">
        <f t="array" ref="Z148">XLOOKUP(A:A,'Raw Revenue'!I:I,'Raw Revenue'!J:J,0)</f>
        <v>0</v>
      </c>
      <c r="AA148" s="11">
        <f t="array" ref="AA148">XLOOKUP(A:A,'Raw Revenue'!K:K,'Raw Revenue'!L:L,0)</f>
        <v>0</v>
      </c>
      <c r="AB148" s="11">
        <f t="array" ref="AB148">XLOOKUP(A:A,'Raw Revenue'!M:M,'Raw Revenue'!N:N,0)</f>
        <v>0</v>
      </c>
      <c r="AC148" s="3">
        <v>0.0</v>
      </c>
      <c r="AD148" s="3">
        <v>0.0</v>
      </c>
      <c r="AE148" s="3">
        <v>0.0</v>
      </c>
      <c r="AF148" s="3">
        <v>0.0</v>
      </c>
      <c r="AG148" s="3">
        <v>0.0</v>
      </c>
    </row>
    <row r="149">
      <c r="A149" s="3" t="s">
        <v>609</v>
      </c>
      <c r="B149" s="3" t="s">
        <v>610</v>
      </c>
      <c r="C149" s="3" t="str">
        <f t="shared" si="1"/>
        <v>PT. Indo Makmur Sentosa</v>
      </c>
      <c r="D149" s="3" t="s">
        <v>214</v>
      </c>
      <c r="E149" s="3" t="s">
        <v>85</v>
      </c>
      <c r="F149" s="3" t="s">
        <v>407</v>
      </c>
      <c r="G149" s="3" t="s">
        <v>74</v>
      </c>
      <c r="H149" s="3" t="str">
        <f t="array" ref="H149">XLOOKUP(G:G,'Account Manager Data'!A:A,'Account Manager Data'!B:B,0)</f>
        <v>Budi Santoso</v>
      </c>
      <c r="I149" s="11" t="str">
        <f t="array" ref="I149">XLOOKUP($G:$G,'Account Manager Data'!$A:$A,'Account Manager Data'!C:C)</f>
        <v>Papua</v>
      </c>
      <c r="J149" s="17">
        <v>5235882.0</v>
      </c>
      <c r="K149" s="17">
        <v>3046062.0</v>
      </c>
      <c r="L149" s="17">
        <v>0.0</v>
      </c>
      <c r="M149" s="17">
        <v>0.0</v>
      </c>
      <c r="N149" s="17">
        <v>1.0587456E7</v>
      </c>
      <c r="O149" s="17">
        <v>5782783.0</v>
      </c>
      <c r="P149" s="17">
        <v>8519563.0</v>
      </c>
      <c r="Q149" s="17">
        <v>5409121.0</v>
      </c>
      <c r="R149" s="17">
        <v>4969959.0</v>
      </c>
      <c r="S149" s="17">
        <v>1.1977481E7</v>
      </c>
      <c r="T149" s="17">
        <v>1.0631019E7</v>
      </c>
      <c r="U149" s="17">
        <v>3859428.0</v>
      </c>
      <c r="V149" s="11">
        <f t="array" ref="V149">XLOOKUP(A:A,'Raw Revenue'!A:A,'Raw Revenue'!B:B,0)
</f>
        <v>0</v>
      </c>
      <c r="W149" s="11">
        <f t="array" ref="W149">XLOOKUP(A:A,'Raw Revenue'!C:C,'Raw Revenue'!D:D,0)</f>
        <v>0</v>
      </c>
      <c r="X149" s="11">
        <f t="array" ref="X149">XLOOKUP(A:A,'Raw Revenue'!E:E,'Raw Revenue'!F:F,0)</f>
        <v>0</v>
      </c>
      <c r="Y149" s="11">
        <f t="array" ref="Y149">XLOOKUP(A:A,'Raw Revenue'!G:G,'Raw Revenue'!H:H,0)</f>
        <v>0</v>
      </c>
      <c r="Z149" s="11">
        <f t="array" ref="Z149">XLOOKUP(A:A,'Raw Revenue'!I:I,'Raw Revenue'!J:J,0)</f>
        <v>0</v>
      </c>
      <c r="AA149" s="11">
        <f t="array" ref="AA149">XLOOKUP(A:A,'Raw Revenue'!K:K,'Raw Revenue'!L:L,0)</f>
        <v>0</v>
      </c>
      <c r="AB149" s="11">
        <f t="array" ref="AB149">XLOOKUP(A:A,'Raw Revenue'!M:M,'Raw Revenue'!N:N,0)</f>
        <v>0</v>
      </c>
      <c r="AC149" s="3">
        <v>0.0</v>
      </c>
      <c r="AD149" s="3">
        <v>0.0</v>
      </c>
      <c r="AE149" s="3">
        <v>0.0</v>
      </c>
      <c r="AF149" s="3">
        <v>0.0</v>
      </c>
      <c r="AG149" s="3">
        <v>0.0</v>
      </c>
    </row>
    <row r="150">
      <c r="A150" s="3" t="s">
        <v>611</v>
      </c>
      <c r="B150" s="3" t="s">
        <v>612</v>
      </c>
      <c r="C150" s="3" t="str">
        <f t="shared" si="1"/>
        <v>PT. Citra Mandiri Utama</v>
      </c>
      <c r="D150" s="3" t="s">
        <v>130</v>
      </c>
      <c r="E150" s="3" t="s">
        <v>104</v>
      </c>
      <c r="F150" s="3" t="s">
        <v>134</v>
      </c>
      <c r="G150" s="3" t="s">
        <v>43</v>
      </c>
      <c r="H150" s="3" t="str">
        <f t="array" ref="H150">XLOOKUP(G:G,'Account Manager Data'!A:A,'Account Manager Data'!B:B,0)</f>
        <v>Eko Prasetyo</v>
      </c>
      <c r="I150" s="11" t="str">
        <f t="array" ref="I150">XLOOKUP($G:$G,'Account Manager Data'!$A:$A,'Account Manager Data'!C:C)</f>
        <v>Papua</v>
      </c>
      <c r="J150" s="17">
        <v>7027296.0</v>
      </c>
      <c r="K150" s="17">
        <v>5889069.0</v>
      </c>
      <c r="L150" s="17">
        <v>0.0</v>
      </c>
      <c r="M150" s="17">
        <v>1.0501289E7</v>
      </c>
      <c r="N150" s="17">
        <v>4837355.0</v>
      </c>
      <c r="O150" s="17">
        <v>868451.0</v>
      </c>
      <c r="P150" s="17">
        <v>4970845.0</v>
      </c>
      <c r="Q150" s="17">
        <v>1.2383393E7</v>
      </c>
      <c r="R150" s="17">
        <v>6565547.0</v>
      </c>
      <c r="S150" s="17">
        <v>1.5510345E7</v>
      </c>
      <c r="T150" s="17">
        <v>1.0875147E7</v>
      </c>
      <c r="U150" s="17">
        <v>9898283.0</v>
      </c>
      <c r="V150" s="11">
        <f t="array" ref="V150">XLOOKUP(A:A,'Raw Revenue'!A:A,'Raw Revenue'!B:B,0)
</f>
        <v>0</v>
      </c>
      <c r="W150" s="11">
        <f t="array" ref="W150">XLOOKUP(A:A,'Raw Revenue'!C:C,'Raw Revenue'!D:D,0)</f>
        <v>0</v>
      </c>
      <c r="X150" s="11">
        <f t="array" ref="X150">XLOOKUP(A:A,'Raw Revenue'!E:E,'Raw Revenue'!F:F,0)</f>
        <v>0</v>
      </c>
      <c r="Y150" s="11">
        <f t="array" ref="Y150">XLOOKUP(A:A,'Raw Revenue'!G:G,'Raw Revenue'!H:H,0)</f>
        <v>0</v>
      </c>
      <c r="Z150" s="11">
        <f t="array" ref="Z150">XLOOKUP(A:A,'Raw Revenue'!I:I,'Raw Revenue'!J:J,0)</f>
        <v>0</v>
      </c>
      <c r="AA150" s="11">
        <f t="array" ref="AA150">XLOOKUP(A:A,'Raw Revenue'!K:K,'Raw Revenue'!L:L,0)</f>
        <v>0</v>
      </c>
      <c r="AB150" s="11">
        <f t="array" ref="AB150">XLOOKUP(A:A,'Raw Revenue'!M:M,'Raw Revenue'!N:N,0)</f>
        <v>0</v>
      </c>
      <c r="AC150" s="3">
        <v>0.0</v>
      </c>
      <c r="AD150" s="3">
        <v>0.0</v>
      </c>
      <c r="AE150" s="3">
        <v>0.0</v>
      </c>
      <c r="AF150" s="3">
        <v>0.0</v>
      </c>
      <c r="AG150" s="3">
        <v>0.0</v>
      </c>
    </row>
    <row r="151">
      <c r="A151" s="3" t="s">
        <v>443</v>
      </c>
      <c r="B151" s="3" t="s">
        <v>613</v>
      </c>
      <c r="C151" s="3" t="str">
        <f t="shared" si="1"/>
        <v>PT. Sinar Dunia Baru</v>
      </c>
      <c r="D151" s="3" t="s">
        <v>103</v>
      </c>
      <c r="E151" s="3" t="s">
        <v>215</v>
      </c>
      <c r="F151" s="3" t="s">
        <v>216</v>
      </c>
      <c r="G151" s="3" t="s">
        <v>76</v>
      </c>
      <c r="H151" s="3" t="str">
        <f t="array" ref="H151">XLOOKUP(G:G,'Account Manager Data'!A:A,'Account Manager Data'!B:B,0)</f>
        <v>Teguh Wijaya</v>
      </c>
      <c r="I151" s="11" t="str">
        <f t="array" ref="I151">XLOOKUP($G:$G,'Account Manager Data'!$A:$A,'Account Manager Data'!C:C)</f>
        <v>Sulawesi</v>
      </c>
      <c r="J151" s="17">
        <v>0.0</v>
      </c>
      <c r="K151" s="17">
        <v>2860580.0</v>
      </c>
      <c r="L151" s="17">
        <v>2678506.0</v>
      </c>
      <c r="M151" s="17">
        <v>1.1016818E7</v>
      </c>
      <c r="N151" s="17">
        <v>9746012.0</v>
      </c>
      <c r="O151" s="17">
        <v>0.0</v>
      </c>
      <c r="P151" s="17">
        <v>4011419.0</v>
      </c>
      <c r="Q151" s="17">
        <v>969898.0</v>
      </c>
      <c r="R151" s="17">
        <v>0.0</v>
      </c>
      <c r="S151" s="17">
        <v>8593518.0</v>
      </c>
      <c r="T151" s="17">
        <v>151507.0</v>
      </c>
      <c r="U151" s="17">
        <v>1704269.0</v>
      </c>
      <c r="V151" s="11">
        <f t="array" ref="V151">XLOOKUP(A:A,'Raw Revenue'!A:A,'Raw Revenue'!B:B,0)
</f>
        <v>632909.9345</v>
      </c>
      <c r="W151" s="11">
        <f t="array" ref="W151">XLOOKUP(A:A,'Raw Revenue'!C:C,'Raw Revenue'!D:D,0)</f>
        <v>316454.9672</v>
      </c>
      <c r="X151" s="11">
        <f t="array" ref="X151">XLOOKUP(A:A,'Raw Revenue'!E:E,'Raw Revenue'!F:F,0)</f>
        <v>189872.9803</v>
      </c>
      <c r="Y151" s="11">
        <f t="array" ref="Y151">XLOOKUP(A:A,'Raw Revenue'!G:G,'Raw Revenue'!H:H,0)</f>
        <v>2215184.771</v>
      </c>
      <c r="Z151" s="11">
        <f t="array" ref="Z151">XLOOKUP(A:A,'Raw Revenue'!I:I,'Raw Revenue'!J:J,0)</f>
        <v>506327.9476</v>
      </c>
      <c r="AA151" s="11">
        <f t="array" ref="AA151">XLOOKUP(A:A,'Raw Revenue'!K:K,'Raw Revenue'!L:L,0)</f>
        <v>14240.47353</v>
      </c>
      <c r="AB151" s="11">
        <f t="array" ref="AB151">XLOOKUP(A:A,'Raw Revenue'!M:M,'Raw Revenue'!N:N,0)</f>
        <v>1908223.452</v>
      </c>
      <c r="AC151" s="3">
        <v>0.0</v>
      </c>
      <c r="AD151" s="3">
        <v>0.0</v>
      </c>
      <c r="AE151" s="3">
        <v>0.0</v>
      </c>
      <c r="AF151" s="3">
        <v>0.0</v>
      </c>
      <c r="AG151" s="3">
        <v>0.0</v>
      </c>
    </row>
    <row r="152">
      <c r="A152" s="3" t="s">
        <v>445</v>
      </c>
      <c r="B152" s="3" t="s">
        <v>614</v>
      </c>
      <c r="C152" s="3" t="str">
        <f t="shared" si="1"/>
        <v>CV. Karya Utama Mandiri</v>
      </c>
      <c r="D152" s="3" t="s">
        <v>103</v>
      </c>
      <c r="E152" s="3" t="s">
        <v>215</v>
      </c>
      <c r="F152" s="3" t="s">
        <v>216</v>
      </c>
      <c r="G152" s="3" t="s">
        <v>70</v>
      </c>
      <c r="H152" s="3" t="str">
        <f t="array" ref="H152">XLOOKUP(G:G,'Account Manager Data'!A:A,'Account Manager Data'!B:B,0)</f>
        <v>Yusuf Hidayat</v>
      </c>
      <c r="I152" s="11" t="str">
        <f t="array" ref="I152">XLOOKUP($G:$G,'Account Manager Data'!$A:$A,'Account Manager Data'!C:C)</f>
        <v>Sumatera</v>
      </c>
      <c r="J152" s="17">
        <v>0.0</v>
      </c>
      <c r="K152" s="17">
        <v>8869282.0</v>
      </c>
      <c r="L152" s="17">
        <v>2741102.0</v>
      </c>
      <c r="M152" s="17">
        <v>6242634.0</v>
      </c>
      <c r="N152" s="17">
        <v>9866793.0</v>
      </c>
      <c r="O152" s="17">
        <v>1582352.0</v>
      </c>
      <c r="P152" s="17">
        <v>821187.0</v>
      </c>
      <c r="Q152" s="17">
        <v>1.1681318E7</v>
      </c>
      <c r="R152" s="17">
        <v>1028957.0</v>
      </c>
      <c r="S152" s="17">
        <v>1.6246827E7</v>
      </c>
      <c r="T152" s="17">
        <v>1.6442536E7</v>
      </c>
      <c r="U152" s="17">
        <v>7276957.0</v>
      </c>
      <c r="V152" s="11">
        <f t="array" ref="V152">XLOOKUP(A:A,'Raw Revenue'!A:A,'Raw Revenue'!B:B,0)
</f>
        <v>1740502.32</v>
      </c>
      <c r="W152" s="11">
        <f t="array" ref="W152">XLOOKUP(A:A,'Raw Revenue'!C:C,'Raw Revenue'!D:D,0)</f>
        <v>870251.1599</v>
      </c>
      <c r="X152" s="11">
        <f t="array" ref="X152">XLOOKUP(A:A,'Raw Revenue'!E:E,'Raw Revenue'!F:F,0)</f>
        <v>522150.696</v>
      </c>
      <c r="Y152" s="11">
        <f t="array" ref="Y152">XLOOKUP(A:A,'Raw Revenue'!G:G,'Raw Revenue'!H:H,0)</f>
        <v>6091758.119</v>
      </c>
      <c r="Z152" s="11">
        <f t="array" ref="Z152">XLOOKUP(A:A,'Raw Revenue'!I:I,'Raw Revenue'!J:J,0)</f>
        <v>1392401.856</v>
      </c>
      <c r="AA152" s="11">
        <f t="array" ref="AA152">XLOOKUP(A:A,'Raw Revenue'!K:K,'Raw Revenue'!L:L,0)</f>
        <v>39161.3022</v>
      </c>
      <c r="AB152" s="11">
        <f t="array" ref="AB152">XLOOKUP(A:A,'Raw Revenue'!M:M,'Raw Revenue'!N:N,0)</f>
        <v>5247614.494</v>
      </c>
      <c r="AC152" s="3">
        <v>0.0</v>
      </c>
      <c r="AD152" s="3">
        <v>0.0</v>
      </c>
      <c r="AE152" s="3">
        <v>0.0</v>
      </c>
      <c r="AF152" s="3">
        <v>0.0</v>
      </c>
      <c r="AG152" s="3">
        <v>0.0</v>
      </c>
    </row>
    <row r="153">
      <c r="A153" s="3" t="s">
        <v>615</v>
      </c>
      <c r="B153" s="3" t="s">
        <v>616</v>
      </c>
      <c r="C153" s="3" t="str">
        <f t="shared" si="1"/>
        <v>PT. Pratama Jaya Sentosa</v>
      </c>
      <c r="D153" s="3" t="s">
        <v>186</v>
      </c>
      <c r="E153" s="3" t="s">
        <v>196</v>
      </c>
      <c r="F153" s="3" t="s">
        <v>315</v>
      </c>
      <c r="G153" s="3" t="s">
        <v>15</v>
      </c>
      <c r="H153" s="3" t="str">
        <f t="array" ref="H153">XLOOKUP(G:G,'Account Manager Data'!A:A,'Account Manager Data'!B:B,0)</f>
        <v>Rizky Maulana</v>
      </c>
      <c r="I153" s="11" t="str">
        <f t="array" ref="I153">XLOOKUP($G:$G,'Account Manager Data'!$A:$A,'Account Manager Data'!C:C)</f>
        <v>Jawa</v>
      </c>
      <c r="J153" s="17">
        <v>7751929.0</v>
      </c>
      <c r="K153" s="17">
        <v>8358671.0</v>
      </c>
      <c r="L153" s="17">
        <v>6790539.0</v>
      </c>
      <c r="M153" s="17">
        <v>1.1114573E7</v>
      </c>
      <c r="N153" s="17">
        <v>0.0</v>
      </c>
      <c r="O153" s="17">
        <v>1.1655513E7</v>
      </c>
      <c r="P153" s="17">
        <v>1920341.0</v>
      </c>
      <c r="Q153" s="17">
        <v>6511364.0</v>
      </c>
      <c r="R153" s="17">
        <v>9119444.0</v>
      </c>
      <c r="S153" s="17">
        <v>1.6793059E7</v>
      </c>
      <c r="T153" s="17">
        <v>4482873.0</v>
      </c>
      <c r="U153" s="17">
        <v>7749027.0</v>
      </c>
      <c r="V153" s="11">
        <f t="array" ref="V153">XLOOKUP(A:A,'Raw Revenue'!A:A,'Raw Revenue'!B:B,0)
</f>
        <v>0</v>
      </c>
      <c r="W153" s="11">
        <f t="array" ref="W153">XLOOKUP(A:A,'Raw Revenue'!C:C,'Raw Revenue'!D:D,0)</f>
        <v>0</v>
      </c>
      <c r="X153" s="11">
        <f t="array" ref="X153">XLOOKUP(A:A,'Raw Revenue'!E:E,'Raw Revenue'!F:F,0)</f>
        <v>0</v>
      </c>
      <c r="Y153" s="11">
        <f t="array" ref="Y153">XLOOKUP(A:A,'Raw Revenue'!G:G,'Raw Revenue'!H:H,0)</f>
        <v>0</v>
      </c>
      <c r="Z153" s="11">
        <f t="array" ref="Z153">XLOOKUP(A:A,'Raw Revenue'!I:I,'Raw Revenue'!J:J,0)</f>
        <v>0</v>
      </c>
      <c r="AA153" s="11">
        <f t="array" ref="AA153">XLOOKUP(A:A,'Raw Revenue'!K:K,'Raw Revenue'!L:L,0)</f>
        <v>0</v>
      </c>
      <c r="AB153" s="11">
        <f t="array" ref="AB153">XLOOKUP(A:A,'Raw Revenue'!M:M,'Raw Revenue'!N:N,0)</f>
        <v>0</v>
      </c>
      <c r="AC153" s="3">
        <v>0.0</v>
      </c>
      <c r="AD153" s="3">
        <v>0.0</v>
      </c>
      <c r="AE153" s="3">
        <v>0.0</v>
      </c>
      <c r="AF153" s="3">
        <v>0.0</v>
      </c>
      <c r="AG153" s="3">
        <v>0.0</v>
      </c>
    </row>
    <row r="154">
      <c r="A154" s="3" t="s">
        <v>288</v>
      </c>
      <c r="B154" s="3" t="s">
        <v>617</v>
      </c>
      <c r="C154" s="3" t="str">
        <f t="shared" si="1"/>
        <v>PT. Abadi Selamanya Jaya</v>
      </c>
      <c r="D154" s="3" t="s">
        <v>103</v>
      </c>
      <c r="E154" s="3" t="s">
        <v>85</v>
      </c>
      <c r="F154" s="3" t="s">
        <v>248</v>
      </c>
      <c r="G154" s="3" t="s">
        <v>53</v>
      </c>
      <c r="H154" s="3" t="str">
        <f t="array" ref="H154">XLOOKUP(G:G,'Account Manager Data'!A:A,'Account Manager Data'!B:B,0)</f>
        <v>Fajar Ramadhan</v>
      </c>
      <c r="I154" s="11" t="str">
        <f t="array" ref="I154">XLOOKUP($G:$G,'Account Manager Data'!$A:$A,'Account Manager Data'!C:C)</f>
        <v>Sulawesi</v>
      </c>
      <c r="J154" s="17">
        <v>5005246.0</v>
      </c>
      <c r="K154" s="17">
        <v>7606455.0</v>
      </c>
      <c r="L154" s="17">
        <v>3732891.0</v>
      </c>
      <c r="M154" s="17">
        <v>5737208.0</v>
      </c>
      <c r="N154" s="17">
        <v>1926157.0</v>
      </c>
      <c r="O154" s="17">
        <v>3781560.0</v>
      </c>
      <c r="P154" s="17">
        <v>1.4587756E7</v>
      </c>
      <c r="Q154" s="17">
        <v>1.3223945E7</v>
      </c>
      <c r="R154" s="17">
        <v>1653605.0</v>
      </c>
      <c r="S154" s="17">
        <v>2654054.0</v>
      </c>
      <c r="T154" s="17">
        <v>1.2756185E7</v>
      </c>
      <c r="U154" s="17">
        <v>7059765.0</v>
      </c>
      <c r="V154" s="11">
        <f t="array" ref="V154">XLOOKUP(A:A,'Raw Revenue'!A:A,'Raw Revenue'!B:B,0)
</f>
        <v>4455685.939</v>
      </c>
      <c r="W154" s="11">
        <f t="array" ref="W154">XLOOKUP(A:A,'Raw Revenue'!C:C,'Raw Revenue'!D:D,0)</f>
        <v>4455685.939</v>
      </c>
      <c r="X154" s="11">
        <f t="array" ref="X154">XLOOKUP(A:A,'Raw Revenue'!E:E,'Raw Revenue'!F:F,0)</f>
        <v>8911371.878</v>
      </c>
      <c r="Y154" s="11">
        <f t="array" ref="Y154">XLOOKUP(A:A,'Raw Revenue'!G:G,'Raw Revenue'!H:H,0)</f>
        <v>7277620.367</v>
      </c>
      <c r="Z154" s="11">
        <f t="array" ref="Z154">XLOOKUP(A:A,'Raw Revenue'!I:I,'Raw Revenue'!J:J,0)</f>
        <v>6535006.044</v>
      </c>
      <c r="AA154" s="11">
        <f t="array" ref="AA154">XLOOKUP(A:A,'Raw Revenue'!K:K,'Raw Revenue'!L:L,0)</f>
        <v>0</v>
      </c>
      <c r="AB154" s="11">
        <f t="array" ref="AB154">XLOOKUP(A:A,'Raw Revenue'!M:M,'Raw Revenue'!N:N,0)</f>
        <v>15372116.49</v>
      </c>
      <c r="AC154" s="3">
        <v>0.0</v>
      </c>
      <c r="AD154" s="3">
        <v>0.0</v>
      </c>
      <c r="AE154" s="3">
        <v>0.0</v>
      </c>
      <c r="AF154" s="3">
        <v>0.0</v>
      </c>
      <c r="AG154" s="3">
        <v>0.0</v>
      </c>
    </row>
    <row r="155">
      <c r="A155" s="3" t="s">
        <v>618</v>
      </c>
      <c r="B155" s="3" t="s">
        <v>619</v>
      </c>
      <c r="C155" s="3" t="str">
        <f t="shared" si="1"/>
        <v>PT. Mandiri Sejahtera Bersama</v>
      </c>
      <c r="D155" s="3" t="s">
        <v>130</v>
      </c>
      <c r="E155" s="3" t="s">
        <v>104</v>
      </c>
      <c r="F155" s="3" t="s">
        <v>134</v>
      </c>
      <c r="G155" s="3" t="s">
        <v>27</v>
      </c>
      <c r="H155" s="3" t="str">
        <f t="array" ref="H155">XLOOKUP(G:G,'Account Manager Data'!A:A,'Account Manager Data'!B:B,0)</f>
        <v>Dedi Kurniawan</v>
      </c>
      <c r="I155" s="11" t="str">
        <f t="array" ref="I155">XLOOKUP($G:$G,'Account Manager Data'!$A:$A,'Account Manager Data'!C:C)</f>
        <v>Kalimantan</v>
      </c>
      <c r="J155" s="17">
        <v>4195512.0</v>
      </c>
      <c r="K155" s="17">
        <v>3997400.0</v>
      </c>
      <c r="L155" s="17">
        <v>4196276.0</v>
      </c>
      <c r="M155" s="17">
        <v>0.0</v>
      </c>
      <c r="N155" s="17">
        <v>3827955.0</v>
      </c>
      <c r="O155" s="17">
        <v>1.3887552E7</v>
      </c>
      <c r="P155" s="17">
        <v>1.532184E7</v>
      </c>
      <c r="Q155" s="17">
        <v>4149664.0</v>
      </c>
      <c r="R155" s="17">
        <v>6274643.0</v>
      </c>
      <c r="S155" s="17">
        <v>2199926.0</v>
      </c>
      <c r="T155" s="17">
        <v>1.4926574E7</v>
      </c>
      <c r="U155" s="17">
        <v>1.7510112E7</v>
      </c>
      <c r="V155" s="11">
        <f t="array" ref="V155">XLOOKUP(A:A,'Raw Revenue'!A:A,'Raw Revenue'!B:B,0)
</f>
        <v>0</v>
      </c>
      <c r="W155" s="11">
        <f t="array" ref="W155">XLOOKUP(A:A,'Raw Revenue'!C:C,'Raw Revenue'!D:D,0)</f>
        <v>0</v>
      </c>
      <c r="X155" s="11">
        <f t="array" ref="X155">XLOOKUP(A:A,'Raw Revenue'!E:E,'Raw Revenue'!F:F,0)</f>
        <v>0</v>
      </c>
      <c r="Y155" s="11">
        <f t="array" ref="Y155">XLOOKUP(A:A,'Raw Revenue'!G:G,'Raw Revenue'!H:H,0)</f>
        <v>0</v>
      </c>
      <c r="Z155" s="11">
        <f t="array" ref="Z155">XLOOKUP(A:A,'Raw Revenue'!I:I,'Raw Revenue'!J:J,0)</f>
        <v>0</v>
      </c>
      <c r="AA155" s="11">
        <f t="array" ref="AA155">XLOOKUP(A:A,'Raw Revenue'!K:K,'Raw Revenue'!L:L,0)</f>
        <v>0</v>
      </c>
      <c r="AB155" s="11">
        <f t="array" ref="AB155">XLOOKUP(A:A,'Raw Revenue'!M:M,'Raw Revenue'!N:N,0)</f>
        <v>0</v>
      </c>
      <c r="AC155" s="3">
        <v>0.0</v>
      </c>
      <c r="AD155" s="3">
        <v>0.0</v>
      </c>
      <c r="AE155" s="3">
        <v>0.0</v>
      </c>
      <c r="AF155" s="3">
        <v>0.0</v>
      </c>
      <c r="AG155" s="3">
        <v>0.0</v>
      </c>
    </row>
    <row r="156">
      <c r="A156" s="3" t="s">
        <v>620</v>
      </c>
      <c r="B156" s="3" t="s">
        <v>621</v>
      </c>
      <c r="C156" s="3" t="str">
        <f t="shared" si="1"/>
        <v>PT. Sejahtera Alam Indonesia</v>
      </c>
      <c r="D156" s="3" t="s">
        <v>195</v>
      </c>
      <c r="E156" s="3" t="s">
        <v>196</v>
      </c>
      <c r="F156" s="3" t="s">
        <v>197</v>
      </c>
      <c r="G156" s="3" t="s">
        <v>78</v>
      </c>
      <c r="H156" s="3" t="str">
        <f t="array" ref="H156">XLOOKUP(G:G,'Account Manager Data'!A:A,'Account Manager Data'!B:B,0)</f>
        <v>Ilham Saputra</v>
      </c>
      <c r="I156" s="11" t="str">
        <f t="array" ref="I156">XLOOKUP($G:$G,'Account Manager Data'!$A:$A,'Account Manager Data'!C:C)</f>
        <v>Jawa</v>
      </c>
      <c r="J156" s="17">
        <v>6009775.0</v>
      </c>
      <c r="K156" s="17">
        <v>5296373.0</v>
      </c>
      <c r="L156" s="17">
        <v>7463756.0</v>
      </c>
      <c r="M156" s="17">
        <v>2930813.0</v>
      </c>
      <c r="N156" s="17">
        <v>3234602.0</v>
      </c>
      <c r="O156" s="17">
        <v>5060366.0</v>
      </c>
      <c r="P156" s="17">
        <v>3328367.0</v>
      </c>
      <c r="Q156" s="17">
        <v>8634283.0</v>
      </c>
      <c r="R156" s="17">
        <v>499342.0</v>
      </c>
      <c r="S156" s="17">
        <v>1.2684792E7</v>
      </c>
      <c r="T156" s="17">
        <v>1449648.0</v>
      </c>
      <c r="U156" s="17">
        <v>4025732.0</v>
      </c>
      <c r="V156" s="11">
        <f t="array" ref="V156">XLOOKUP(A:A,'Raw Revenue'!A:A,'Raw Revenue'!B:B,0)
</f>
        <v>0</v>
      </c>
      <c r="W156" s="11">
        <f t="array" ref="W156">XLOOKUP(A:A,'Raw Revenue'!C:C,'Raw Revenue'!D:D,0)</f>
        <v>0</v>
      </c>
      <c r="X156" s="11">
        <f t="array" ref="X156">XLOOKUP(A:A,'Raw Revenue'!E:E,'Raw Revenue'!F:F,0)</f>
        <v>0</v>
      </c>
      <c r="Y156" s="11">
        <f t="array" ref="Y156">XLOOKUP(A:A,'Raw Revenue'!G:G,'Raw Revenue'!H:H,0)</f>
        <v>0</v>
      </c>
      <c r="Z156" s="11">
        <f t="array" ref="Z156">XLOOKUP(A:A,'Raw Revenue'!I:I,'Raw Revenue'!J:J,0)</f>
        <v>0</v>
      </c>
      <c r="AA156" s="11">
        <f t="array" ref="AA156">XLOOKUP(A:A,'Raw Revenue'!K:K,'Raw Revenue'!L:L,0)</f>
        <v>0</v>
      </c>
      <c r="AB156" s="11">
        <f t="array" ref="AB156">XLOOKUP(A:A,'Raw Revenue'!M:M,'Raw Revenue'!N:N,0)</f>
        <v>0</v>
      </c>
      <c r="AC156" s="3">
        <v>0.0</v>
      </c>
      <c r="AD156" s="3">
        <v>0.0</v>
      </c>
      <c r="AE156" s="3">
        <v>0.0</v>
      </c>
      <c r="AF156" s="3">
        <v>0.0</v>
      </c>
      <c r="AG156" s="3">
        <v>0.0</v>
      </c>
    </row>
    <row r="157">
      <c r="A157" s="3" t="s">
        <v>622</v>
      </c>
      <c r="B157" s="3" t="s">
        <v>623</v>
      </c>
      <c r="C157" s="3" t="str">
        <f t="shared" si="1"/>
        <v>PT. Indah Kargo Logistik</v>
      </c>
      <c r="D157" s="3" t="s">
        <v>186</v>
      </c>
      <c r="E157" s="3" t="s">
        <v>196</v>
      </c>
      <c r="F157" s="3" t="s">
        <v>197</v>
      </c>
      <c r="G157" s="3" t="s">
        <v>63</v>
      </c>
      <c r="H157" s="3" t="str">
        <f t="array" ref="H157">XLOOKUP(G:G,'Account Manager Data'!A:A,'Account Manager Data'!B:B,0)</f>
        <v>Hendra Gunawan</v>
      </c>
      <c r="I157" s="11" t="str">
        <f t="array" ref="I157">XLOOKUP($G:$G,'Account Manager Data'!$A:$A,'Account Manager Data'!C:C)</f>
        <v>Kalimantan</v>
      </c>
      <c r="J157" s="17">
        <v>637143.0</v>
      </c>
      <c r="K157" s="17">
        <v>8698479.0</v>
      </c>
      <c r="L157" s="17">
        <v>8129455.0</v>
      </c>
      <c r="M157" s="17">
        <v>1.0817455E7</v>
      </c>
      <c r="N157" s="17">
        <v>4650586.0</v>
      </c>
      <c r="O157" s="17">
        <v>9000880.0</v>
      </c>
      <c r="P157" s="17">
        <v>2367295.0</v>
      </c>
      <c r="Q157" s="17">
        <v>5855058.0</v>
      </c>
      <c r="R157" s="17">
        <v>1.274754E7</v>
      </c>
      <c r="S157" s="17">
        <v>1.3015229E7</v>
      </c>
      <c r="T157" s="17">
        <v>1.8322411E7</v>
      </c>
      <c r="U157" s="17">
        <v>8598511.0</v>
      </c>
      <c r="V157" s="11">
        <f t="array" ref="V157">XLOOKUP(A:A,'Raw Revenue'!A:A,'Raw Revenue'!B:B,0)
</f>
        <v>0</v>
      </c>
      <c r="W157" s="11">
        <f t="array" ref="W157">XLOOKUP(A:A,'Raw Revenue'!C:C,'Raw Revenue'!D:D,0)</f>
        <v>0</v>
      </c>
      <c r="X157" s="11">
        <f t="array" ref="X157">XLOOKUP(A:A,'Raw Revenue'!E:E,'Raw Revenue'!F:F,0)</f>
        <v>0</v>
      </c>
      <c r="Y157" s="11">
        <f t="array" ref="Y157">XLOOKUP(A:A,'Raw Revenue'!G:G,'Raw Revenue'!H:H,0)</f>
        <v>0</v>
      </c>
      <c r="Z157" s="11">
        <f t="array" ref="Z157">XLOOKUP(A:A,'Raw Revenue'!I:I,'Raw Revenue'!J:J,0)</f>
        <v>0</v>
      </c>
      <c r="AA157" s="11">
        <f t="array" ref="AA157">XLOOKUP(A:A,'Raw Revenue'!K:K,'Raw Revenue'!L:L,0)</f>
        <v>0</v>
      </c>
      <c r="AB157" s="11">
        <f t="array" ref="AB157">XLOOKUP(A:A,'Raw Revenue'!M:M,'Raw Revenue'!N:N,0)</f>
        <v>0</v>
      </c>
      <c r="AC157" s="3">
        <v>0.0</v>
      </c>
      <c r="AD157" s="3">
        <v>0.0</v>
      </c>
      <c r="AE157" s="3">
        <v>0.0</v>
      </c>
      <c r="AF157" s="3">
        <v>0.0</v>
      </c>
      <c r="AG157" s="3">
        <v>0.0</v>
      </c>
    </row>
    <row r="158">
      <c r="A158" s="3" t="s">
        <v>624</v>
      </c>
      <c r="B158" s="3" t="s">
        <v>625</v>
      </c>
      <c r="C158" s="3" t="str">
        <f t="shared" si="1"/>
        <v>PT. Berkah Alam Semesta</v>
      </c>
      <c r="D158" s="3" t="s">
        <v>130</v>
      </c>
      <c r="E158" s="3" t="s">
        <v>215</v>
      </c>
      <c r="F158" s="3" t="s">
        <v>216</v>
      </c>
      <c r="G158" s="3" t="s">
        <v>35</v>
      </c>
      <c r="H158" s="3" t="str">
        <f t="array" ref="H158">XLOOKUP(G:G,'Account Manager Data'!A:A,'Account Manager Data'!B:B,0)</f>
        <v>Ahmad Fauzi</v>
      </c>
      <c r="I158" s="11" t="str">
        <f t="array" ref="I158">XLOOKUP($G:$G,'Account Manager Data'!$A:$A,'Account Manager Data'!C:C)</f>
        <v>Sumatera</v>
      </c>
      <c r="J158" s="17">
        <v>415733.0</v>
      </c>
      <c r="K158" s="17">
        <v>250415.0</v>
      </c>
      <c r="L158" s="17">
        <v>6009383.0</v>
      </c>
      <c r="M158" s="17">
        <v>3611321.0</v>
      </c>
      <c r="N158" s="17">
        <v>4183748.0</v>
      </c>
      <c r="O158" s="17">
        <v>5374962.0</v>
      </c>
      <c r="P158" s="17">
        <v>1.2336029E7</v>
      </c>
      <c r="Q158" s="17">
        <v>1.1165845E7</v>
      </c>
      <c r="R158" s="17">
        <v>1343302.0</v>
      </c>
      <c r="S158" s="17">
        <v>0.0</v>
      </c>
      <c r="T158" s="17">
        <v>1.5644344E7</v>
      </c>
      <c r="U158" s="17">
        <v>2554347.0</v>
      </c>
      <c r="V158" s="11">
        <f t="array" ref="V158">XLOOKUP(A:A,'Raw Revenue'!A:A,'Raw Revenue'!B:B,0)
</f>
        <v>0</v>
      </c>
      <c r="W158" s="11">
        <f t="array" ref="W158">XLOOKUP(A:A,'Raw Revenue'!C:C,'Raw Revenue'!D:D,0)</f>
        <v>0</v>
      </c>
      <c r="X158" s="11">
        <f t="array" ref="X158">XLOOKUP(A:A,'Raw Revenue'!E:E,'Raw Revenue'!F:F,0)</f>
        <v>0</v>
      </c>
      <c r="Y158" s="11">
        <f t="array" ref="Y158">XLOOKUP(A:A,'Raw Revenue'!G:G,'Raw Revenue'!H:H,0)</f>
        <v>0</v>
      </c>
      <c r="Z158" s="11">
        <f t="array" ref="Z158">XLOOKUP(A:A,'Raw Revenue'!I:I,'Raw Revenue'!J:J,0)</f>
        <v>0</v>
      </c>
      <c r="AA158" s="11">
        <f t="array" ref="AA158">XLOOKUP(A:A,'Raw Revenue'!K:K,'Raw Revenue'!L:L,0)</f>
        <v>0</v>
      </c>
      <c r="AB158" s="11">
        <f t="array" ref="AB158">XLOOKUP(A:A,'Raw Revenue'!M:M,'Raw Revenue'!N:N,0)</f>
        <v>0</v>
      </c>
      <c r="AC158" s="3">
        <v>0.0</v>
      </c>
      <c r="AD158" s="3">
        <v>0.0</v>
      </c>
      <c r="AE158" s="3">
        <v>0.0</v>
      </c>
      <c r="AF158" s="3">
        <v>0.0</v>
      </c>
      <c r="AG158" s="3">
        <v>0.0</v>
      </c>
    </row>
    <row r="159">
      <c r="A159" s="3" t="s">
        <v>626</v>
      </c>
      <c r="B159" s="3" t="s">
        <v>627</v>
      </c>
      <c r="C159" s="3" t="str">
        <f t="shared" si="1"/>
        <v>PT. Cahaya Baru Indonesia</v>
      </c>
      <c r="D159" s="3" t="s">
        <v>195</v>
      </c>
      <c r="E159" s="3" t="s">
        <v>104</v>
      </c>
      <c r="F159" s="3" t="s">
        <v>134</v>
      </c>
      <c r="G159" s="3" t="s">
        <v>43</v>
      </c>
      <c r="H159" s="3" t="str">
        <f t="array" ref="H159">XLOOKUP(G:G,'Account Manager Data'!A:A,'Account Manager Data'!B:B,0)</f>
        <v>Eko Prasetyo</v>
      </c>
      <c r="I159" s="11" t="str">
        <f t="array" ref="I159">XLOOKUP($G:$G,'Account Manager Data'!$A:$A,'Account Manager Data'!C:C)</f>
        <v>Papua</v>
      </c>
      <c r="J159" s="17">
        <v>8030192.0</v>
      </c>
      <c r="K159" s="17">
        <v>7997980.0</v>
      </c>
      <c r="L159" s="17">
        <v>2833070.0</v>
      </c>
      <c r="M159" s="17">
        <v>1.0217115E7</v>
      </c>
      <c r="N159" s="17">
        <v>0.0</v>
      </c>
      <c r="O159" s="17">
        <v>1559866.0</v>
      </c>
      <c r="P159" s="17">
        <v>1.1828214E7</v>
      </c>
      <c r="Q159" s="17">
        <v>0.0</v>
      </c>
      <c r="R159" s="17">
        <v>4134764.0</v>
      </c>
      <c r="S159" s="17">
        <v>6512167.0</v>
      </c>
      <c r="T159" s="17">
        <v>2043903.0</v>
      </c>
      <c r="U159" s="17">
        <v>3235984.0</v>
      </c>
      <c r="V159" s="11">
        <f t="array" ref="V159">XLOOKUP(A:A,'Raw Revenue'!A:A,'Raw Revenue'!B:B,0)
</f>
        <v>0</v>
      </c>
      <c r="W159" s="11">
        <f t="array" ref="W159">XLOOKUP(A:A,'Raw Revenue'!C:C,'Raw Revenue'!D:D,0)</f>
        <v>0</v>
      </c>
      <c r="X159" s="11">
        <f t="array" ref="X159">XLOOKUP(A:A,'Raw Revenue'!E:E,'Raw Revenue'!F:F,0)</f>
        <v>0</v>
      </c>
      <c r="Y159" s="11">
        <f t="array" ref="Y159">XLOOKUP(A:A,'Raw Revenue'!G:G,'Raw Revenue'!H:H,0)</f>
        <v>0</v>
      </c>
      <c r="Z159" s="11">
        <f t="array" ref="Z159">XLOOKUP(A:A,'Raw Revenue'!I:I,'Raw Revenue'!J:J,0)</f>
        <v>0</v>
      </c>
      <c r="AA159" s="11">
        <f t="array" ref="AA159">XLOOKUP(A:A,'Raw Revenue'!K:K,'Raw Revenue'!L:L,0)</f>
        <v>0</v>
      </c>
      <c r="AB159" s="11">
        <f t="array" ref="AB159">XLOOKUP(A:A,'Raw Revenue'!M:M,'Raw Revenue'!N:N,0)</f>
        <v>0</v>
      </c>
      <c r="AC159" s="3">
        <v>0.0</v>
      </c>
      <c r="AD159" s="3">
        <v>0.0</v>
      </c>
      <c r="AE159" s="3">
        <v>0.0</v>
      </c>
      <c r="AF159" s="3">
        <v>0.0</v>
      </c>
      <c r="AG159" s="3">
        <v>0.0</v>
      </c>
    </row>
    <row r="160">
      <c r="A160" s="3" t="s">
        <v>628</v>
      </c>
      <c r="B160" s="3" t="s">
        <v>629</v>
      </c>
      <c r="C160" s="3" t="str">
        <f t="shared" si="1"/>
        <v>PT. Mentari Pagi Sejahtera</v>
      </c>
      <c r="D160" s="3" t="s">
        <v>195</v>
      </c>
      <c r="E160" s="3" t="s">
        <v>85</v>
      </c>
      <c r="F160" s="3" t="s">
        <v>86</v>
      </c>
      <c r="G160" s="3" t="s">
        <v>74</v>
      </c>
      <c r="H160" s="3" t="str">
        <f t="array" ref="H160">XLOOKUP(G:G,'Account Manager Data'!A:A,'Account Manager Data'!B:B,0)</f>
        <v>Budi Santoso</v>
      </c>
      <c r="I160" s="11" t="str">
        <f t="array" ref="I160">XLOOKUP($G:$G,'Account Manager Data'!$A:$A,'Account Manager Data'!C:C)</f>
        <v>Papua</v>
      </c>
      <c r="J160" s="17">
        <v>2241537.0</v>
      </c>
      <c r="K160" s="17">
        <v>6686490.0</v>
      </c>
      <c r="L160" s="17">
        <v>6395946.0</v>
      </c>
      <c r="M160" s="17">
        <v>7087375.0</v>
      </c>
      <c r="N160" s="17">
        <v>1.0625973E7</v>
      </c>
      <c r="O160" s="17">
        <v>3133844.0</v>
      </c>
      <c r="P160" s="17">
        <v>6294008.0</v>
      </c>
      <c r="Q160" s="17">
        <v>1.3789054E7</v>
      </c>
      <c r="R160" s="17">
        <v>135686.0</v>
      </c>
      <c r="S160" s="17">
        <v>0.0</v>
      </c>
      <c r="T160" s="17">
        <v>4872644.0</v>
      </c>
      <c r="U160" s="17">
        <v>6090511.0</v>
      </c>
      <c r="V160" s="11">
        <f t="array" ref="V160">XLOOKUP(A:A,'Raw Revenue'!A:A,'Raw Revenue'!B:B,0)
</f>
        <v>0</v>
      </c>
      <c r="W160" s="11">
        <f t="array" ref="W160">XLOOKUP(A:A,'Raw Revenue'!C:C,'Raw Revenue'!D:D,0)</f>
        <v>0</v>
      </c>
      <c r="X160" s="11">
        <f t="array" ref="X160">XLOOKUP(A:A,'Raw Revenue'!E:E,'Raw Revenue'!F:F,0)</f>
        <v>0</v>
      </c>
      <c r="Y160" s="11">
        <f t="array" ref="Y160">XLOOKUP(A:A,'Raw Revenue'!G:G,'Raw Revenue'!H:H,0)</f>
        <v>0</v>
      </c>
      <c r="Z160" s="11">
        <f t="array" ref="Z160">XLOOKUP(A:A,'Raw Revenue'!I:I,'Raw Revenue'!J:J,0)</f>
        <v>0</v>
      </c>
      <c r="AA160" s="11">
        <f t="array" ref="AA160">XLOOKUP(A:A,'Raw Revenue'!K:K,'Raw Revenue'!L:L,0)</f>
        <v>0</v>
      </c>
      <c r="AB160" s="11">
        <f t="array" ref="AB160">XLOOKUP(A:A,'Raw Revenue'!M:M,'Raw Revenue'!N:N,0)</f>
        <v>0</v>
      </c>
      <c r="AC160" s="3">
        <v>0.0</v>
      </c>
      <c r="AD160" s="3">
        <v>0.0</v>
      </c>
      <c r="AE160" s="3">
        <v>0.0</v>
      </c>
      <c r="AF160" s="3">
        <v>0.0</v>
      </c>
      <c r="AG160" s="3">
        <v>0.0</v>
      </c>
    </row>
    <row r="161">
      <c r="A161" s="3" t="s">
        <v>630</v>
      </c>
      <c r="B161" s="3" t="s">
        <v>631</v>
      </c>
      <c r="C161" s="3" t="str">
        <f t="shared" si="1"/>
        <v>PT. Bintang Kejora Nusantara</v>
      </c>
      <c r="D161" s="3" t="s">
        <v>84</v>
      </c>
      <c r="E161" s="3" t="s">
        <v>215</v>
      </c>
      <c r="F161" s="3" t="s">
        <v>227</v>
      </c>
      <c r="G161" s="3" t="s">
        <v>76</v>
      </c>
      <c r="H161" s="3" t="str">
        <f t="array" ref="H161">XLOOKUP(G:G,'Account Manager Data'!A:A,'Account Manager Data'!B:B,0)</f>
        <v>Teguh Wijaya</v>
      </c>
      <c r="I161" s="11" t="str">
        <f t="array" ref="I161">XLOOKUP($G:$G,'Account Manager Data'!$A:$A,'Account Manager Data'!C:C)</f>
        <v>Sulawesi</v>
      </c>
      <c r="J161" s="17">
        <v>4252451.0</v>
      </c>
      <c r="K161" s="17">
        <v>8712564.0</v>
      </c>
      <c r="L161" s="17">
        <v>4380255.0</v>
      </c>
      <c r="M161" s="17">
        <v>4275014.0</v>
      </c>
      <c r="N161" s="17">
        <v>9652695.0</v>
      </c>
      <c r="O161" s="17">
        <v>1438892.0</v>
      </c>
      <c r="P161" s="17">
        <v>3208083.0</v>
      </c>
      <c r="Q161" s="17">
        <v>7305058.0</v>
      </c>
      <c r="R161" s="17">
        <v>1.3496802E7</v>
      </c>
      <c r="S161" s="17">
        <v>1462698.0</v>
      </c>
      <c r="T161" s="17">
        <v>647371.0</v>
      </c>
      <c r="U161" s="17">
        <v>3985264.0</v>
      </c>
      <c r="V161" s="11">
        <f t="array" ref="V161">XLOOKUP(A:A,'Raw Revenue'!A:A,'Raw Revenue'!B:B,0)
</f>
        <v>0</v>
      </c>
      <c r="W161" s="11">
        <f t="array" ref="W161">XLOOKUP(A:A,'Raw Revenue'!C:C,'Raw Revenue'!D:D,0)</f>
        <v>0</v>
      </c>
      <c r="X161" s="11">
        <f t="array" ref="X161">XLOOKUP(A:A,'Raw Revenue'!E:E,'Raw Revenue'!F:F,0)</f>
        <v>0</v>
      </c>
      <c r="Y161" s="11">
        <f t="array" ref="Y161">XLOOKUP(A:A,'Raw Revenue'!G:G,'Raw Revenue'!H:H,0)</f>
        <v>0</v>
      </c>
      <c r="Z161" s="11">
        <f t="array" ref="Z161">XLOOKUP(A:A,'Raw Revenue'!I:I,'Raw Revenue'!J:J,0)</f>
        <v>0</v>
      </c>
      <c r="AA161" s="11">
        <f t="array" ref="AA161">XLOOKUP(A:A,'Raw Revenue'!K:K,'Raw Revenue'!L:L,0)</f>
        <v>0</v>
      </c>
      <c r="AB161" s="11">
        <f t="array" ref="AB161">XLOOKUP(A:A,'Raw Revenue'!M:M,'Raw Revenue'!N:N,0)</f>
        <v>0</v>
      </c>
      <c r="AC161" s="3">
        <v>0.0</v>
      </c>
      <c r="AD161" s="3">
        <v>0.0</v>
      </c>
      <c r="AE161" s="3">
        <v>0.0</v>
      </c>
      <c r="AF161" s="3">
        <v>0.0</v>
      </c>
      <c r="AG161" s="3">
        <v>0.0</v>
      </c>
    </row>
    <row r="162">
      <c r="A162" s="3" t="s">
        <v>632</v>
      </c>
      <c r="B162" s="3" t="s">
        <v>633</v>
      </c>
      <c r="C162" s="3" t="str">
        <f t="shared" si="1"/>
        <v>PT. Maju Jaya</v>
      </c>
      <c r="D162" s="3" t="s">
        <v>84</v>
      </c>
      <c r="E162" s="3" t="s">
        <v>85</v>
      </c>
      <c r="F162" s="3" t="s">
        <v>86</v>
      </c>
      <c r="G162" s="3" t="s">
        <v>70</v>
      </c>
      <c r="H162" s="3" t="str">
        <f t="array" ref="H162">XLOOKUP(G:G,'Account Manager Data'!A:A,'Account Manager Data'!B:B,0)</f>
        <v>Yusuf Hidayat</v>
      </c>
      <c r="I162" s="11" t="str">
        <f t="array" ref="I162">XLOOKUP($G:$G,'Account Manager Data'!$A:$A,'Account Manager Data'!C:C)</f>
        <v>Sumatera</v>
      </c>
      <c r="J162" s="17">
        <v>5673672.0</v>
      </c>
      <c r="K162" s="17">
        <v>2673381.0</v>
      </c>
      <c r="L162" s="17">
        <v>1311058.0</v>
      </c>
      <c r="M162" s="17">
        <v>2066601.0</v>
      </c>
      <c r="N162" s="17">
        <v>1.2320715E7</v>
      </c>
      <c r="O162" s="17">
        <v>7603533.0</v>
      </c>
      <c r="P162" s="17">
        <v>4662793.0</v>
      </c>
      <c r="Q162" s="17">
        <v>0.0</v>
      </c>
      <c r="R162" s="17">
        <v>1.4793875E7</v>
      </c>
      <c r="S162" s="17">
        <v>1.2059538E7</v>
      </c>
      <c r="T162" s="17">
        <v>1.2448509E7</v>
      </c>
      <c r="U162" s="17">
        <v>201886.0</v>
      </c>
      <c r="V162" s="11">
        <f t="array" ref="V162">XLOOKUP(A:A,'Raw Revenue'!A:A,'Raw Revenue'!B:B,0)
</f>
        <v>0</v>
      </c>
      <c r="W162" s="11">
        <f t="array" ref="W162">XLOOKUP(A:A,'Raw Revenue'!C:C,'Raw Revenue'!D:D,0)</f>
        <v>0</v>
      </c>
      <c r="X162" s="11">
        <f t="array" ref="X162">XLOOKUP(A:A,'Raw Revenue'!E:E,'Raw Revenue'!F:F,0)</f>
        <v>0</v>
      </c>
      <c r="Y162" s="11">
        <f t="array" ref="Y162">XLOOKUP(A:A,'Raw Revenue'!G:G,'Raw Revenue'!H:H,0)</f>
        <v>0</v>
      </c>
      <c r="Z162" s="11">
        <f t="array" ref="Z162">XLOOKUP(A:A,'Raw Revenue'!I:I,'Raw Revenue'!J:J,0)</f>
        <v>0</v>
      </c>
      <c r="AA162" s="11">
        <f t="array" ref="AA162">XLOOKUP(A:A,'Raw Revenue'!K:K,'Raw Revenue'!L:L,0)</f>
        <v>0</v>
      </c>
      <c r="AB162" s="11">
        <f t="array" ref="AB162">XLOOKUP(A:A,'Raw Revenue'!M:M,'Raw Revenue'!N:N,0)</f>
        <v>0</v>
      </c>
      <c r="AC162" s="3">
        <v>0.0</v>
      </c>
      <c r="AD162" s="3">
        <v>0.0</v>
      </c>
      <c r="AE162" s="3">
        <v>0.0</v>
      </c>
      <c r="AF162" s="3">
        <v>0.0</v>
      </c>
      <c r="AG162" s="3">
        <v>0.0</v>
      </c>
    </row>
    <row r="163">
      <c r="A163" s="3" t="s">
        <v>95</v>
      </c>
      <c r="B163" s="3" t="s">
        <v>634</v>
      </c>
      <c r="C163" s="3" t="str">
        <f t="shared" si="1"/>
        <v>CV. Sumber Makmur</v>
      </c>
      <c r="D163" s="3" t="s">
        <v>103</v>
      </c>
      <c r="E163" s="3" t="s">
        <v>187</v>
      </c>
      <c r="F163" s="3" t="s">
        <v>295</v>
      </c>
      <c r="G163" s="3" t="s">
        <v>15</v>
      </c>
      <c r="H163" s="3" t="str">
        <f t="array" ref="H163">XLOOKUP(G:G,'Account Manager Data'!A:A,'Account Manager Data'!B:B,0)</f>
        <v>Rizky Maulana</v>
      </c>
      <c r="I163" s="11" t="str">
        <f t="array" ref="I163">XLOOKUP($G:$G,'Account Manager Data'!$A:$A,'Account Manager Data'!C:C)</f>
        <v>Jawa</v>
      </c>
      <c r="J163" s="17">
        <v>269575.0</v>
      </c>
      <c r="K163" s="83">
        <v>8470588.0</v>
      </c>
      <c r="L163" s="84">
        <v>3036145.0</v>
      </c>
      <c r="M163" s="84">
        <v>1714286.0</v>
      </c>
      <c r="N163" s="84">
        <v>1281690.0</v>
      </c>
      <c r="O163" s="17">
        <v>4290650.0</v>
      </c>
      <c r="P163" s="84">
        <v>3.0172414E7</v>
      </c>
      <c r="Q163" s="84">
        <v>2.03921569E8</v>
      </c>
      <c r="R163" s="17">
        <v>3399817.0</v>
      </c>
      <c r="S163" s="17">
        <v>9325981.0</v>
      </c>
      <c r="T163" s="17">
        <v>1.9299654E7</v>
      </c>
      <c r="U163" s="17">
        <v>8584590.0</v>
      </c>
      <c r="V163" s="85">
        <f t="array" ref="V163">XLOOKUP(A:A,'Raw Revenue'!A:A,'Raw Revenue'!B:B,0)
</f>
        <v>7000000</v>
      </c>
      <c r="W163" s="22">
        <f t="array" ref="W163">XLOOKUP(A:A,'Raw Revenue'!C:C,'Raw Revenue'!D:D,0)</f>
        <v>8470588</v>
      </c>
      <c r="X163" s="22">
        <f t="array" ref="X163">XLOOKUP(A:A,'Raw Revenue'!E:E,'Raw Revenue'!F:F,0)</f>
        <v>3036145</v>
      </c>
      <c r="Y163" s="22">
        <f t="array" ref="Y163">XLOOKUP(A:A,'Raw Revenue'!G:G,'Raw Revenue'!H:H,0)</f>
        <v>1714286</v>
      </c>
      <c r="Z163" s="22">
        <f t="array" ref="Z163">XLOOKUP(A:A,'Raw Revenue'!I:I,'Raw Revenue'!J:J,0)</f>
        <v>1281690</v>
      </c>
      <c r="AA163" s="22">
        <f t="array" ref="AA163">XLOOKUP(A:A,'Raw Revenue'!K:K,'Raw Revenue'!L:L,0)</f>
        <v>4290650</v>
      </c>
      <c r="AB163" s="22">
        <f t="array" ref="AB163">XLOOKUP(A:A,'Raw Revenue'!M:M,'Raw Revenue'!N:N,0)</f>
        <v>30172414</v>
      </c>
      <c r="AC163" s="3">
        <v>0.0</v>
      </c>
      <c r="AD163" s="3">
        <v>0.0</v>
      </c>
      <c r="AE163" s="3">
        <v>0.0</v>
      </c>
      <c r="AF163" s="3">
        <v>0.0</v>
      </c>
      <c r="AG163" s="3">
        <v>0.0</v>
      </c>
    </row>
    <row r="164">
      <c r="A164" s="3" t="s">
        <v>635</v>
      </c>
      <c r="B164" s="3" t="s">
        <v>636</v>
      </c>
      <c r="C164" s="3" t="str">
        <f t="shared" si="1"/>
        <v>PT. Teknologi Nusantara</v>
      </c>
      <c r="D164" s="3" t="s">
        <v>84</v>
      </c>
      <c r="E164" s="3" t="s">
        <v>104</v>
      </c>
      <c r="F164" s="3" t="s">
        <v>252</v>
      </c>
      <c r="G164" s="3" t="s">
        <v>27</v>
      </c>
      <c r="H164" s="3" t="str">
        <f t="array" ref="H164">XLOOKUP(G:G,'Account Manager Data'!A:A,'Account Manager Data'!B:B,0)</f>
        <v>Dedi Kurniawan</v>
      </c>
      <c r="I164" s="11" t="str">
        <f t="array" ref="I164">XLOOKUP($G:$G,'Account Manager Data'!$A:$A,'Account Manager Data'!C:C)</f>
        <v>Kalimantan</v>
      </c>
      <c r="J164" s="17">
        <v>7143336.0</v>
      </c>
      <c r="K164" s="17">
        <v>7887277.0</v>
      </c>
      <c r="L164" s="17">
        <v>8630949.0</v>
      </c>
      <c r="M164" s="17">
        <v>3562648.0</v>
      </c>
      <c r="N164" s="17">
        <v>1.3791785E7</v>
      </c>
      <c r="O164" s="17">
        <v>0.0</v>
      </c>
      <c r="P164" s="17">
        <v>165483.0</v>
      </c>
      <c r="Q164" s="17">
        <v>3935825.0</v>
      </c>
      <c r="R164" s="17">
        <v>1.1323286E7</v>
      </c>
      <c r="S164" s="17">
        <v>1682339.0</v>
      </c>
      <c r="T164" s="17">
        <v>1.7459755E7</v>
      </c>
      <c r="U164" s="17">
        <v>7387746.0</v>
      </c>
      <c r="V164" s="11">
        <f t="array" ref="V164">XLOOKUP(A:A,'Raw Revenue'!A:A,'Raw Revenue'!B:B,0)
</f>
        <v>0</v>
      </c>
      <c r="W164" s="11">
        <f t="array" ref="W164">XLOOKUP(A:A,'Raw Revenue'!C:C,'Raw Revenue'!D:D,0)</f>
        <v>0</v>
      </c>
      <c r="X164" s="11">
        <f t="array" ref="X164">XLOOKUP(A:A,'Raw Revenue'!E:E,'Raw Revenue'!F:F,0)</f>
        <v>0</v>
      </c>
      <c r="Y164" s="11">
        <f t="array" ref="Y164">XLOOKUP(A:A,'Raw Revenue'!G:G,'Raw Revenue'!H:H,0)</f>
        <v>0</v>
      </c>
      <c r="Z164" s="11">
        <f t="array" ref="Z164">XLOOKUP(A:A,'Raw Revenue'!I:I,'Raw Revenue'!J:J,0)</f>
        <v>0</v>
      </c>
      <c r="AA164" s="11">
        <f t="array" ref="AA164">XLOOKUP(A:A,'Raw Revenue'!K:K,'Raw Revenue'!L:L,0)</f>
        <v>0</v>
      </c>
      <c r="AB164" s="11">
        <f t="array" ref="AB164">XLOOKUP(A:A,'Raw Revenue'!M:M,'Raw Revenue'!N:N,0)</f>
        <v>0</v>
      </c>
      <c r="AC164" s="3">
        <v>0.0</v>
      </c>
      <c r="AD164" s="3">
        <v>0.0</v>
      </c>
      <c r="AE164" s="3">
        <v>0.0</v>
      </c>
      <c r="AF164" s="3">
        <v>0.0</v>
      </c>
      <c r="AG164" s="3">
        <v>0.0</v>
      </c>
    </row>
    <row r="165">
      <c r="A165" s="3" t="s">
        <v>637</v>
      </c>
      <c r="B165" s="3" t="s">
        <v>638</v>
      </c>
      <c r="C165" s="3" t="str">
        <f t="shared" si="1"/>
        <v>PT. Bakti Indonesia</v>
      </c>
      <c r="D165" s="3" t="s">
        <v>186</v>
      </c>
      <c r="E165" s="3" t="s">
        <v>104</v>
      </c>
      <c r="F165" s="3" t="s">
        <v>252</v>
      </c>
      <c r="G165" s="3" t="s">
        <v>78</v>
      </c>
      <c r="H165" s="3" t="str">
        <f t="array" ref="H165">XLOOKUP(G:G,'Account Manager Data'!A:A,'Account Manager Data'!B:B,0)</f>
        <v>Ilham Saputra</v>
      </c>
      <c r="I165" s="11" t="str">
        <f t="array" ref="I165">XLOOKUP($G:$G,'Account Manager Data'!$A:$A,'Account Manager Data'!C:C)</f>
        <v>Jawa</v>
      </c>
      <c r="J165" s="17">
        <v>2495252.0</v>
      </c>
      <c r="K165" s="17">
        <v>5698296.0</v>
      </c>
      <c r="L165" s="17">
        <v>5459354.0</v>
      </c>
      <c r="M165" s="17">
        <v>9272143.0</v>
      </c>
      <c r="N165" s="17">
        <v>0.0</v>
      </c>
      <c r="O165" s="17">
        <v>8899887.0</v>
      </c>
      <c r="P165" s="17">
        <v>2269326.0</v>
      </c>
      <c r="Q165" s="17">
        <v>0.0</v>
      </c>
      <c r="R165" s="17">
        <v>2214195.0</v>
      </c>
      <c r="S165" s="17">
        <v>9889993.0</v>
      </c>
      <c r="T165" s="17">
        <v>2751664.0</v>
      </c>
      <c r="U165" s="17">
        <v>2777298.0</v>
      </c>
      <c r="V165" s="11">
        <f t="array" ref="V165">XLOOKUP(A:A,'Raw Revenue'!A:A,'Raw Revenue'!B:B,0)
</f>
        <v>0</v>
      </c>
      <c r="W165" s="11">
        <f t="array" ref="W165">XLOOKUP(A:A,'Raw Revenue'!C:C,'Raw Revenue'!D:D,0)</f>
        <v>0</v>
      </c>
      <c r="X165" s="11">
        <f t="array" ref="X165">XLOOKUP(A:A,'Raw Revenue'!E:E,'Raw Revenue'!F:F,0)</f>
        <v>0</v>
      </c>
      <c r="Y165" s="11">
        <f t="array" ref="Y165">XLOOKUP(A:A,'Raw Revenue'!G:G,'Raw Revenue'!H:H,0)</f>
        <v>0</v>
      </c>
      <c r="Z165" s="11">
        <f t="array" ref="Z165">XLOOKUP(A:A,'Raw Revenue'!I:I,'Raw Revenue'!J:J,0)</f>
        <v>0</v>
      </c>
      <c r="AA165" s="11">
        <f t="array" ref="AA165">XLOOKUP(A:A,'Raw Revenue'!K:K,'Raw Revenue'!L:L,0)</f>
        <v>0</v>
      </c>
      <c r="AB165" s="11">
        <f t="array" ref="AB165">XLOOKUP(A:A,'Raw Revenue'!M:M,'Raw Revenue'!N:N,0)</f>
        <v>0</v>
      </c>
      <c r="AC165" s="3">
        <v>0.0</v>
      </c>
      <c r="AD165" s="3">
        <v>0.0</v>
      </c>
      <c r="AE165" s="3">
        <v>0.0</v>
      </c>
      <c r="AF165" s="3">
        <v>0.0</v>
      </c>
      <c r="AG165" s="3">
        <v>0.0</v>
      </c>
    </row>
    <row r="166">
      <c r="A166" s="3" t="s">
        <v>639</v>
      </c>
      <c r="B166" s="3" t="s">
        <v>640</v>
      </c>
      <c r="C166" s="3" t="str">
        <f t="shared" si="1"/>
        <v>CV. Amanah Sejahtera</v>
      </c>
      <c r="D166" s="3" t="s">
        <v>186</v>
      </c>
      <c r="E166" s="3" t="s">
        <v>187</v>
      </c>
      <c r="F166" s="3" t="s">
        <v>269</v>
      </c>
      <c r="G166" s="3" t="s">
        <v>53</v>
      </c>
      <c r="H166" s="3" t="str">
        <f t="array" ref="H166">XLOOKUP(G:G,'Account Manager Data'!A:A,'Account Manager Data'!B:B,0)</f>
        <v>Fajar Ramadhan</v>
      </c>
      <c r="I166" s="11" t="str">
        <f t="array" ref="I166">XLOOKUP($G:$G,'Account Manager Data'!$A:$A,'Account Manager Data'!C:C)</f>
        <v>Sulawesi</v>
      </c>
      <c r="J166" s="17">
        <v>2134998.0</v>
      </c>
      <c r="K166" s="17">
        <v>8727904.0</v>
      </c>
      <c r="L166" s="17">
        <v>1967452.0</v>
      </c>
      <c r="M166" s="17">
        <v>5463520.0</v>
      </c>
      <c r="N166" s="17">
        <v>4948149.0</v>
      </c>
      <c r="O166" s="17">
        <v>9558644.0</v>
      </c>
      <c r="P166" s="17">
        <v>1.2332459E7</v>
      </c>
      <c r="Q166" s="17">
        <v>7805504.0</v>
      </c>
      <c r="R166" s="17">
        <v>0.0</v>
      </c>
      <c r="S166" s="17">
        <v>7403624.0</v>
      </c>
      <c r="T166" s="17">
        <v>4934871.0</v>
      </c>
      <c r="U166" s="17">
        <v>1.0643457E7</v>
      </c>
      <c r="V166" s="11">
        <f t="array" ref="V166">XLOOKUP(A:A,'Raw Revenue'!A:A,'Raw Revenue'!B:B,0)
</f>
        <v>0</v>
      </c>
      <c r="W166" s="11">
        <f t="array" ref="W166">XLOOKUP(A:A,'Raw Revenue'!C:C,'Raw Revenue'!D:D,0)</f>
        <v>0</v>
      </c>
      <c r="X166" s="11">
        <f t="array" ref="X166">XLOOKUP(A:A,'Raw Revenue'!E:E,'Raw Revenue'!F:F,0)</f>
        <v>0</v>
      </c>
      <c r="Y166" s="11">
        <f t="array" ref="Y166">XLOOKUP(A:A,'Raw Revenue'!G:G,'Raw Revenue'!H:H,0)</f>
        <v>0</v>
      </c>
      <c r="Z166" s="11">
        <f t="array" ref="Z166">XLOOKUP(A:A,'Raw Revenue'!I:I,'Raw Revenue'!J:J,0)</f>
        <v>0</v>
      </c>
      <c r="AA166" s="11">
        <f t="array" ref="AA166">XLOOKUP(A:A,'Raw Revenue'!K:K,'Raw Revenue'!L:L,0)</f>
        <v>0</v>
      </c>
      <c r="AB166" s="11">
        <f t="array" ref="AB166">XLOOKUP(A:A,'Raw Revenue'!M:M,'Raw Revenue'!N:N,0)</f>
        <v>0</v>
      </c>
      <c r="AC166" s="3">
        <v>0.0</v>
      </c>
      <c r="AD166" s="3">
        <v>0.0</v>
      </c>
      <c r="AE166" s="3">
        <v>0.0</v>
      </c>
      <c r="AF166" s="3">
        <v>0.0</v>
      </c>
      <c r="AG166" s="3">
        <v>0.0</v>
      </c>
    </row>
    <row r="167">
      <c r="A167" s="3" t="s">
        <v>641</v>
      </c>
      <c r="B167" s="3" t="s">
        <v>642</v>
      </c>
      <c r="C167" s="3" t="str">
        <f t="shared" si="1"/>
        <v>PT. Digital Solusi Pratama</v>
      </c>
      <c r="D167" s="3" t="s">
        <v>186</v>
      </c>
      <c r="E167" s="3" t="s">
        <v>196</v>
      </c>
      <c r="F167" s="3" t="s">
        <v>315</v>
      </c>
      <c r="G167" s="3" t="s">
        <v>63</v>
      </c>
      <c r="H167" s="3" t="str">
        <f t="array" ref="H167">XLOOKUP(G:G,'Account Manager Data'!A:A,'Account Manager Data'!B:B,0)</f>
        <v>Hendra Gunawan</v>
      </c>
      <c r="I167" s="11" t="str">
        <f t="array" ref="I167">XLOOKUP($G:$G,'Account Manager Data'!$A:$A,'Account Manager Data'!C:C)</f>
        <v>Kalimantan</v>
      </c>
      <c r="J167" s="17">
        <v>3444399.0</v>
      </c>
      <c r="K167" s="17">
        <v>7800633.0</v>
      </c>
      <c r="L167" s="17">
        <v>0.0</v>
      </c>
      <c r="M167" s="17">
        <v>2672293.0</v>
      </c>
      <c r="N167" s="17">
        <v>7203911.0</v>
      </c>
      <c r="O167" s="17">
        <v>1.1003021E7</v>
      </c>
      <c r="P167" s="17">
        <v>1.1394356E7</v>
      </c>
      <c r="Q167" s="17">
        <v>355013.0</v>
      </c>
      <c r="R167" s="17">
        <v>1.7145822E7</v>
      </c>
      <c r="S167" s="17">
        <v>9780645.0</v>
      </c>
      <c r="T167" s="17">
        <v>9902471.0</v>
      </c>
      <c r="U167" s="17">
        <v>7689835.0</v>
      </c>
      <c r="V167" s="11">
        <f t="array" ref="V167">XLOOKUP(A:A,'Raw Revenue'!A:A,'Raw Revenue'!B:B,0)
</f>
        <v>0</v>
      </c>
      <c r="W167" s="11">
        <f t="array" ref="W167">XLOOKUP(A:A,'Raw Revenue'!C:C,'Raw Revenue'!D:D,0)</f>
        <v>0</v>
      </c>
      <c r="X167" s="11">
        <f t="array" ref="X167">XLOOKUP(A:A,'Raw Revenue'!E:E,'Raw Revenue'!F:F,0)</f>
        <v>0</v>
      </c>
      <c r="Y167" s="11">
        <f t="array" ref="Y167">XLOOKUP(A:A,'Raw Revenue'!G:G,'Raw Revenue'!H:H,0)</f>
        <v>0</v>
      </c>
      <c r="Z167" s="11">
        <f t="array" ref="Z167">XLOOKUP(A:A,'Raw Revenue'!I:I,'Raw Revenue'!J:J,0)</f>
        <v>0</v>
      </c>
      <c r="AA167" s="11">
        <f t="array" ref="AA167">XLOOKUP(A:A,'Raw Revenue'!K:K,'Raw Revenue'!L:L,0)</f>
        <v>0</v>
      </c>
      <c r="AB167" s="11">
        <f t="array" ref="AB167">XLOOKUP(A:A,'Raw Revenue'!M:M,'Raw Revenue'!N:N,0)</f>
        <v>0</v>
      </c>
      <c r="AC167" s="3">
        <v>0.0</v>
      </c>
      <c r="AD167" s="3">
        <v>0.0</v>
      </c>
      <c r="AE167" s="3">
        <v>0.0</v>
      </c>
      <c r="AF167" s="3">
        <v>0.0</v>
      </c>
      <c r="AG167" s="3">
        <v>0.0</v>
      </c>
    </row>
    <row r="168">
      <c r="A168" s="3" t="s">
        <v>643</v>
      </c>
      <c r="B168" s="3" t="s">
        <v>644</v>
      </c>
      <c r="C168" s="3" t="str">
        <f t="shared" si="1"/>
        <v>PT. Global Niaga Abadi</v>
      </c>
      <c r="D168" s="3" t="s">
        <v>130</v>
      </c>
      <c r="E168" s="3" t="s">
        <v>85</v>
      </c>
      <c r="F168" s="3" t="s">
        <v>86</v>
      </c>
      <c r="G168" s="3" t="s">
        <v>35</v>
      </c>
      <c r="H168" s="3" t="str">
        <f t="array" ref="H168">XLOOKUP(G:G,'Account Manager Data'!A:A,'Account Manager Data'!B:B,0)</f>
        <v>Ahmad Fauzi</v>
      </c>
      <c r="I168" s="11" t="str">
        <f t="array" ref="I168">XLOOKUP($G:$G,'Account Manager Data'!$A:$A,'Account Manager Data'!C:C)</f>
        <v>Sumatera</v>
      </c>
      <c r="J168" s="17">
        <v>3803.0</v>
      </c>
      <c r="K168" s="17">
        <v>4716187.0</v>
      </c>
      <c r="L168" s="17">
        <v>8323004.0</v>
      </c>
      <c r="M168" s="17">
        <v>1.0315783E7</v>
      </c>
      <c r="N168" s="17">
        <v>7743304.0</v>
      </c>
      <c r="O168" s="17">
        <v>9549144.0</v>
      </c>
      <c r="P168" s="17">
        <v>3694394.0</v>
      </c>
      <c r="Q168" s="17">
        <v>1150735.0</v>
      </c>
      <c r="R168" s="17">
        <v>1523310.0</v>
      </c>
      <c r="S168" s="17">
        <v>2108462.0</v>
      </c>
      <c r="T168" s="17">
        <v>1.2967443E7</v>
      </c>
      <c r="U168" s="17">
        <v>8994616.0</v>
      </c>
      <c r="V168" s="11">
        <f t="array" ref="V168">XLOOKUP(A:A,'Raw Revenue'!A:A,'Raw Revenue'!B:B,0)
</f>
        <v>0</v>
      </c>
      <c r="W168" s="11">
        <f t="array" ref="W168">XLOOKUP(A:A,'Raw Revenue'!C:C,'Raw Revenue'!D:D,0)</f>
        <v>0</v>
      </c>
      <c r="X168" s="11">
        <f t="array" ref="X168">XLOOKUP(A:A,'Raw Revenue'!E:E,'Raw Revenue'!F:F,0)</f>
        <v>0</v>
      </c>
      <c r="Y168" s="11">
        <f t="array" ref="Y168">XLOOKUP(A:A,'Raw Revenue'!G:G,'Raw Revenue'!H:H,0)</f>
        <v>0</v>
      </c>
      <c r="Z168" s="11">
        <f t="array" ref="Z168">XLOOKUP(A:A,'Raw Revenue'!I:I,'Raw Revenue'!J:J,0)</f>
        <v>0</v>
      </c>
      <c r="AA168" s="11">
        <f t="array" ref="AA168">XLOOKUP(A:A,'Raw Revenue'!K:K,'Raw Revenue'!L:L,0)</f>
        <v>0</v>
      </c>
      <c r="AB168" s="11">
        <f t="array" ref="AB168">XLOOKUP(A:A,'Raw Revenue'!M:M,'Raw Revenue'!N:N,0)</f>
        <v>0</v>
      </c>
      <c r="AC168" s="3">
        <v>0.0</v>
      </c>
      <c r="AD168" s="3">
        <v>0.0</v>
      </c>
      <c r="AE168" s="3">
        <v>0.0</v>
      </c>
      <c r="AF168" s="3">
        <v>0.0</v>
      </c>
      <c r="AG168" s="3">
        <v>0.0</v>
      </c>
    </row>
    <row r="169">
      <c r="A169" s="3" t="s">
        <v>645</v>
      </c>
      <c r="B169" s="3" t="s">
        <v>646</v>
      </c>
      <c r="C169" s="3" t="str">
        <f t="shared" si="1"/>
        <v>PT. Indo Makmur Sentosa</v>
      </c>
      <c r="D169" s="3" t="s">
        <v>214</v>
      </c>
      <c r="E169" s="3" t="s">
        <v>215</v>
      </c>
      <c r="F169" s="3" t="s">
        <v>300</v>
      </c>
      <c r="G169" s="3" t="s">
        <v>74</v>
      </c>
      <c r="H169" s="3" t="str">
        <f t="array" ref="H169">XLOOKUP(G:G,'Account Manager Data'!A:A,'Account Manager Data'!B:B,0)</f>
        <v>Budi Santoso</v>
      </c>
      <c r="I169" s="11" t="str">
        <f t="array" ref="I169">XLOOKUP($G:$G,'Account Manager Data'!$A:$A,'Account Manager Data'!C:C)</f>
        <v>Papua</v>
      </c>
      <c r="J169" s="17">
        <v>6476198.0</v>
      </c>
      <c r="K169" s="17">
        <v>1934768.0</v>
      </c>
      <c r="L169" s="17">
        <v>3332647.0</v>
      </c>
      <c r="M169" s="17">
        <v>1425668.0</v>
      </c>
      <c r="N169" s="17">
        <v>1.2405694E7</v>
      </c>
      <c r="O169" s="17">
        <v>9779508.0</v>
      </c>
      <c r="P169" s="17">
        <v>891921.0</v>
      </c>
      <c r="Q169" s="17">
        <v>9081311.0</v>
      </c>
      <c r="R169" s="17">
        <v>9010812.0</v>
      </c>
      <c r="S169" s="17">
        <v>1.4976807E7</v>
      </c>
      <c r="T169" s="17">
        <v>1.3721954E7</v>
      </c>
      <c r="U169" s="17">
        <v>6041625.0</v>
      </c>
      <c r="V169" s="11">
        <f t="array" ref="V169">XLOOKUP(A:A,'Raw Revenue'!A:A,'Raw Revenue'!B:B,0)
</f>
        <v>0</v>
      </c>
      <c r="W169" s="11">
        <f t="array" ref="W169">XLOOKUP(A:A,'Raw Revenue'!C:C,'Raw Revenue'!D:D,0)</f>
        <v>0</v>
      </c>
      <c r="X169" s="11">
        <f t="array" ref="X169">XLOOKUP(A:A,'Raw Revenue'!E:E,'Raw Revenue'!F:F,0)</f>
        <v>0</v>
      </c>
      <c r="Y169" s="11">
        <f t="array" ref="Y169">XLOOKUP(A:A,'Raw Revenue'!G:G,'Raw Revenue'!H:H,0)</f>
        <v>0</v>
      </c>
      <c r="Z169" s="11">
        <f t="array" ref="Z169">XLOOKUP(A:A,'Raw Revenue'!I:I,'Raw Revenue'!J:J,0)</f>
        <v>0</v>
      </c>
      <c r="AA169" s="11">
        <f t="array" ref="AA169">XLOOKUP(A:A,'Raw Revenue'!K:K,'Raw Revenue'!L:L,0)</f>
        <v>0</v>
      </c>
      <c r="AB169" s="11">
        <f t="array" ref="AB169">XLOOKUP(A:A,'Raw Revenue'!M:M,'Raw Revenue'!N:N,0)</f>
        <v>0</v>
      </c>
      <c r="AC169" s="3">
        <v>0.0</v>
      </c>
      <c r="AD169" s="3">
        <v>0.0</v>
      </c>
      <c r="AE169" s="3">
        <v>0.0</v>
      </c>
      <c r="AF169" s="3">
        <v>0.0</v>
      </c>
      <c r="AG169" s="3">
        <v>0.0</v>
      </c>
    </row>
    <row r="170">
      <c r="A170" s="3" t="s">
        <v>647</v>
      </c>
      <c r="B170" s="3" t="s">
        <v>648</v>
      </c>
      <c r="C170" s="3" t="str">
        <f t="shared" si="1"/>
        <v>PT. Citra Mandiri Utama</v>
      </c>
      <c r="D170" s="3" t="s">
        <v>214</v>
      </c>
      <c r="E170" s="3" t="s">
        <v>196</v>
      </c>
      <c r="F170" s="3" t="s">
        <v>315</v>
      </c>
      <c r="G170" s="3" t="s">
        <v>43</v>
      </c>
      <c r="H170" s="3" t="str">
        <f t="array" ref="H170">XLOOKUP(G:G,'Account Manager Data'!A:A,'Account Manager Data'!B:B,0)</f>
        <v>Eko Prasetyo</v>
      </c>
      <c r="I170" s="11" t="str">
        <f t="array" ref="I170">XLOOKUP($G:$G,'Account Manager Data'!$A:$A,'Account Manager Data'!C:C)</f>
        <v>Papua</v>
      </c>
      <c r="J170" s="17">
        <v>8090515.0</v>
      </c>
      <c r="K170" s="17">
        <v>9180426.0</v>
      </c>
      <c r="L170" s="17">
        <v>3198396.0</v>
      </c>
      <c r="M170" s="17">
        <v>0.0</v>
      </c>
      <c r="N170" s="17">
        <v>1.3885056E7</v>
      </c>
      <c r="O170" s="17">
        <v>1.2570657E7</v>
      </c>
      <c r="P170" s="17">
        <v>4915131.0</v>
      </c>
      <c r="Q170" s="17">
        <v>1.3823084E7</v>
      </c>
      <c r="R170" s="17">
        <v>5305026.0</v>
      </c>
      <c r="S170" s="17">
        <v>9447155.0</v>
      </c>
      <c r="T170" s="17">
        <v>0.0</v>
      </c>
      <c r="U170" s="17">
        <v>0.0</v>
      </c>
      <c r="V170" s="11">
        <f t="array" ref="V170">XLOOKUP(A:A,'Raw Revenue'!A:A,'Raw Revenue'!B:B,0)
</f>
        <v>0</v>
      </c>
      <c r="W170" s="11">
        <f t="array" ref="W170">XLOOKUP(A:A,'Raw Revenue'!C:C,'Raw Revenue'!D:D,0)</f>
        <v>0</v>
      </c>
      <c r="X170" s="11">
        <f t="array" ref="X170">XLOOKUP(A:A,'Raw Revenue'!E:E,'Raw Revenue'!F:F,0)</f>
        <v>0</v>
      </c>
      <c r="Y170" s="11">
        <f t="array" ref="Y170">XLOOKUP(A:A,'Raw Revenue'!G:G,'Raw Revenue'!H:H,0)</f>
        <v>0</v>
      </c>
      <c r="Z170" s="11">
        <f t="array" ref="Z170">XLOOKUP(A:A,'Raw Revenue'!I:I,'Raw Revenue'!J:J,0)</f>
        <v>0</v>
      </c>
      <c r="AA170" s="11">
        <f t="array" ref="AA170">XLOOKUP(A:A,'Raw Revenue'!K:K,'Raw Revenue'!L:L,0)</f>
        <v>0</v>
      </c>
      <c r="AB170" s="11">
        <f t="array" ref="AB170">XLOOKUP(A:A,'Raw Revenue'!M:M,'Raw Revenue'!N:N,0)</f>
        <v>0</v>
      </c>
      <c r="AC170" s="3">
        <v>0.0</v>
      </c>
      <c r="AD170" s="3">
        <v>0.0</v>
      </c>
      <c r="AE170" s="3">
        <v>0.0</v>
      </c>
      <c r="AF170" s="3">
        <v>0.0</v>
      </c>
      <c r="AG170" s="3">
        <v>0.0</v>
      </c>
    </row>
    <row r="171">
      <c r="A171" s="3" t="s">
        <v>649</v>
      </c>
      <c r="B171" s="3" t="s">
        <v>650</v>
      </c>
      <c r="C171" s="3" t="str">
        <f t="shared" si="1"/>
        <v>PT. Sinar Dunia Baru</v>
      </c>
      <c r="D171" s="3" t="s">
        <v>195</v>
      </c>
      <c r="E171" s="3" t="s">
        <v>85</v>
      </c>
      <c r="F171" s="3" t="s">
        <v>407</v>
      </c>
      <c r="G171" s="3" t="s">
        <v>76</v>
      </c>
      <c r="H171" s="3" t="str">
        <f t="array" ref="H171">XLOOKUP(G:G,'Account Manager Data'!A:A,'Account Manager Data'!B:B,0)</f>
        <v>Teguh Wijaya</v>
      </c>
      <c r="I171" s="11" t="str">
        <f t="array" ref="I171">XLOOKUP($G:$G,'Account Manager Data'!$A:$A,'Account Manager Data'!C:C)</f>
        <v>Sulawesi</v>
      </c>
      <c r="J171" s="17">
        <v>2134619.0</v>
      </c>
      <c r="K171" s="17">
        <v>4190212.0</v>
      </c>
      <c r="L171" s="17">
        <v>9938223.0</v>
      </c>
      <c r="M171" s="17">
        <v>1939901.0</v>
      </c>
      <c r="N171" s="17">
        <v>4584206.0</v>
      </c>
      <c r="O171" s="17">
        <v>1948161.0</v>
      </c>
      <c r="P171" s="17">
        <v>9509409.0</v>
      </c>
      <c r="Q171" s="17">
        <v>1.0431905E7</v>
      </c>
      <c r="R171" s="17">
        <v>9188330.0</v>
      </c>
      <c r="S171" s="17">
        <v>1.7271347E7</v>
      </c>
      <c r="T171" s="17">
        <v>4881916.0</v>
      </c>
      <c r="U171" s="17">
        <v>1.4075655E7</v>
      </c>
      <c r="V171" s="11">
        <f t="array" ref="V171">XLOOKUP(A:A,'Raw Revenue'!A:A,'Raw Revenue'!B:B,0)
</f>
        <v>0</v>
      </c>
      <c r="W171" s="11">
        <f t="array" ref="W171">XLOOKUP(A:A,'Raw Revenue'!C:C,'Raw Revenue'!D:D,0)</f>
        <v>0</v>
      </c>
      <c r="X171" s="11">
        <f t="array" ref="X171">XLOOKUP(A:A,'Raw Revenue'!E:E,'Raw Revenue'!F:F,0)</f>
        <v>0</v>
      </c>
      <c r="Y171" s="11">
        <f t="array" ref="Y171">XLOOKUP(A:A,'Raw Revenue'!G:G,'Raw Revenue'!H:H,0)</f>
        <v>0</v>
      </c>
      <c r="Z171" s="11">
        <f t="array" ref="Z171">XLOOKUP(A:A,'Raw Revenue'!I:I,'Raw Revenue'!J:J,0)</f>
        <v>0</v>
      </c>
      <c r="AA171" s="11">
        <f t="array" ref="AA171">XLOOKUP(A:A,'Raw Revenue'!K:K,'Raw Revenue'!L:L,0)</f>
        <v>0</v>
      </c>
      <c r="AB171" s="11">
        <f t="array" ref="AB171">XLOOKUP(A:A,'Raw Revenue'!M:M,'Raw Revenue'!N:N,0)</f>
        <v>0</v>
      </c>
      <c r="AC171" s="3">
        <v>0.0</v>
      </c>
      <c r="AD171" s="3">
        <v>0.0</v>
      </c>
      <c r="AE171" s="3">
        <v>0.0</v>
      </c>
      <c r="AF171" s="3">
        <v>0.0</v>
      </c>
      <c r="AG171" s="3">
        <v>0.0</v>
      </c>
    </row>
    <row r="172">
      <c r="A172" s="3" t="s">
        <v>651</v>
      </c>
      <c r="B172" s="3" t="s">
        <v>652</v>
      </c>
      <c r="C172" s="3" t="str">
        <f t="shared" si="1"/>
        <v>CV. Karya Utama Mandiri</v>
      </c>
      <c r="D172" s="3" t="s">
        <v>84</v>
      </c>
      <c r="E172" s="3" t="s">
        <v>104</v>
      </c>
      <c r="F172" s="3" t="s">
        <v>105</v>
      </c>
      <c r="G172" s="3" t="s">
        <v>70</v>
      </c>
      <c r="H172" s="3" t="str">
        <f t="array" ref="H172">XLOOKUP(G:G,'Account Manager Data'!A:A,'Account Manager Data'!B:B,0)</f>
        <v>Yusuf Hidayat</v>
      </c>
      <c r="I172" s="11" t="str">
        <f t="array" ref="I172">XLOOKUP($G:$G,'Account Manager Data'!$A:$A,'Account Manager Data'!C:C)</f>
        <v>Sumatera</v>
      </c>
      <c r="J172" s="17">
        <v>812083.0</v>
      </c>
      <c r="K172" s="17">
        <v>6176295.0</v>
      </c>
      <c r="L172" s="17">
        <v>2375802.0</v>
      </c>
      <c r="M172" s="17">
        <v>5058453.0</v>
      </c>
      <c r="N172" s="17">
        <v>1.2449169E7</v>
      </c>
      <c r="O172" s="17">
        <v>1.0165859E7</v>
      </c>
      <c r="P172" s="17">
        <v>1.3689544E7</v>
      </c>
      <c r="Q172" s="17">
        <v>1.5505935E7</v>
      </c>
      <c r="R172" s="17">
        <v>3703615.0</v>
      </c>
      <c r="S172" s="17">
        <v>1.6938794E7</v>
      </c>
      <c r="T172" s="17">
        <v>6325951.0</v>
      </c>
      <c r="U172" s="17">
        <v>1.0255825E7</v>
      </c>
      <c r="V172" s="11">
        <f t="array" ref="V172">XLOOKUP(A:A,'Raw Revenue'!A:A,'Raw Revenue'!B:B,0)
</f>
        <v>0</v>
      </c>
      <c r="W172" s="11">
        <f t="array" ref="W172">XLOOKUP(A:A,'Raw Revenue'!C:C,'Raw Revenue'!D:D,0)</f>
        <v>0</v>
      </c>
      <c r="X172" s="11">
        <f t="array" ref="X172">XLOOKUP(A:A,'Raw Revenue'!E:E,'Raw Revenue'!F:F,0)</f>
        <v>0</v>
      </c>
      <c r="Y172" s="11">
        <f t="array" ref="Y172">XLOOKUP(A:A,'Raw Revenue'!G:G,'Raw Revenue'!H:H,0)</f>
        <v>0</v>
      </c>
      <c r="Z172" s="11">
        <f t="array" ref="Z172">XLOOKUP(A:A,'Raw Revenue'!I:I,'Raw Revenue'!J:J,0)</f>
        <v>0</v>
      </c>
      <c r="AA172" s="11">
        <f t="array" ref="AA172">XLOOKUP(A:A,'Raw Revenue'!K:K,'Raw Revenue'!L:L,0)</f>
        <v>0</v>
      </c>
      <c r="AB172" s="11">
        <f t="array" ref="AB172">XLOOKUP(A:A,'Raw Revenue'!M:M,'Raw Revenue'!N:N,0)</f>
        <v>0</v>
      </c>
      <c r="AC172" s="3">
        <v>0.0</v>
      </c>
      <c r="AD172" s="3">
        <v>0.0</v>
      </c>
      <c r="AE172" s="3">
        <v>0.0</v>
      </c>
      <c r="AF172" s="3">
        <v>0.0</v>
      </c>
      <c r="AG172" s="3">
        <v>0.0</v>
      </c>
    </row>
    <row r="173">
      <c r="A173" s="3" t="s">
        <v>653</v>
      </c>
      <c r="B173" s="3" t="s">
        <v>654</v>
      </c>
      <c r="C173" s="3" t="str">
        <f t="shared" si="1"/>
        <v>PT. Pratama Jaya Sentosa</v>
      </c>
      <c r="D173" s="3" t="s">
        <v>186</v>
      </c>
      <c r="E173" s="3" t="s">
        <v>196</v>
      </c>
      <c r="F173" s="3" t="s">
        <v>315</v>
      </c>
      <c r="G173" s="3" t="s">
        <v>15</v>
      </c>
      <c r="H173" s="3" t="str">
        <f t="array" ref="H173">XLOOKUP(G:G,'Account Manager Data'!A:A,'Account Manager Data'!B:B,0)</f>
        <v>Rizky Maulana</v>
      </c>
      <c r="I173" s="11" t="str">
        <f t="array" ref="I173">XLOOKUP($G:$G,'Account Manager Data'!$A:$A,'Account Manager Data'!C:C)</f>
        <v>Jawa</v>
      </c>
      <c r="J173" s="17">
        <v>49720.0</v>
      </c>
      <c r="K173" s="17">
        <v>4864791.0</v>
      </c>
      <c r="L173" s="17">
        <v>4752941.0</v>
      </c>
      <c r="M173" s="17">
        <v>5920108.0</v>
      </c>
      <c r="N173" s="17">
        <v>2465620.0</v>
      </c>
      <c r="O173" s="17">
        <v>6325073.0</v>
      </c>
      <c r="P173" s="17">
        <v>2710001.0</v>
      </c>
      <c r="Q173" s="17">
        <v>7151646.0</v>
      </c>
      <c r="R173" s="17">
        <v>1.6121546E7</v>
      </c>
      <c r="S173" s="17">
        <v>1.3800386E7</v>
      </c>
      <c r="T173" s="17">
        <v>1.7012775E7</v>
      </c>
      <c r="U173" s="17">
        <v>1.3058715E7</v>
      </c>
      <c r="V173" s="11">
        <f t="array" ref="V173">XLOOKUP(A:A,'Raw Revenue'!A:A,'Raw Revenue'!B:B,0)
</f>
        <v>0</v>
      </c>
      <c r="W173" s="11">
        <f t="array" ref="W173">XLOOKUP(A:A,'Raw Revenue'!C:C,'Raw Revenue'!D:D,0)</f>
        <v>0</v>
      </c>
      <c r="X173" s="11">
        <f t="array" ref="X173">XLOOKUP(A:A,'Raw Revenue'!E:E,'Raw Revenue'!F:F,0)</f>
        <v>0</v>
      </c>
      <c r="Y173" s="11">
        <f t="array" ref="Y173">XLOOKUP(A:A,'Raw Revenue'!G:G,'Raw Revenue'!H:H,0)</f>
        <v>0</v>
      </c>
      <c r="Z173" s="11">
        <f t="array" ref="Z173">XLOOKUP(A:A,'Raw Revenue'!I:I,'Raw Revenue'!J:J,0)</f>
        <v>0</v>
      </c>
      <c r="AA173" s="11">
        <f t="array" ref="AA173">XLOOKUP(A:A,'Raw Revenue'!K:K,'Raw Revenue'!L:L,0)</f>
        <v>0</v>
      </c>
      <c r="AB173" s="11">
        <f t="array" ref="AB173">XLOOKUP(A:A,'Raw Revenue'!M:M,'Raw Revenue'!N:N,0)</f>
        <v>0</v>
      </c>
      <c r="AC173" s="3">
        <v>0.0</v>
      </c>
      <c r="AD173" s="3">
        <v>0.0</v>
      </c>
      <c r="AE173" s="3">
        <v>0.0</v>
      </c>
      <c r="AF173" s="3">
        <v>0.0</v>
      </c>
      <c r="AG173" s="3">
        <v>0.0</v>
      </c>
    </row>
    <row r="174">
      <c r="A174" s="3" t="s">
        <v>655</v>
      </c>
      <c r="B174" s="3" t="s">
        <v>656</v>
      </c>
      <c r="C174" s="3" t="str">
        <f t="shared" si="1"/>
        <v>PT. Abadi Selamanya Jaya</v>
      </c>
      <c r="D174" s="3" t="s">
        <v>195</v>
      </c>
      <c r="E174" s="3" t="s">
        <v>104</v>
      </c>
      <c r="F174" s="3" t="s">
        <v>105</v>
      </c>
      <c r="G174" s="3" t="s">
        <v>53</v>
      </c>
      <c r="H174" s="3" t="str">
        <f t="array" ref="H174">XLOOKUP(G:G,'Account Manager Data'!A:A,'Account Manager Data'!B:B,0)</f>
        <v>Fajar Ramadhan</v>
      </c>
      <c r="I174" s="11" t="str">
        <f t="array" ref="I174">XLOOKUP($G:$G,'Account Manager Data'!$A:$A,'Account Manager Data'!C:C)</f>
        <v>Sulawesi</v>
      </c>
      <c r="J174" s="17">
        <v>4050320.0</v>
      </c>
      <c r="K174" s="17">
        <v>1520473.0</v>
      </c>
      <c r="L174" s="17">
        <v>8003902.0</v>
      </c>
      <c r="M174" s="17">
        <v>0.0</v>
      </c>
      <c r="N174" s="17">
        <v>6541824.0</v>
      </c>
      <c r="O174" s="17">
        <v>4192304.0</v>
      </c>
      <c r="P174" s="17">
        <v>1947500.0</v>
      </c>
      <c r="Q174" s="17">
        <v>1.5423651E7</v>
      </c>
      <c r="R174" s="17">
        <v>1.4519984E7</v>
      </c>
      <c r="S174" s="17">
        <v>1.266588E7</v>
      </c>
      <c r="T174" s="17">
        <v>6260360.0</v>
      </c>
      <c r="U174" s="17">
        <v>1.0622857E7</v>
      </c>
      <c r="V174" s="11">
        <f t="array" ref="V174">XLOOKUP(A:A,'Raw Revenue'!A:A,'Raw Revenue'!B:B,0)
</f>
        <v>0</v>
      </c>
      <c r="W174" s="11">
        <f t="array" ref="W174">XLOOKUP(A:A,'Raw Revenue'!C:C,'Raw Revenue'!D:D,0)</f>
        <v>0</v>
      </c>
      <c r="X174" s="11">
        <f t="array" ref="X174">XLOOKUP(A:A,'Raw Revenue'!E:E,'Raw Revenue'!F:F,0)</f>
        <v>0</v>
      </c>
      <c r="Y174" s="11">
        <f t="array" ref="Y174">XLOOKUP(A:A,'Raw Revenue'!G:G,'Raw Revenue'!H:H,0)</f>
        <v>0</v>
      </c>
      <c r="Z174" s="11">
        <f t="array" ref="Z174">XLOOKUP(A:A,'Raw Revenue'!I:I,'Raw Revenue'!J:J,0)</f>
        <v>0</v>
      </c>
      <c r="AA174" s="11">
        <f t="array" ref="AA174">XLOOKUP(A:A,'Raw Revenue'!K:K,'Raw Revenue'!L:L,0)</f>
        <v>0</v>
      </c>
      <c r="AB174" s="11">
        <f t="array" ref="AB174">XLOOKUP(A:A,'Raw Revenue'!M:M,'Raw Revenue'!N:N,0)</f>
        <v>0</v>
      </c>
      <c r="AC174" s="3">
        <v>0.0</v>
      </c>
      <c r="AD174" s="3">
        <v>0.0</v>
      </c>
      <c r="AE174" s="3">
        <v>0.0</v>
      </c>
      <c r="AF174" s="3">
        <v>0.0</v>
      </c>
      <c r="AG174" s="3">
        <v>0.0</v>
      </c>
    </row>
    <row r="175">
      <c r="A175" s="3" t="s">
        <v>657</v>
      </c>
      <c r="B175" s="3" t="s">
        <v>658</v>
      </c>
      <c r="C175" s="3" t="str">
        <f t="shared" si="1"/>
        <v>PT. Mandiri Sejahtera Bersama</v>
      </c>
      <c r="D175" s="3" t="s">
        <v>214</v>
      </c>
      <c r="E175" s="3" t="s">
        <v>85</v>
      </c>
      <c r="F175" s="3" t="s">
        <v>248</v>
      </c>
      <c r="G175" s="3" t="s">
        <v>27</v>
      </c>
      <c r="H175" s="3" t="str">
        <f t="array" ref="H175">XLOOKUP(G:G,'Account Manager Data'!A:A,'Account Manager Data'!B:B,0)</f>
        <v>Dedi Kurniawan</v>
      </c>
      <c r="I175" s="11" t="str">
        <f t="array" ref="I175">XLOOKUP($G:$G,'Account Manager Data'!$A:$A,'Account Manager Data'!C:C)</f>
        <v>Kalimantan</v>
      </c>
      <c r="J175" s="17">
        <v>4012572.0</v>
      </c>
      <c r="K175" s="17">
        <v>7251586.0</v>
      </c>
      <c r="L175" s="17">
        <v>9712666.0</v>
      </c>
      <c r="M175" s="17">
        <v>8419427.0</v>
      </c>
      <c r="N175" s="17">
        <v>2442312.0</v>
      </c>
      <c r="O175" s="17">
        <v>3295568.0</v>
      </c>
      <c r="P175" s="17">
        <v>4385658.0</v>
      </c>
      <c r="Q175" s="17">
        <v>1.5113483E7</v>
      </c>
      <c r="R175" s="17">
        <v>1.5814175E7</v>
      </c>
      <c r="S175" s="17">
        <v>1.3579196E7</v>
      </c>
      <c r="T175" s="17">
        <v>1.7224493E7</v>
      </c>
      <c r="U175" s="17">
        <v>1.8073546E7</v>
      </c>
      <c r="V175" s="11">
        <f t="array" ref="V175">XLOOKUP(A:A,'Raw Revenue'!A:A,'Raw Revenue'!B:B,0)
</f>
        <v>0</v>
      </c>
      <c r="W175" s="11">
        <f t="array" ref="W175">XLOOKUP(A:A,'Raw Revenue'!C:C,'Raw Revenue'!D:D,0)</f>
        <v>0</v>
      </c>
      <c r="X175" s="11">
        <f t="array" ref="X175">XLOOKUP(A:A,'Raw Revenue'!E:E,'Raw Revenue'!F:F,0)</f>
        <v>0</v>
      </c>
      <c r="Y175" s="11">
        <f t="array" ref="Y175">XLOOKUP(A:A,'Raw Revenue'!G:G,'Raw Revenue'!H:H,0)</f>
        <v>0</v>
      </c>
      <c r="Z175" s="11">
        <f t="array" ref="Z175">XLOOKUP(A:A,'Raw Revenue'!I:I,'Raw Revenue'!J:J,0)</f>
        <v>0</v>
      </c>
      <c r="AA175" s="11">
        <f t="array" ref="AA175">XLOOKUP(A:A,'Raw Revenue'!K:K,'Raw Revenue'!L:L,0)</f>
        <v>0</v>
      </c>
      <c r="AB175" s="11">
        <f t="array" ref="AB175">XLOOKUP(A:A,'Raw Revenue'!M:M,'Raw Revenue'!N:N,0)</f>
        <v>0</v>
      </c>
      <c r="AC175" s="3">
        <v>0.0</v>
      </c>
      <c r="AD175" s="3">
        <v>0.0</v>
      </c>
      <c r="AE175" s="3">
        <v>0.0</v>
      </c>
      <c r="AF175" s="3">
        <v>0.0</v>
      </c>
      <c r="AG175" s="3">
        <v>0.0</v>
      </c>
    </row>
    <row r="176">
      <c r="A176" s="3" t="s">
        <v>659</v>
      </c>
      <c r="B176" s="3" t="s">
        <v>660</v>
      </c>
      <c r="C176" s="3" t="str">
        <f t="shared" si="1"/>
        <v>PT. Sejahtera Alam Indonesia</v>
      </c>
      <c r="D176" s="3" t="s">
        <v>84</v>
      </c>
      <c r="E176" s="3" t="s">
        <v>187</v>
      </c>
      <c r="F176" s="3" t="s">
        <v>269</v>
      </c>
      <c r="G176" s="3" t="s">
        <v>78</v>
      </c>
      <c r="H176" s="3" t="str">
        <f t="array" ref="H176">XLOOKUP(G:G,'Account Manager Data'!A:A,'Account Manager Data'!B:B,0)</f>
        <v>Ilham Saputra</v>
      </c>
      <c r="I176" s="11" t="str">
        <f t="array" ref="I176">XLOOKUP($G:$G,'Account Manager Data'!$A:$A,'Account Manager Data'!C:C)</f>
        <v>Jawa</v>
      </c>
      <c r="J176" s="17">
        <v>2305691.0</v>
      </c>
      <c r="K176" s="17">
        <v>4666790.0</v>
      </c>
      <c r="L176" s="17">
        <v>7216892.0</v>
      </c>
      <c r="M176" s="17">
        <v>8424531.0</v>
      </c>
      <c r="N176" s="17">
        <v>6164211.0</v>
      </c>
      <c r="O176" s="17">
        <v>4393243.0</v>
      </c>
      <c r="P176" s="17">
        <v>1.1127784E7</v>
      </c>
      <c r="Q176" s="17">
        <v>1.053529E7</v>
      </c>
      <c r="R176" s="17">
        <v>394444.0</v>
      </c>
      <c r="S176" s="17">
        <v>1.0486629E7</v>
      </c>
      <c r="T176" s="17">
        <v>8274291.0</v>
      </c>
      <c r="U176" s="17">
        <v>4261178.0</v>
      </c>
      <c r="V176" s="11">
        <f t="array" ref="V176">XLOOKUP(A:A,'Raw Revenue'!A:A,'Raw Revenue'!B:B,0)
</f>
        <v>0</v>
      </c>
      <c r="W176" s="11">
        <f t="array" ref="W176">XLOOKUP(A:A,'Raw Revenue'!C:C,'Raw Revenue'!D:D,0)</f>
        <v>0</v>
      </c>
      <c r="X176" s="11">
        <f t="array" ref="X176">XLOOKUP(A:A,'Raw Revenue'!E:E,'Raw Revenue'!F:F,0)</f>
        <v>0</v>
      </c>
      <c r="Y176" s="11">
        <f t="array" ref="Y176">XLOOKUP(A:A,'Raw Revenue'!G:G,'Raw Revenue'!H:H,0)</f>
        <v>0</v>
      </c>
      <c r="Z176" s="11">
        <f t="array" ref="Z176">XLOOKUP(A:A,'Raw Revenue'!I:I,'Raw Revenue'!J:J,0)</f>
        <v>0</v>
      </c>
      <c r="AA176" s="11">
        <f t="array" ref="AA176">XLOOKUP(A:A,'Raw Revenue'!K:K,'Raw Revenue'!L:L,0)</f>
        <v>0</v>
      </c>
      <c r="AB176" s="11">
        <f t="array" ref="AB176">XLOOKUP(A:A,'Raw Revenue'!M:M,'Raw Revenue'!N:N,0)</f>
        <v>0</v>
      </c>
      <c r="AC176" s="3">
        <v>0.0</v>
      </c>
      <c r="AD176" s="3">
        <v>0.0</v>
      </c>
      <c r="AE176" s="3">
        <v>0.0</v>
      </c>
      <c r="AF176" s="3">
        <v>0.0</v>
      </c>
      <c r="AG176" s="3">
        <v>0.0</v>
      </c>
    </row>
    <row r="177">
      <c r="A177" s="3" t="s">
        <v>661</v>
      </c>
      <c r="B177" s="3" t="s">
        <v>662</v>
      </c>
      <c r="C177" s="3" t="str">
        <f t="shared" si="1"/>
        <v>PT. Indah Kargo Logistik</v>
      </c>
      <c r="D177" s="3" t="s">
        <v>195</v>
      </c>
      <c r="E177" s="3" t="s">
        <v>215</v>
      </c>
      <c r="F177" s="3" t="s">
        <v>300</v>
      </c>
      <c r="G177" s="3" t="s">
        <v>63</v>
      </c>
      <c r="H177" s="3" t="str">
        <f t="array" ref="H177">XLOOKUP(G:G,'Account Manager Data'!A:A,'Account Manager Data'!B:B,0)</f>
        <v>Hendra Gunawan</v>
      </c>
      <c r="I177" s="11" t="str">
        <f t="array" ref="I177">XLOOKUP($G:$G,'Account Manager Data'!$A:$A,'Account Manager Data'!C:C)</f>
        <v>Kalimantan</v>
      </c>
      <c r="J177" s="17">
        <v>6843372.0</v>
      </c>
      <c r="K177" s="17">
        <v>5836192.0</v>
      </c>
      <c r="L177" s="17">
        <v>6660671.0</v>
      </c>
      <c r="M177" s="17">
        <v>3269663.0</v>
      </c>
      <c r="N177" s="17">
        <v>1155819.0</v>
      </c>
      <c r="O177" s="17">
        <v>3656588.0</v>
      </c>
      <c r="P177" s="17">
        <v>1.0463248E7</v>
      </c>
      <c r="Q177" s="17">
        <v>3474691.0</v>
      </c>
      <c r="R177" s="17">
        <v>1.2500177E7</v>
      </c>
      <c r="S177" s="17">
        <v>1.5202807E7</v>
      </c>
      <c r="T177" s="17">
        <v>1.8249761E7</v>
      </c>
      <c r="U177" s="17">
        <v>2465102.0</v>
      </c>
      <c r="V177" s="11">
        <f t="array" ref="V177">XLOOKUP(A:A,'Raw Revenue'!A:A,'Raw Revenue'!B:B,0)
</f>
        <v>0</v>
      </c>
      <c r="W177" s="11">
        <f t="array" ref="W177">XLOOKUP(A:A,'Raw Revenue'!C:C,'Raw Revenue'!D:D,0)</f>
        <v>0</v>
      </c>
      <c r="X177" s="11">
        <f t="array" ref="X177">XLOOKUP(A:A,'Raw Revenue'!E:E,'Raw Revenue'!F:F,0)</f>
        <v>0</v>
      </c>
      <c r="Y177" s="11">
        <f t="array" ref="Y177">XLOOKUP(A:A,'Raw Revenue'!G:G,'Raw Revenue'!H:H,0)</f>
        <v>0</v>
      </c>
      <c r="Z177" s="11">
        <f t="array" ref="Z177">XLOOKUP(A:A,'Raw Revenue'!I:I,'Raw Revenue'!J:J,0)</f>
        <v>0</v>
      </c>
      <c r="AA177" s="11">
        <f t="array" ref="AA177">XLOOKUP(A:A,'Raw Revenue'!K:K,'Raw Revenue'!L:L,0)</f>
        <v>0</v>
      </c>
      <c r="AB177" s="11">
        <f t="array" ref="AB177">XLOOKUP(A:A,'Raw Revenue'!M:M,'Raw Revenue'!N:N,0)</f>
        <v>0</v>
      </c>
      <c r="AC177" s="3">
        <v>0.0</v>
      </c>
      <c r="AD177" s="3">
        <v>0.0</v>
      </c>
      <c r="AE177" s="3">
        <v>0.0</v>
      </c>
      <c r="AF177" s="3">
        <v>0.0</v>
      </c>
      <c r="AG177" s="3">
        <v>0.0</v>
      </c>
    </row>
    <row r="178">
      <c r="A178" s="3" t="s">
        <v>663</v>
      </c>
      <c r="B178" s="3" t="s">
        <v>664</v>
      </c>
      <c r="C178" s="3" t="str">
        <f t="shared" si="1"/>
        <v>PT. Berkah Alam Semesta</v>
      </c>
      <c r="D178" s="3" t="s">
        <v>214</v>
      </c>
      <c r="E178" s="3" t="s">
        <v>85</v>
      </c>
      <c r="F178" s="3" t="s">
        <v>86</v>
      </c>
      <c r="G178" s="3" t="s">
        <v>35</v>
      </c>
      <c r="H178" s="3" t="str">
        <f t="array" ref="H178">XLOOKUP(G:G,'Account Manager Data'!A:A,'Account Manager Data'!B:B,0)</f>
        <v>Ahmad Fauzi</v>
      </c>
      <c r="I178" s="11" t="str">
        <f t="array" ref="I178">XLOOKUP($G:$G,'Account Manager Data'!$A:$A,'Account Manager Data'!C:C)</f>
        <v>Sumatera</v>
      </c>
      <c r="J178" s="17">
        <v>7564336.0</v>
      </c>
      <c r="K178" s="17">
        <v>4203059.0</v>
      </c>
      <c r="L178" s="17">
        <v>2463278.0</v>
      </c>
      <c r="M178" s="17">
        <v>2020783.0</v>
      </c>
      <c r="N178" s="17">
        <v>0.0</v>
      </c>
      <c r="O178" s="17">
        <v>0.0</v>
      </c>
      <c r="P178" s="17">
        <v>3582967.0</v>
      </c>
      <c r="Q178" s="17">
        <v>1.2634222E7</v>
      </c>
      <c r="R178" s="17">
        <v>1.5601679E7</v>
      </c>
      <c r="S178" s="17">
        <v>5667941.0</v>
      </c>
      <c r="T178" s="17">
        <v>7407728.0</v>
      </c>
      <c r="U178" s="17">
        <v>1.5822155E7</v>
      </c>
      <c r="V178" s="11">
        <f t="array" ref="V178">XLOOKUP(A:A,'Raw Revenue'!A:A,'Raw Revenue'!B:B,0)
</f>
        <v>0</v>
      </c>
      <c r="W178" s="11">
        <f t="array" ref="W178">XLOOKUP(A:A,'Raw Revenue'!C:C,'Raw Revenue'!D:D,0)</f>
        <v>0</v>
      </c>
      <c r="X178" s="11">
        <f t="array" ref="X178">XLOOKUP(A:A,'Raw Revenue'!E:E,'Raw Revenue'!F:F,0)</f>
        <v>0</v>
      </c>
      <c r="Y178" s="11">
        <f t="array" ref="Y178">XLOOKUP(A:A,'Raw Revenue'!G:G,'Raw Revenue'!H:H,0)</f>
        <v>0</v>
      </c>
      <c r="Z178" s="11">
        <f t="array" ref="Z178">XLOOKUP(A:A,'Raw Revenue'!I:I,'Raw Revenue'!J:J,0)</f>
        <v>0</v>
      </c>
      <c r="AA178" s="11">
        <f t="array" ref="AA178">XLOOKUP(A:A,'Raw Revenue'!K:K,'Raw Revenue'!L:L,0)</f>
        <v>0</v>
      </c>
      <c r="AB178" s="11">
        <f t="array" ref="AB178">XLOOKUP(A:A,'Raw Revenue'!M:M,'Raw Revenue'!N:N,0)</f>
        <v>0</v>
      </c>
      <c r="AC178" s="3">
        <v>0.0</v>
      </c>
      <c r="AD178" s="3">
        <v>0.0</v>
      </c>
      <c r="AE178" s="3">
        <v>0.0</v>
      </c>
      <c r="AF178" s="3">
        <v>0.0</v>
      </c>
      <c r="AG178" s="3">
        <v>0.0</v>
      </c>
    </row>
    <row r="179">
      <c r="A179" s="3" t="s">
        <v>665</v>
      </c>
      <c r="B179" s="3" t="s">
        <v>666</v>
      </c>
      <c r="C179" s="3" t="str">
        <f t="shared" si="1"/>
        <v>PT. Cahaya Baru Indonesia</v>
      </c>
      <c r="D179" s="3" t="s">
        <v>130</v>
      </c>
      <c r="E179" s="3" t="s">
        <v>215</v>
      </c>
      <c r="F179" s="3" t="s">
        <v>300</v>
      </c>
      <c r="G179" s="3" t="s">
        <v>43</v>
      </c>
      <c r="H179" s="3" t="str">
        <f t="array" ref="H179">XLOOKUP(G:G,'Account Manager Data'!A:A,'Account Manager Data'!B:B,0)</f>
        <v>Eko Prasetyo</v>
      </c>
      <c r="I179" s="11" t="str">
        <f t="array" ref="I179">XLOOKUP($G:$G,'Account Manager Data'!$A:$A,'Account Manager Data'!C:C)</f>
        <v>Papua</v>
      </c>
      <c r="J179" s="17">
        <v>6648361.0</v>
      </c>
      <c r="K179" s="17">
        <v>4766893.0</v>
      </c>
      <c r="L179" s="17">
        <v>5803668.0</v>
      </c>
      <c r="M179" s="17">
        <v>7629963.0</v>
      </c>
      <c r="N179" s="17">
        <v>1.1888706E7</v>
      </c>
      <c r="O179" s="17">
        <v>768396.0</v>
      </c>
      <c r="P179" s="17">
        <v>8374292.0</v>
      </c>
      <c r="Q179" s="17">
        <v>1868405.0</v>
      </c>
      <c r="R179" s="17">
        <v>4675929.0</v>
      </c>
      <c r="S179" s="17">
        <v>1.6034886E7</v>
      </c>
      <c r="T179" s="17">
        <v>8893158.0</v>
      </c>
      <c r="U179" s="17">
        <v>1.7106614E7</v>
      </c>
      <c r="V179" s="11">
        <f t="array" ref="V179">XLOOKUP(A:A,'Raw Revenue'!A:A,'Raw Revenue'!B:B,0)
</f>
        <v>0</v>
      </c>
      <c r="W179" s="11">
        <f t="array" ref="W179">XLOOKUP(A:A,'Raw Revenue'!C:C,'Raw Revenue'!D:D,0)</f>
        <v>0</v>
      </c>
      <c r="X179" s="11">
        <f t="array" ref="X179">XLOOKUP(A:A,'Raw Revenue'!E:E,'Raw Revenue'!F:F,0)</f>
        <v>0</v>
      </c>
      <c r="Y179" s="11">
        <f t="array" ref="Y179">XLOOKUP(A:A,'Raw Revenue'!G:G,'Raw Revenue'!H:H,0)</f>
        <v>0</v>
      </c>
      <c r="Z179" s="11">
        <f t="array" ref="Z179">XLOOKUP(A:A,'Raw Revenue'!I:I,'Raw Revenue'!J:J,0)</f>
        <v>0</v>
      </c>
      <c r="AA179" s="11">
        <f t="array" ref="AA179">XLOOKUP(A:A,'Raw Revenue'!K:K,'Raw Revenue'!L:L,0)</f>
        <v>0</v>
      </c>
      <c r="AB179" s="11">
        <f t="array" ref="AB179">XLOOKUP(A:A,'Raw Revenue'!M:M,'Raw Revenue'!N:N,0)</f>
        <v>0</v>
      </c>
      <c r="AC179" s="3">
        <v>0.0</v>
      </c>
      <c r="AD179" s="3">
        <v>0.0</v>
      </c>
      <c r="AE179" s="3">
        <v>0.0</v>
      </c>
      <c r="AF179" s="3">
        <v>0.0</v>
      </c>
      <c r="AG179" s="3">
        <v>0.0</v>
      </c>
    </row>
    <row r="180">
      <c r="A180" s="3" t="s">
        <v>667</v>
      </c>
      <c r="B180" s="3" t="s">
        <v>668</v>
      </c>
      <c r="C180" s="3" t="str">
        <f t="shared" si="1"/>
        <v>PT. Mentari Pagi Sejahtera</v>
      </c>
      <c r="D180" s="3" t="s">
        <v>84</v>
      </c>
      <c r="E180" s="3" t="s">
        <v>196</v>
      </c>
      <c r="F180" s="3" t="s">
        <v>315</v>
      </c>
      <c r="G180" s="3" t="s">
        <v>74</v>
      </c>
      <c r="H180" s="3" t="str">
        <f t="array" ref="H180">XLOOKUP(G:G,'Account Manager Data'!A:A,'Account Manager Data'!B:B,0)</f>
        <v>Budi Santoso</v>
      </c>
      <c r="I180" s="11" t="str">
        <f t="array" ref="I180">XLOOKUP($G:$G,'Account Manager Data'!$A:$A,'Account Manager Data'!C:C)</f>
        <v>Papua</v>
      </c>
      <c r="J180" s="17">
        <v>4440338.0</v>
      </c>
      <c r="K180" s="17">
        <v>9118779.0</v>
      </c>
      <c r="L180" s="17">
        <v>2981219.0</v>
      </c>
      <c r="M180" s="17">
        <v>7921825.0</v>
      </c>
      <c r="N180" s="17">
        <v>847961.0</v>
      </c>
      <c r="O180" s="17">
        <v>3961098.0</v>
      </c>
      <c r="P180" s="17">
        <v>4682715.0</v>
      </c>
      <c r="Q180" s="17">
        <v>1.5366228E7</v>
      </c>
      <c r="R180" s="17">
        <v>1351389.0</v>
      </c>
      <c r="S180" s="17">
        <v>0.0</v>
      </c>
      <c r="T180" s="17">
        <v>1712319.0</v>
      </c>
      <c r="U180" s="17">
        <v>1.3360196E7</v>
      </c>
      <c r="V180" s="11">
        <f t="array" ref="V180">XLOOKUP(A:A,'Raw Revenue'!A:A,'Raw Revenue'!B:B,0)
</f>
        <v>0</v>
      </c>
      <c r="W180" s="11">
        <f t="array" ref="W180">XLOOKUP(A:A,'Raw Revenue'!C:C,'Raw Revenue'!D:D,0)</f>
        <v>0</v>
      </c>
      <c r="X180" s="11">
        <f t="array" ref="X180">XLOOKUP(A:A,'Raw Revenue'!E:E,'Raw Revenue'!F:F,0)</f>
        <v>0</v>
      </c>
      <c r="Y180" s="11">
        <f t="array" ref="Y180">XLOOKUP(A:A,'Raw Revenue'!G:G,'Raw Revenue'!H:H,0)</f>
        <v>0</v>
      </c>
      <c r="Z180" s="11">
        <f t="array" ref="Z180">XLOOKUP(A:A,'Raw Revenue'!I:I,'Raw Revenue'!J:J,0)</f>
        <v>0</v>
      </c>
      <c r="AA180" s="11">
        <f t="array" ref="AA180">XLOOKUP(A:A,'Raw Revenue'!K:K,'Raw Revenue'!L:L,0)</f>
        <v>0</v>
      </c>
      <c r="AB180" s="11">
        <f t="array" ref="AB180">XLOOKUP(A:A,'Raw Revenue'!M:M,'Raw Revenue'!N:N,0)</f>
        <v>0</v>
      </c>
      <c r="AC180" s="3">
        <v>0.0</v>
      </c>
      <c r="AD180" s="3">
        <v>0.0</v>
      </c>
      <c r="AE180" s="3">
        <v>0.0</v>
      </c>
      <c r="AF180" s="3">
        <v>0.0</v>
      </c>
      <c r="AG180" s="3">
        <v>0.0</v>
      </c>
    </row>
    <row r="181">
      <c r="A181" s="3" t="s">
        <v>669</v>
      </c>
      <c r="B181" s="3" t="s">
        <v>670</v>
      </c>
      <c r="C181" s="3" t="str">
        <f t="shared" si="1"/>
        <v>PT. Bintang Kejora Nusantara</v>
      </c>
      <c r="D181" s="3" t="s">
        <v>130</v>
      </c>
      <c r="E181" s="3" t="s">
        <v>215</v>
      </c>
      <c r="F181" s="3" t="s">
        <v>227</v>
      </c>
      <c r="G181" s="3" t="s">
        <v>76</v>
      </c>
      <c r="H181" s="3" t="str">
        <f t="array" ref="H181">XLOOKUP(G:G,'Account Manager Data'!A:A,'Account Manager Data'!B:B,0)</f>
        <v>Teguh Wijaya</v>
      </c>
      <c r="I181" s="11" t="str">
        <f t="array" ref="I181">XLOOKUP($G:$G,'Account Manager Data'!$A:$A,'Account Manager Data'!C:C)</f>
        <v>Sulawesi</v>
      </c>
      <c r="J181" s="17">
        <v>884216.0</v>
      </c>
      <c r="K181" s="17">
        <v>3876395.0</v>
      </c>
      <c r="L181" s="17">
        <v>5461978.0</v>
      </c>
      <c r="M181" s="17">
        <v>4450710.0</v>
      </c>
      <c r="N181" s="17">
        <v>2192892.0</v>
      </c>
      <c r="O181" s="17">
        <v>1.3318483E7</v>
      </c>
      <c r="P181" s="17">
        <v>0.0</v>
      </c>
      <c r="Q181" s="17">
        <v>4791586.0</v>
      </c>
      <c r="R181" s="17">
        <v>0.0</v>
      </c>
      <c r="S181" s="17">
        <v>1.5713473E7</v>
      </c>
      <c r="T181" s="17">
        <v>7976832.0</v>
      </c>
      <c r="U181" s="17">
        <v>919894.0</v>
      </c>
      <c r="V181" s="11">
        <f t="array" ref="V181">XLOOKUP(A:A,'Raw Revenue'!A:A,'Raw Revenue'!B:B,0)
</f>
        <v>0</v>
      </c>
      <c r="W181" s="11">
        <f t="array" ref="W181">XLOOKUP(A:A,'Raw Revenue'!C:C,'Raw Revenue'!D:D,0)</f>
        <v>0</v>
      </c>
      <c r="X181" s="11">
        <f t="array" ref="X181">XLOOKUP(A:A,'Raw Revenue'!E:E,'Raw Revenue'!F:F,0)</f>
        <v>0</v>
      </c>
      <c r="Y181" s="11">
        <f t="array" ref="Y181">XLOOKUP(A:A,'Raw Revenue'!G:G,'Raw Revenue'!H:H,0)</f>
        <v>0</v>
      </c>
      <c r="Z181" s="11">
        <f t="array" ref="Z181">XLOOKUP(A:A,'Raw Revenue'!I:I,'Raw Revenue'!J:J,0)</f>
        <v>0</v>
      </c>
      <c r="AA181" s="11">
        <f t="array" ref="AA181">XLOOKUP(A:A,'Raw Revenue'!K:K,'Raw Revenue'!L:L,0)</f>
        <v>0</v>
      </c>
      <c r="AB181" s="11">
        <f t="array" ref="AB181">XLOOKUP(A:A,'Raw Revenue'!M:M,'Raw Revenue'!N:N,0)</f>
        <v>0</v>
      </c>
      <c r="AC181" s="3">
        <v>0.0</v>
      </c>
      <c r="AD181" s="3">
        <v>0.0</v>
      </c>
      <c r="AE181" s="3">
        <v>0.0</v>
      </c>
      <c r="AF181" s="3">
        <v>0.0</v>
      </c>
      <c r="AG181" s="3">
        <v>0.0</v>
      </c>
    </row>
    <row r="182">
      <c r="A182" s="3" t="s">
        <v>671</v>
      </c>
      <c r="B182" s="3" t="s">
        <v>672</v>
      </c>
      <c r="C182" s="3" t="str">
        <f t="shared" si="1"/>
        <v>PT. Maju Jaya</v>
      </c>
      <c r="D182" s="3" t="s">
        <v>195</v>
      </c>
      <c r="E182" s="3" t="s">
        <v>187</v>
      </c>
      <c r="F182" s="3" t="s">
        <v>295</v>
      </c>
      <c r="G182" s="3" t="s">
        <v>70</v>
      </c>
      <c r="H182" s="3" t="str">
        <f t="array" ref="H182">XLOOKUP(G:G,'Account Manager Data'!A:A,'Account Manager Data'!B:B,0)</f>
        <v>Yusuf Hidayat</v>
      </c>
      <c r="I182" s="11" t="str">
        <f t="array" ref="I182">XLOOKUP($G:$G,'Account Manager Data'!$A:$A,'Account Manager Data'!C:C)</f>
        <v>Sumatera</v>
      </c>
      <c r="J182" s="17">
        <v>5901705.0</v>
      </c>
      <c r="K182" s="17">
        <v>2321270.0</v>
      </c>
      <c r="L182" s="17">
        <v>6352086.0</v>
      </c>
      <c r="M182" s="17">
        <v>3768786.0</v>
      </c>
      <c r="N182" s="17">
        <v>1.2981242E7</v>
      </c>
      <c r="O182" s="17">
        <v>6652160.0</v>
      </c>
      <c r="P182" s="17">
        <v>653515.0</v>
      </c>
      <c r="Q182" s="17">
        <v>7528073.0</v>
      </c>
      <c r="R182" s="17">
        <v>0.0</v>
      </c>
      <c r="S182" s="17">
        <v>1.3849627E7</v>
      </c>
      <c r="T182" s="17">
        <v>319528.0</v>
      </c>
      <c r="U182" s="17">
        <v>6067503.0</v>
      </c>
      <c r="V182" s="11">
        <f t="array" ref="V182">XLOOKUP(A:A,'Raw Revenue'!A:A,'Raw Revenue'!B:B,0)
</f>
        <v>0</v>
      </c>
      <c r="W182" s="11">
        <f t="array" ref="W182">XLOOKUP(A:A,'Raw Revenue'!C:C,'Raw Revenue'!D:D,0)</f>
        <v>0</v>
      </c>
      <c r="X182" s="11">
        <f t="array" ref="X182">XLOOKUP(A:A,'Raw Revenue'!E:E,'Raw Revenue'!F:F,0)</f>
        <v>0</v>
      </c>
      <c r="Y182" s="11">
        <f t="array" ref="Y182">XLOOKUP(A:A,'Raw Revenue'!G:G,'Raw Revenue'!H:H,0)</f>
        <v>0</v>
      </c>
      <c r="Z182" s="11">
        <f t="array" ref="Z182">XLOOKUP(A:A,'Raw Revenue'!I:I,'Raw Revenue'!J:J,0)</f>
        <v>0</v>
      </c>
      <c r="AA182" s="11">
        <f t="array" ref="AA182">XLOOKUP(A:A,'Raw Revenue'!K:K,'Raw Revenue'!L:L,0)</f>
        <v>0</v>
      </c>
      <c r="AB182" s="11">
        <f t="array" ref="AB182">XLOOKUP(A:A,'Raw Revenue'!M:M,'Raw Revenue'!N:N,0)</f>
        <v>0</v>
      </c>
      <c r="AC182" s="3">
        <v>0.0</v>
      </c>
      <c r="AD182" s="3">
        <v>0.0</v>
      </c>
      <c r="AE182" s="3">
        <v>0.0</v>
      </c>
      <c r="AF182" s="3">
        <v>0.0</v>
      </c>
      <c r="AG182" s="3">
        <v>0.0</v>
      </c>
    </row>
    <row r="183">
      <c r="A183" s="3" t="s">
        <v>673</v>
      </c>
      <c r="B183" s="3" t="s">
        <v>674</v>
      </c>
      <c r="C183" s="3" t="str">
        <f t="shared" si="1"/>
        <v>CV. Sumber Makmur</v>
      </c>
      <c r="D183" s="3" t="s">
        <v>84</v>
      </c>
      <c r="E183" s="3" t="s">
        <v>215</v>
      </c>
      <c r="F183" s="3" t="s">
        <v>216</v>
      </c>
      <c r="G183" s="3" t="s">
        <v>15</v>
      </c>
      <c r="H183" s="3" t="str">
        <f t="array" ref="H183">XLOOKUP(G:G,'Account Manager Data'!A:A,'Account Manager Data'!B:B,0)</f>
        <v>Rizky Maulana</v>
      </c>
      <c r="I183" s="11" t="str">
        <f t="array" ref="I183">XLOOKUP($G:$G,'Account Manager Data'!$A:$A,'Account Manager Data'!C:C)</f>
        <v>Jawa</v>
      </c>
      <c r="J183" s="17">
        <v>5440976.0</v>
      </c>
      <c r="K183" s="17">
        <v>8150032.0</v>
      </c>
      <c r="L183" s="17">
        <v>6826935.0</v>
      </c>
      <c r="M183" s="17">
        <v>1.1315615E7</v>
      </c>
      <c r="N183" s="17">
        <v>1.1447171E7</v>
      </c>
      <c r="O183" s="17">
        <v>6897160.0</v>
      </c>
      <c r="P183" s="17">
        <v>1424119.0</v>
      </c>
      <c r="Q183" s="17">
        <v>1.6183054E7</v>
      </c>
      <c r="R183" s="17">
        <v>5538981.0</v>
      </c>
      <c r="S183" s="17">
        <v>0.0</v>
      </c>
      <c r="T183" s="17">
        <v>1.5709443E7</v>
      </c>
      <c r="U183" s="17">
        <v>1.4959828E7</v>
      </c>
      <c r="V183" s="11">
        <f t="array" ref="V183">XLOOKUP(A:A,'Raw Revenue'!A:A,'Raw Revenue'!B:B,0)
</f>
        <v>0</v>
      </c>
      <c r="W183" s="11">
        <f t="array" ref="W183">XLOOKUP(A:A,'Raw Revenue'!C:C,'Raw Revenue'!D:D,0)</f>
        <v>0</v>
      </c>
      <c r="X183" s="11">
        <f t="array" ref="X183">XLOOKUP(A:A,'Raw Revenue'!E:E,'Raw Revenue'!F:F,0)</f>
        <v>0</v>
      </c>
      <c r="Y183" s="11">
        <f t="array" ref="Y183">XLOOKUP(A:A,'Raw Revenue'!G:G,'Raw Revenue'!H:H,0)</f>
        <v>0</v>
      </c>
      <c r="Z183" s="11">
        <f t="array" ref="Z183">XLOOKUP(A:A,'Raw Revenue'!I:I,'Raw Revenue'!J:J,0)</f>
        <v>0</v>
      </c>
      <c r="AA183" s="11">
        <f t="array" ref="AA183">XLOOKUP(A:A,'Raw Revenue'!K:K,'Raw Revenue'!L:L,0)</f>
        <v>0</v>
      </c>
      <c r="AB183" s="11">
        <f t="array" ref="AB183">XLOOKUP(A:A,'Raw Revenue'!M:M,'Raw Revenue'!N:N,0)</f>
        <v>0</v>
      </c>
      <c r="AC183" s="3">
        <v>0.0</v>
      </c>
      <c r="AD183" s="3">
        <v>0.0</v>
      </c>
      <c r="AE183" s="3">
        <v>0.0</v>
      </c>
      <c r="AF183" s="3">
        <v>0.0</v>
      </c>
      <c r="AG183" s="3">
        <v>0.0</v>
      </c>
    </row>
    <row r="184">
      <c r="A184" s="3" t="s">
        <v>182</v>
      </c>
      <c r="B184" s="3" t="s">
        <v>675</v>
      </c>
      <c r="C184" s="3" t="str">
        <f t="shared" si="1"/>
        <v>PT. Teknologi Nusantara</v>
      </c>
      <c r="D184" s="3" t="s">
        <v>103</v>
      </c>
      <c r="E184" s="3" t="s">
        <v>196</v>
      </c>
      <c r="F184" s="3" t="s">
        <v>315</v>
      </c>
      <c r="G184" s="3" t="s">
        <v>27</v>
      </c>
      <c r="H184" s="3" t="str">
        <f t="array" ref="H184">XLOOKUP(G:G,'Account Manager Data'!A:A,'Account Manager Data'!B:B,0)</f>
        <v>Dedi Kurniawan</v>
      </c>
      <c r="I184" s="11" t="str">
        <f t="array" ref="I184">XLOOKUP($G:$G,'Account Manager Data'!$A:$A,'Account Manager Data'!C:C)</f>
        <v>Kalimantan</v>
      </c>
      <c r="J184" s="17">
        <v>0.0</v>
      </c>
      <c r="K184" s="17">
        <v>323785.0</v>
      </c>
      <c r="L184" s="17">
        <v>7562611.0</v>
      </c>
      <c r="M184" s="17">
        <v>5795368.0</v>
      </c>
      <c r="N184" s="17">
        <v>2337591.0</v>
      </c>
      <c r="O184" s="17">
        <v>3709478.0</v>
      </c>
      <c r="P184" s="17">
        <v>1.3855559E7</v>
      </c>
      <c r="Q184" s="17">
        <v>9864774.0</v>
      </c>
      <c r="R184" s="17">
        <v>1.0474718E7</v>
      </c>
      <c r="S184" s="17">
        <v>1.6306245E7</v>
      </c>
      <c r="T184" s="17">
        <v>1.2465272E7</v>
      </c>
      <c r="U184" s="17">
        <v>3129109.0</v>
      </c>
      <c r="V184" s="11">
        <f t="array" ref="V184">XLOOKUP(A:A,'Raw Revenue'!A:A,'Raw Revenue'!B:B,0)
</f>
        <v>1392401.856</v>
      </c>
      <c r="W184" s="11">
        <f t="array" ref="W184">XLOOKUP(A:A,'Raw Revenue'!C:C,'Raw Revenue'!D:D,0)</f>
        <v>1392401.856</v>
      </c>
      <c r="X184" s="11">
        <f t="array" ref="X184">XLOOKUP(A:A,'Raw Revenue'!E:E,'Raw Revenue'!F:F,0)</f>
        <v>2784803.712</v>
      </c>
      <c r="Y184" s="11">
        <f t="array" ref="Y184">XLOOKUP(A:A,'Raw Revenue'!G:G,'Raw Revenue'!H:H,0)</f>
        <v>2274256.365</v>
      </c>
      <c r="Z184" s="11">
        <f t="array" ref="Z184">XLOOKUP(A:A,'Raw Revenue'!I:I,'Raw Revenue'!J:J,0)</f>
        <v>2042189.389</v>
      </c>
      <c r="AA184" s="11">
        <f t="array" ref="AA184">XLOOKUP(A:A,'Raw Revenue'!K:K,'Raw Revenue'!L:L,0)</f>
        <v>5221506.96</v>
      </c>
      <c r="AB184" s="11">
        <f t="array" ref="AB184">XLOOKUP(A:A,'Raw Revenue'!M:M,'Raw Revenue'!N:N,0)</f>
        <v>4803786.403</v>
      </c>
      <c r="AC184" s="3">
        <v>0.0</v>
      </c>
      <c r="AD184" s="3">
        <v>0.0</v>
      </c>
      <c r="AE184" s="3">
        <v>0.0</v>
      </c>
      <c r="AF184" s="3">
        <v>0.0</v>
      </c>
      <c r="AG184" s="3">
        <v>0.0</v>
      </c>
    </row>
    <row r="185">
      <c r="A185" s="3" t="s">
        <v>676</v>
      </c>
      <c r="B185" s="3" t="s">
        <v>677</v>
      </c>
      <c r="C185" s="3" t="str">
        <f t="shared" si="1"/>
        <v>PT. Bakti Indonesia</v>
      </c>
      <c r="D185" s="3" t="s">
        <v>84</v>
      </c>
      <c r="E185" s="3" t="s">
        <v>196</v>
      </c>
      <c r="F185" s="3" t="s">
        <v>260</v>
      </c>
      <c r="G185" s="3" t="s">
        <v>78</v>
      </c>
      <c r="H185" s="3" t="str">
        <f t="array" ref="H185">XLOOKUP(G:G,'Account Manager Data'!A:A,'Account Manager Data'!B:B,0)</f>
        <v>Ilham Saputra</v>
      </c>
      <c r="I185" s="11" t="str">
        <f t="array" ref="I185">XLOOKUP($G:$G,'Account Manager Data'!$A:$A,'Account Manager Data'!C:C)</f>
        <v>Jawa</v>
      </c>
      <c r="J185" s="17">
        <v>7703177.0</v>
      </c>
      <c r="K185" s="17">
        <v>5515126.0</v>
      </c>
      <c r="L185" s="17">
        <v>25228.0</v>
      </c>
      <c r="M185" s="17">
        <v>2113525.0</v>
      </c>
      <c r="N185" s="17">
        <v>5924490.0</v>
      </c>
      <c r="O185" s="17">
        <v>6145917.0</v>
      </c>
      <c r="P185" s="17">
        <v>1.2437865E7</v>
      </c>
      <c r="Q185" s="17">
        <v>1.552458E7</v>
      </c>
      <c r="R185" s="17">
        <v>7569710.0</v>
      </c>
      <c r="S185" s="17">
        <v>2769577.0</v>
      </c>
      <c r="T185" s="17">
        <v>2925820.0</v>
      </c>
      <c r="U185" s="17">
        <v>2517415.0</v>
      </c>
      <c r="V185" s="11">
        <f t="array" ref="V185">XLOOKUP(A:A,'Raw Revenue'!A:A,'Raw Revenue'!B:B,0)
</f>
        <v>0</v>
      </c>
      <c r="W185" s="11">
        <f t="array" ref="W185">XLOOKUP(A:A,'Raw Revenue'!C:C,'Raw Revenue'!D:D,0)</f>
        <v>0</v>
      </c>
      <c r="X185" s="11">
        <f t="array" ref="X185">XLOOKUP(A:A,'Raw Revenue'!E:E,'Raw Revenue'!F:F,0)</f>
        <v>0</v>
      </c>
      <c r="Y185" s="11">
        <f t="array" ref="Y185">XLOOKUP(A:A,'Raw Revenue'!G:G,'Raw Revenue'!H:H,0)</f>
        <v>0</v>
      </c>
      <c r="Z185" s="11">
        <f t="array" ref="Z185">XLOOKUP(A:A,'Raw Revenue'!I:I,'Raw Revenue'!J:J,0)</f>
        <v>0</v>
      </c>
      <c r="AA185" s="11">
        <f t="array" ref="AA185">XLOOKUP(A:A,'Raw Revenue'!K:K,'Raw Revenue'!L:L,0)</f>
        <v>0</v>
      </c>
      <c r="AB185" s="11">
        <f t="array" ref="AB185">XLOOKUP(A:A,'Raw Revenue'!M:M,'Raw Revenue'!N:N,0)</f>
        <v>0</v>
      </c>
      <c r="AC185" s="3">
        <v>0.0</v>
      </c>
      <c r="AD185" s="3">
        <v>0.0</v>
      </c>
      <c r="AE185" s="3">
        <v>0.0</v>
      </c>
      <c r="AF185" s="3">
        <v>0.0</v>
      </c>
      <c r="AG185" s="3">
        <v>0.0</v>
      </c>
    </row>
    <row r="186">
      <c r="A186" s="3" t="s">
        <v>678</v>
      </c>
      <c r="B186" s="3" t="s">
        <v>679</v>
      </c>
      <c r="C186" s="3" t="str">
        <f t="shared" si="1"/>
        <v>CV. Amanah Sejahtera</v>
      </c>
      <c r="D186" s="3" t="s">
        <v>195</v>
      </c>
      <c r="E186" s="3" t="s">
        <v>196</v>
      </c>
      <c r="F186" s="3" t="s">
        <v>260</v>
      </c>
      <c r="G186" s="3" t="s">
        <v>53</v>
      </c>
      <c r="H186" s="3" t="str">
        <f t="array" ref="H186">XLOOKUP(G:G,'Account Manager Data'!A:A,'Account Manager Data'!B:B,0)</f>
        <v>Fajar Ramadhan</v>
      </c>
      <c r="I186" s="11" t="str">
        <f t="array" ref="I186">XLOOKUP($G:$G,'Account Manager Data'!$A:$A,'Account Manager Data'!C:C)</f>
        <v>Sulawesi</v>
      </c>
      <c r="J186" s="17">
        <v>250706.0</v>
      </c>
      <c r="K186" s="17">
        <v>1961093.0</v>
      </c>
      <c r="L186" s="17">
        <v>4815574.0</v>
      </c>
      <c r="M186" s="17">
        <v>9248660.0</v>
      </c>
      <c r="N186" s="17">
        <v>1.0704025E7</v>
      </c>
      <c r="O186" s="17">
        <v>6347299.0</v>
      </c>
      <c r="P186" s="17">
        <v>4660526.0</v>
      </c>
      <c r="Q186" s="17">
        <v>1.4352154E7</v>
      </c>
      <c r="R186" s="17">
        <v>2562665.0</v>
      </c>
      <c r="S186" s="17">
        <v>2144687.0</v>
      </c>
      <c r="T186" s="17">
        <v>1.3236245E7</v>
      </c>
      <c r="U186" s="17">
        <v>1.5744027E7</v>
      </c>
      <c r="V186" s="11">
        <f t="array" ref="V186">XLOOKUP(A:A,'Raw Revenue'!A:A,'Raw Revenue'!B:B,0)
</f>
        <v>0</v>
      </c>
      <c r="W186" s="11">
        <f t="array" ref="W186">XLOOKUP(A:A,'Raw Revenue'!C:C,'Raw Revenue'!D:D,0)</f>
        <v>0</v>
      </c>
      <c r="X186" s="11">
        <f t="array" ref="X186">XLOOKUP(A:A,'Raw Revenue'!E:E,'Raw Revenue'!F:F,0)</f>
        <v>0</v>
      </c>
      <c r="Y186" s="11">
        <f t="array" ref="Y186">XLOOKUP(A:A,'Raw Revenue'!G:G,'Raw Revenue'!H:H,0)</f>
        <v>0</v>
      </c>
      <c r="Z186" s="11">
        <f t="array" ref="Z186">XLOOKUP(A:A,'Raw Revenue'!I:I,'Raw Revenue'!J:J,0)</f>
        <v>0</v>
      </c>
      <c r="AA186" s="11">
        <f t="array" ref="AA186">XLOOKUP(A:A,'Raw Revenue'!K:K,'Raw Revenue'!L:L,0)</f>
        <v>0</v>
      </c>
      <c r="AB186" s="11">
        <f t="array" ref="AB186">XLOOKUP(A:A,'Raw Revenue'!M:M,'Raw Revenue'!N:N,0)</f>
        <v>0</v>
      </c>
      <c r="AC186" s="3">
        <v>0.0</v>
      </c>
      <c r="AD186" s="3">
        <v>0.0</v>
      </c>
      <c r="AE186" s="3">
        <v>0.0</v>
      </c>
      <c r="AF186" s="3">
        <v>0.0</v>
      </c>
      <c r="AG186" s="3">
        <v>0.0</v>
      </c>
    </row>
    <row r="187">
      <c r="A187" s="3" t="s">
        <v>441</v>
      </c>
      <c r="B187" s="3" t="s">
        <v>680</v>
      </c>
      <c r="C187" s="3" t="str">
        <f t="shared" si="1"/>
        <v>PT. Digital Solusi Pratama</v>
      </c>
      <c r="D187" s="3" t="s">
        <v>103</v>
      </c>
      <c r="E187" s="3" t="s">
        <v>196</v>
      </c>
      <c r="F187" s="3" t="s">
        <v>315</v>
      </c>
      <c r="G187" s="3" t="s">
        <v>63</v>
      </c>
      <c r="H187" s="3" t="str">
        <f t="array" ref="H187">XLOOKUP(G:G,'Account Manager Data'!A:A,'Account Manager Data'!B:B,0)</f>
        <v>Hendra Gunawan</v>
      </c>
      <c r="I187" s="11" t="str">
        <f t="array" ref="I187">XLOOKUP($G:$G,'Account Manager Data'!$A:$A,'Account Manager Data'!C:C)</f>
        <v>Kalimantan</v>
      </c>
      <c r="J187" s="17">
        <v>5522545.0</v>
      </c>
      <c r="K187" s="17">
        <v>3087894.0</v>
      </c>
      <c r="L187" s="17">
        <v>5579122.0</v>
      </c>
      <c r="M187" s="17">
        <v>3124396.0</v>
      </c>
      <c r="N187" s="17">
        <v>1.1685178E7</v>
      </c>
      <c r="O187" s="17">
        <v>1.0996406E7</v>
      </c>
      <c r="P187" s="17">
        <v>1.1330664E7</v>
      </c>
      <c r="Q187" s="17">
        <v>1.2265701E7</v>
      </c>
      <c r="R187" s="17">
        <v>2207395.0</v>
      </c>
      <c r="S187" s="17">
        <v>1.1634917E7</v>
      </c>
      <c r="T187" s="17">
        <v>1.1391805E7</v>
      </c>
      <c r="U187" s="17">
        <v>6827988.0</v>
      </c>
      <c r="V187" s="11">
        <f t="array" ref="V187">XLOOKUP(A:A,'Raw Revenue'!A:A,'Raw Revenue'!B:B,0)
</f>
        <v>2652194.011</v>
      </c>
      <c r="W187" s="11">
        <f t="array" ref="W187">XLOOKUP(A:A,'Raw Revenue'!C:C,'Raw Revenue'!D:D,0)</f>
        <v>2652194.011</v>
      </c>
      <c r="X187" s="11">
        <f t="array" ref="X187">XLOOKUP(A:A,'Raw Revenue'!E:E,'Raw Revenue'!F:F,0)</f>
        <v>5304388.022</v>
      </c>
      <c r="Y187" s="11">
        <f t="array" ref="Y187">XLOOKUP(A:A,'Raw Revenue'!G:G,'Raw Revenue'!H:H,0)</f>
        <v>4331916.885</v>
      </c>
      <c r="Z187" s="11">
        <f t="array" ref="Z187">XLOOKUP(A:A,'Raw Revenue'!I:I,'Raw Revenue'!J:J,0)</f>
        <v>3889884.55</v>
      </c>
      <c r="AA187" s="11">
        <f t="array" ref="AA187">XLOOKUP(A:A,'Raw Revenue'!K:K,'Raw Revenue'!L:L,0)</f>
        <v>9945727.542</v>
      </c>
      <c r="AB187" s="11">
        <f t="array" ref="AB187">XLOOKUP(A:A,'Raw Revenue'!M:M,'Raw Revenue'!N:N,0)</f>
        <v>9150069.339</v>
      </c>
      <c r="AC187" s="3">
        <v>0.0</v>
      </c>
      <c r="AD187" s="3">
        <v>0.0</v>
      </c>
      <c r="AE187" s="3">
        <v>0.0</v>
      </c>
      <c r="AF187" s="3">
        <v>0.0</v>
      </c>
      <c r="AG187" s="3">
        <v>0.0</v>
      </c>
    </row>
    <row r="188">
      <c r="A188" s="3" t="s">
        <v>681</v>
      </c>
      <c r="B188" s="3" t="s">
        <v>682</v>
      </c>
      <c r="C188" s="3" t="str">
        <f t="shared" si="1"/>
        <v>PT. Global Niaga Abadi</v>
      </c>
      <c r="D188" s="3" t="s">
        <v>84</v>
      </c>
      <c r="E188" s="3" t="s">
        <v>187</v>
      </c>
      <c r="F188" s="3" t="s">
        <v>188</v>
      </c>
      <c r="G188" s="3" t="s">
        <v>35</v>
      </c>
      <c r="H188" s="3" t="str">
        <f t="array" ref="H188">XLOOKUP(G:G,'Account Manager Data'!A:A,'Account Manager Data'!B:B,0)</f>
        <v>Ahmad Fauzi</v>
      </c>
      <c r="I188" s="11" t="str">
        <f t="array" ref="I188">XLOOKUP($G:$G,'Account Manager Data'!$A:$A,'Account Manager Data'!C:C)</f>
        <v>Sumatera</v>
      </c>
      <c r="J188" s="17">
        <v>976931.0</v>
      </c>
      <c r="K188" s="17">
        <v>630479.0</v>
      </c>
      <c r="L188" s="17">
        <v>1.023307E7</v>
      </c>
      <c r="M188" s="17">
        <v>1.102801E7</v>
      </c>
      <c r="N188" s="17">
        <v>1.3169632E7</v>
      </c>
      <c r="O188" s="17">
        <v>7469784.0</v>
      </c>
      <c r="P188" s="17">
        <v>2215342.0</v>
      </c>
      <c r="Q188" s="17">
        <v>0.0</v>
      </c>
      <c r="R188" s="17">
        <v>1.228834E7</v>
      </c>
      <c r="S188" s="17">
        <v>3523859.0</v>
      </c>
      <c r="T188" s="17">
        <v>1.7962375E7</v>
      </c>
      <c r="U188" s="17">
        <v>6091882.0</v>
      </c>
      <c r="V188" s="11">
        <f t="array" ref="V188">XLOOKUP(A:A,'Raw Revenue'!A:A,'Raw Revenue'!B:B,0)
</f>
        <v>0</v>
      </c>
      <c r="W188" s="11">
        <f t="array" ref="W188">XLOOKUP(A:A,'Raw Revenue'!C:C,'Raw Revenue'!D:D,0)</f>
        <v>0</v>
      </c>
      <c r="X188" s="11">
        <f t="array" ref="X188">XLOOKUP(A:A,'Raw Revenue'!E:E,'Raw Revenue'!F:F,0)</f>
        <v>0</v>
      </c>
      <c r="Y188" s="11">
        <f t="array" ref="Y188">XLOOKUP(A:A,'Raw Revenue'!G:G,'Raw Revenue'!H:H,0)</f>
        <v>0</v>
      </c>
      <c r="Z188" s="11">
        <f t="array" ref="Z188">XLOOKUP(A:A,'Raw Revenue'!I:I,'Raw Revenue'!J:J,0)</f>
        <v>0</v>
      </c>
      <c r="AA188" s="11">
        <f t="array" ref="AA188">XLOOKUP(A:A,'Raw Revenue'!K:K,'Raw Revenue'!L:L,0)</f>
        <v>0</v>
      </c>
      <c r="AB188" s="11">
        <f t="array" ref="AB188">XLOOKUP(A:A,'Raw Revenue'!M:M,'Raw Revenue'!N:N,0)</f>
        <v>0</v>
      </c>
      <c r="AC188" s="3">
        <v>0.0</v>
      </c>
      <c r="AD188" s="3">
        <v>0.0</v>
      </c>
      <c r="AE188" s="3">
        <v>0.0</v>
      </c>
      <c r="AF188" s="3">
        <v>0.0</v>
      </c>
      <c r="AG188" s="3">
        <v>0.0</v>
      </c>
    </row>
    <row r="189">
      <c r="A189" s="3" t="s">
        <v>683</v>
      </c>
      <c r="B189" s="3" t="s">
        <v>684</v>
      </c>
      <c r="C189" s="3" t="str">
        <f t="shared" si="1"/>
        <v>PT. Indo Makmur Sentosa</v>
      </c>
      <c r="D189" s="3" t="s">
        <v>186</v>
      </c>
      <c r="E189" s="3" t="s">
        <v>187</v>
      </c>
      <c r="F189" s="3" t="s">
        <v>295</v>
      </c>
      <c r="G189" s="3" t="s">
        <v>74</v>
      </c>
      <c r="H189" s="3" t="str">
        <f t="array" ref="H189">XLOOKUP(G:G,'Account Manager Data'!A:A,'Account Manager Data'!B:B,0)</f>
        <v>Budi Santoso</v>
      </c>
      <c r="I189" s="11" t="str">
        <f t="array" ref="I189">XLOOKUP($G:$G,'Account Manager Data'!$A:$A,'Account Manager Data'!C:C)</f>
        <v>Papua</v>
      </c>
      <c r="J189" s="17">
        <v>3553243.0</v>
      </c>
      <c r="K189" s="17">
        <v>7435379.0</v>
      </c>
      <c r="L189" s="17">
        <v>5911083.0</v>
      </c>
      <c r="M189" s="17">
        <v>7406122.0</v>
      </c>
      <c r="N189" s="17">
        <v>167719.0</v>
      </c>
      <c r="O189" s="17">
        <v>8516941.0</v>
      </c>
      <c r="P189" s="17">
        <v>1.5041515E7</v>
      </c>
      <c r="Q189" s="17">
        <v>1.4334588E7</v>
      </c>
      <c r="R189" s="17">
        <v>3240054.0</v>
      </c>
      <c r="S189" s="17">
        <v>1599819.0</v>
      </c>
      <c r="T189" s="17">
        <v>4426624.0</v>
      </c>
      <c r="U189" s="17">
        <v>414140.0</v>
      </c>
      <c r="V189" s="11">
        <f t="array" ref="V189">XLOOKUP(A:A,'Raw Revenue'!A:A,'Raw Revenue'!B:B,0)
</f>
        <v>0</v>
      </c>
      <c r="W189" s="11">
        <f t="array" ref="W189">XLOOKUP(A:A,'Raw Revenue'!C:C,'Raw Revenue'!D:D,0)</f>
        <v>0</v>
      </c>
      <c r="X189" s="11">
        <f t="array" ref="X189">XLOOKUP(A:A,'Raw Revenue'!E:E,'Raw Revenue'!F:F,0)</f>
        <v>0</v>
      </c>
      <c r="Y189" s="11">
        <f t="array" ref="Y189">XLOOKUP(A:A,'Raw Revenue'!G:G,'Raw Revenue'!H:H,0)</f>
        <v>0</v>
      </c>
      <c r="Z189" s="11">
        <f t="array" ref="Z189">XLOOKUP(A:A,'Raw Revenue'!I:I,'Raw Revenue'!J:J,0)</f>
        <v>0</v>
      </c>
      <c r="AA189" s="11">
        <f t="array" ref="AA189">XLOOKUP(A:A,'Raw Revenue'!K:K,'Raw Revenue'!L:L,0)</f>
        <v>0</v>
      </c>
      <c r="AB189" s="11">
        <f t="array" ref="AB189">XLOOKUP(A:A,'Raw Revenue'!M:M,'Raw Revenue'!N:N,0)</f>
        <v>0</v>
      </c>
      <c r="AC189" s="3">
        <v>0.0</v>
      </c>
      <c r="AD189" s="3">
        <v>0.0</v>
      </c>
      <c r="AE189" s="3">
        <v>0.0</v>
      </c>
      <c r="AF189" s="3">
        <v>0.0</v>
      </c>
      <c r="AG189" s="3">
        <v>0.0</v>
      </c>
    </row>
    <row r="190">
      <c r="A190" s="3" t="s">
        <v>685</v>
      </c>
      <c r="B190" s="3" t="s">
        <v>686</v>
      </c>
      <c r="C190" s="3" t="str">
        <f t="shared" si="1"/>
        <v>PT. Citra Mandiri Utama</v>
      </c>
      <c r="D190" s="3" t="s">
        <v>214</v>
      </c>
      <c r="E190" s="3" t="s">
        <v>85</v>
      </c>
      <c r="F190" s="3" t="s">
        <v>248</v>
      </c>
      <c r="G190" s="3" t="s">
        <v>43</v>
      </c>
      <c r="H190" s="3" t="str">
        <f t="array" ref="H190">XLOOKUP(G:G,'Account Manager Data'!A:A,'Account Manager Data'!B:B,0)</f>
        <v>Eko Prasetyo</v>
      </c>
      <c r="I190" s="11" t="str">
        <f t="array" ref="I190">XLOOKUP($G:$G,'Account Manager Data'!$A:$A,'Account Manager Data'!C:C)</f>
        <v>Papua</v>
      </c>
      <c r="J190" s="17">
        <v>2514994.0</v>
      </c>
      <c r="K190" s="17">
        <v>5439549.0</v>
      </c>
      <c r="L190" s="17">
        <v>3378976.0</v>
      </c>
      <c r="M190" s="17">
        <v>5353823.0</v>
      </c>
      <c r="N190" s="17">
        <v>9361759.0</v>
      </c>
      <c r="O190" s="17">
        <v>606136.0</v>
      </c>
      <c r="P190" s="17">
        <v>0.0</v>
      </c>
      <c r="Q190" s="17">
        <v>5633253.0</v>
      </c>
      <c r="R190" s="17">
        <v>1318876.0</v>
      </c>
      <c r="S190" s="17">
        <v>1893787.0</v>
      </c>
      <c r="T190" s="17">
        <v>1244413.0</v>
      </c>
      <c r="U190" s="17">
        <v>1.5041713E7</v>
      </c>
      <c r="V190" s="11">
        <f t="array" ref="V190">XLOOKUP(A:A,'Raw Revenue'!A:A,'Raw Revenue'!B:B,0)
</f>
        <v>0</v>
      </c>
      <c r="W190" s="11">
        <f t="array" ref="W190">XLOOKUP(A:A,'Raw Revenue'!C:C,'Raw Revenue'!D:D,0)</f>
        <v>0</v>
      </c>
      <c r="X190" s="11">
        <f t="array" ref="X190">XLOOKUP(A:A,'Raw Revenue'!E:E,'Raw Revenue'!F:F,0)</f>
        <v>0</v>
      </c>
      <c r="Y190" s="11">
        <f t="array" ref="Y190">XLOOKUP(A:A,'Raw Revenue'!G:G,'Raw Revenue'!H:H,0)</f>
        <v>0</v>
      </c>
      <c r="Z190" s="11">
        <f t="array" ref="Z190">XLOOKUP(A:A,'Raw Revenue'!I:I,'Raw Revenue'!J:J,0)</f>
        <v>0</v>
      </c>
      <c r="AA190" s="11">
        <f t="array" ref="AA190">XLOOKUP(A:A,'Raw Revenue'!K:K,'Raw Revenue'!L:L,0)</f>
        <v>0</v>
      </c>
      <c r="AB190" s="11">
        <f t="array" ref="AB190">XLOOKUP(A:A,'Raw Revenue'!M:M,'Raw Revenue'!N:N,0)</f>
        <v>0</v>
      </c>
      <c r="AC190" s="3">
        <v>0.0</v>
      </c>
      <c r="AD190" s="3">
        <v>0.0</v>
      </c>
      <c r="AE190" s="3">
        <v>0.0</v>
      </c>
      <c r="AF190" s="3">
        <v>0.0</v>
      </c>
      <c r="AG190" s="3">
        <v>0.0</v>
      </c>
    </row>
    <row r="191">
      <c r="A191" s="3" t="s">
        <v>687</v>
      </c>
      <c r="B191" s="3" t="s">
        <v>688</v>
      </c>
      <c r="C191" s="3" t="str">
        <f t="shared" si="1"/>
        <v>PT. Sinar Dunia Baru</v>
      </c>
      <c r="D191" s="3" t="s">
        <v>84</v>
      </c>
      <c r="E191" s="3" t="s">
        <v>104</v>
      </c>
      <c r="F191" s="3" t="s">
        <v>105</v>
      </c>
      <c r="G191" s="3" t="s">
        <v>76</v>
      </c>
      <c r="H191" s="3" t="str">
        <f t="array" ref="H191">XLOOKUP(G:G,'Account Manager Data'!A:A,'Account Manager Data'!B:B,0)</f>
        <v>Teguh Wijaya</v>
      </c>
      <c r="I191" s="11" t="str">
        <f t="array" ref="I191">XLOOKUP($G:$G,'Account Manager Data'!$A:$A,'Account Manager Data'!C:C)</f>
        <v>Sulawesi</v>
      </c>
      <c r="J191" s="17">
        <v>1472346.0</v>
      </c>
      <c r="K191" s="17">
        <v>5500681.0</v>
      </c>
      <c r="L191" s="17">
        <v>5141375.0</v>
      </c>
      <c r="M191" s="17">
        <v>6967511.0</v>
      </c>
      <c r="N191" s="17">
        <v>563361.0</v>
      </c>
      <c r="O191" s="17">
        <v>1.0714973E7</v>
      </c>
      <c r="P191" s="17">
        <v>1.4131684E7</v>
      </c>
      <c r="Q191" s="17">
        <v>8842056.0</v>
      </c>
      <c r="R191" s="17">
        <v>8109505.0</v>
      </c>
      <c r="S191" s="17">
        <v>102584.0</v>
      </c>
      <c r="T191" s="17">
        <v>1.8896216E7</v>
      </c>
      <c r="U191" s="17">
        <v>3954886.0</v>
      </c>
      <c r="V191" s="11">
        <f t="array" ref="V191">XLOOKUP(A:A,'Raw Revenue'!A:A,'Raw Revenue'!B:B,0)
</f>
        <v>0</v>
      </c>
      <c r="W191" s="11">
        <f t="array" ref="W191">XLOOKUP(A:A,'Raw Revenue'!C:C,'Raw Revenue'!D:D,0)</f>
        <v>0</v>
      </c>
      <c r="X191" s="11">
        <f t="array" ref="X191">XLOOKUP(A:A,'Raw Revenue'!E:E,'Raw Revenue'!F:F,0)</f>
        <v>0</v>
      </c>
      <c r="Y191" s="11">
        <f t="array" ref="Y191">XLOOKUP(A:A,'Raw Revenue'!G:G,'Raw Revenue'!H:H,0)</f>
        <v>0</v>
      </c>
      <c r="Z191" s="11">
        <f t="array" ref="Z191">XLOOKUP(A:A,'Raw Revenue'!I:I,'Raw Revenue'!J:J,0)</f>
        <v>0</v>
      </c>
      <c r="AA191" s="11">
        <f t="array" ref="AA191">XLOOKUP(A:A,'Raw Revenue'!K:K,'Raw Revenue'!L:L,0)</f>
        <v>0</v>
      </c>
      <c r="AB191" s="11">
        <f t="array" ref="AB191">XLOOKUP(A:A,'Raw Revenue'!M:M,'Raw Revenue'!N:N,0)</f>
        <v>0</v>
      </c>
      <c r="AC191" s="3">
        <v>0.0</v>
      </c>
      <c r="AD191" s="3">
        <v>0.0</v>
      </c>
      <c r="AE191" s="3">
        <v>0.0</v>
      </c>
      <c r="AF191" s="3">
        <v>0.0</v>
      </c>
      <c r="AG191" s="3">
        <v>0.0</v>
      </c>
    </row>
    <row r="192">
      <c r="A192" s="3" t="s">
        <v>449</v>
      </c>
      <c r="B192" s="3" t="s">
        <v>689</v>
      </c>
      <c r="C192" s="3" t="str">
        <f t="shared" si="1"/>
        <v>CV. Karya Utama Mandiri</v>
      </c>
      <c r="D192" s="3" t="s">
        <v>103</v>
      </c>
      <c r="E192" s="3" t="s">
        <v>215</v>
      </c>
      <c r="F192" s="3" t="s">
        <v>300</v>
      </c>
      <c r="G192" s="3" t="s">
        <v>70</v>
      </c>
      <c r="H192" s="3" t="str">
        <f t="array" ref="H192">XLOOKUP(G:G,'Account Manager Data'!A:A,'Account Manager Data'!B:B,0)</f>
        <v>Yusuf Hidayat</v>
      </c>
      <c r="I192" s="11" t="str">
        <f t="array" ref="I192">XLOOKUP($G:$G,'Account Manager Data'!$A:$A,'Account Manager Data'!C:C)</f>
        <v>Sumatera</v>
      </c>
      <c r="J192" s="17">
        <v>5717795.0</v>
      </c>
      <c r="K192" s="17">
        <v>2481119.0</v>
      </c>
      <c r="L192" s="17">
        <v>7809696.0</v>
      </c>
      <c r="M192" s="17">
        <v>9265206.0</v>
      </c>
      <c r="N192" s="17">
        <v>8261866.0</v>
      </c>
      <c r="O192" s="17">
        <v>5386944.0</v>
      </c>
      <c r="P192" s="17">
        <v>343799.0</v>
      </c>
      <c r="Q192" s="17">
        <v>1241809.0</v>
      </c>
      <c r="R192" s="17">
        <v>5955351.0</v>
      </c>
      <c r="S192" s="17">
        <v>1.0460938E7</v>
      </c>
      <c r="T192" s="17">
        <v>5873046.0</v>
      </c>
      <c r="U192" s="17">
        <v>106095.0</v>
      </c>
      <c r="V192" s="11">
        <f t="array" ref="V192">XLOOKUP(A:A,'Raw Revenue'!A:A,'Raw Revenue'!B:B,0)
</f>
        <v>1547113.173</v>
      </c>
      <c r="W192" s="11">
        <f t="array" ref="W192">XLOOKUP(A:A,'Raw Revenue'!C:C,'Raw Revenue'!D:D,0)</f>
        <v>773556.5866</v>
      </c>
      <c r="X192" s="11">
        <f t="array" ref="X192">XLOOKUP(A:A,'Raw Revenue'!E:E,'Raw Revenue'!F:F,0)</f>
        <v>464133.952</v>
      </c>
      <c r="Y192" s="11">
        <f t="array" ref="Y192">XLOOKUP(A:A,'Raw Revenue'!G:G,'Raw Revenue'!H:H,0)</f>
        <v>5414896.106</v>
      </c>
      <c r="Z192" s="11">
        <f t="array" ref="Z192">XLOOKUP(A:A,'Raw Revenue'!I:I,'Raw Revenue'!J:J,0)</f>
        <v>1237690.539</v>
      </c>
      <c r="AA192" s="11">
        <f t="array" ref="AA192">XLOOKUP(A:A,'Raw Revenue'!K:K,'Raw Revenue'!L:L,0)</f>
        <v>34810.0464</v>
      </c>
      <c r="AB192" s="11">
        <f t="array" ref="AB192">XLOOKUP(A:A,'Raw Revenue'!M:M,'Raw Revenue'!N:N,0)</f>
        <v>4664546.217</v>
      </c>
      <c r="AC192" s="3">
        <v>0.0</v>
      </c>
      <c r="AD192" s="3">
        <v>0.0</v>
      </c>
      <c r="AE192" s="3">
        <v>0.0</v>
      </c>
      <c r="AF192" s="3">
        <v>0.0</v>
      </c>
      <c r="AG192" s="3">
        <v>0.0</v>
      </c>
    </row>
    <row r="193">
      <c r="A193" s="3" t="s">
        <v>96</v>
      </c>
      <c r="B193" s="3" t="s">
        <v>690</v>
      </c>
      <c r="C193" s="3" t="str">
        <f t="shared" si="1"/>
        <v>PT. Pratama Jaya Sentosa</v>
      </c>
      <c r="D193" s="3" t="s">
        <v>103</v>
      </c>
      <c r="E193" s="3" t="s">
        <v>196</v>
      </c>
      <c r="F193" s="3" t="s">
        <v>260</v>
      </c>
      <c r="G193" s="3" t="s">
        <v>15</v>
      </c>
      <c r="H193" s="3" t="str">
        <f t="array" ref="H193">XLOOKUP(G:G,'Account Manager Data'!A:A,'Account Manager Data'!B:B,0)</f>
        <v>Rizky Maulana</v>
      </c>
      <c r="I193" s="11" t="str">
        <f t="array" ref="I193">XLOOKUP($G:$G,'Account Manager Data'!$A:$A,'Account Manager Data'!C:C)</f>
        <v>Jawa</v>
      </c>
      <c r="J193" s="17">
        <v>7951663.0</v>
      </c>
      <c r="K193" s="83">
        <v>5647059.0</v>
      </c>
      <c r="L193" s="84">
        <v>6072289.0</v>
      </c>
      <c r="M193" s="84">
        <v>1.0285714E7</v>
      </c>
      <c r="N193" s="84">
        <v>6408451.0</v>
      </c>
      <c r="O193" s="17">
        <v>1.4953236E7</v>
      </c>
      <c r="P193" s="84">
        <v>8620690.0</v>
      </c>
      <c r="Q193" s="84">
        <v>1.52941176E8</v>
      </c>
      <c r="R193" s="17">
        <v>6087825.0</v>
      </c>
      <c r="S193" s="17">
        <v>0.0</v>
      </c>
      <c r="T193" s="17">
        <v>2310427.0</v>
      </c>
      <c r="U193" s="17">
        <v>4339812.0</v>
      </c>
      <c r="V193" s="85">
        <f t="array" ref="V193">XLOOKUP(A:A,'Raw Revenue'!A:A,'Raw Revenue'!B:B,0)
</f>
        <v>2800000</v>
      </c>
      <c r="W193" s="22">
        <f t="array" ref="W193">XLOOKUP(A:A,'Raw Revenue'!C:C,'Raw Revenue'!D:D,0)</f>
        <v>5647059</v>
      </c>
      <c r="X193" s="22">
        <f t="array" ref="X193">XLOOKUP(A:A,'Raw Revenue'!E:E,'Raw Revenue'!F:F,0)</f>
        <v>6072289</v>
      </c>
      <c r="Y193" s="22">
        <f t="array" ref="Y193">XLOOKUP(A:A,'Raw Revenue'!G:G,'Raw Revenue'!H:H,0)</f>
        <v>10285714</v>
      </c>
      <c r="Z193" s="22">
        <f t="array" ref="Z193">XLOOKUP(A:A,'Raw Revenue'!I:I,'Raw Revenue'!J:J,0)</f>
        <v>6408451</v>
      </c>
      <c r="AA193" s="22">
        <f t="array" ref="AA193">XLOOKUP(A:A,'Raw Revenue'!K:K,'Raw Revenue'!L:L,0)</f>
        <v>14953236</v>
      </c>
      <c r="AB193" s="22">
        <f t="array" ref="AB193">XLOOKUP(A:A,'Raw Revenue'!M:M,'Raw Revenue'!N:N,0)</f>
        <v>8620690</v>
      </c>
      <c r="AC193" s="3">
        <v>0.0</v>
      </c>
      <c r="AD193" s="3">
        <v>0.0</v>
      </c>
      <c r="AE193" s="3">
        <v>0.0</v>
      </c>
      <c r="AF193" s="3">
        <v>0.0</v>
      </c>
      <c r="AG193" s="3">
        <v>0.0</v>
      </c>
    </row>
    <row r="194">
      <c r="A194" s="3" t="s">
        <v>291</v>
      </c>
      <c r="B194" s="3" t="s">
        <v>691</v>
      </c>
      <c r="C194" s="3" t="str">
        <f t="shared" si="1"/>
        <v>PT. Abadi Selamanya Jaya</v>
      </c>
      <c r="D194" s="3" t="s">
        <v>103</v>
      </c>
      <c r="E194" s="3" t="s">
        <v>196</v>
      </c>
      <c r="F194" s="3" t="s">
        <v>197</v>
      </c>
      <c r="G194" s="3" t="s">
        <v>53</v>
      </c>
      <c r="H194" s="3" t="str">
        <f t="array" ref="H194">XLOOKUP(G:G,'Account Manager Data'!A:A,'Account Manager Data'!B:B,0)</f>
        <v>Fajar Ramadhan</v>
      </c>
      <c r="I194" s="11" t="str">
        <f t="array" ref="I194">XLOOKUP($G:$G,'Account Manager Data'!$A:$A,'Account Manager Data'!C:C)</f>
        <v>Sulawesi</v>
      </c>
      <c r="J194" s="17">
        <v>4409357.0</v>
      </c>
      <c r="K194" s="17">
        <v>6616989.0</v>
      </c>
      <c r="L194" s="17">
        <v>8618703.0</v>
      </c>
      <c r="M194" s="17">
        <v>0.0</v>
      </c>
      <c r="N194" s="17">
        <v>1.3403833E7</v>
      </c>
      <c r="O194" s="17">
        <v>3232747.0</v>
      </c>
      <c r="P194" s="17">
        <v>1045461.0</v>
      </c>
      <c r="Q194" s="17">
        <v>0.0</v>
      </c>
      <c r="R194" s="17">
        <v>1.6097071E7</v>
      </c>
      <c r="S194" s="17">
        <v>2306941.0</v>
      </c>
      <c r="T194" s="17">
        <v>7852338.0</v>
      </c>
      <c r="U194" s="17">
        <v>8161110.0</v>
      </c>
      <c r="V194" s="11">
        <f t="array" ref="V194">XLOOKUP(A:A,'Raw Revenue'!A:A,'Raw Revenue'!B:B,0)
</f>
        <v>8911371.878</v>
      </c>
      <c r="W194" s="11">
        <f t="array" ref="W194">XLOOKUP(A:A,'Raw Revenue'!C:C,'Raw Revenue'!D:D,0)</f>
        <v>8911371.878</v>
      </c>
      <c r="X194" s="11">
        <f t="array" ref="X194">XLOOKUP(A:A,'Raw Revenue'!E:E,'Raw Revenue'!F:F,0)</f>
        <v>17822743.76</v>
      </c>
      <c r="Y194" s="11">
        <f t="array" ref="Y194">XLOOKUP(A:A,'Raw Revenue'!G:G,'Raw Revenue'!H:H,0)</f>
        <v>14555240.73</v>
      </c>
      <c r="Z194" s="11">
        <f t="array" ref="Z194">XLOOKUP(A:A,'Raw Revenue'!I:I,'Raw Revenue'!J:J,0)</f>
        <v>13070012.09</v>
      </c>
      <c r="AA194" s="11">
        <f t="array" ref="AA194">XLOOKUP(A:A,'Raw Revenue'!K:K,'Raw Revenue'!L:L,0)</f>
        <v>33417644.54</v>
      </c>
      <c r="AB194" s="11">
        <f t="array" ref="AB194">XLOOKUP(A:A,'Raw Revenue'!M:M,'Raw Revenue'!N:N,0)</f>
        <v>30744232.98</v>
      </c>
      <c r="AC194" s="3">
        <v>0.0</v>
      </c>
      <c r="AD194" s="3">
        <v>0.0</v>
      </c>
      <c r="AE194" s="3">
        <v>0.0</v>
      </c>
      <c r="AF194" s="3">
        <v>0.0</v>
      </c>
      <c r="AG194" s="3">
        <v>0.0</v>
      </c>
    </row>
    <row r="195">
      <c r="A195" s="3" t="s">
        <v>692</v>
      </c>
      <c r="B195" s="3" t="s">
        <v>693</v>
      </c>
      <c r="C195" s="3" t="str">
        <f t="shared" si="1"/>
        <v>PT. Mandiri Sejahtera Bersama</v>
      </c>
      <c r="D195" s="3" t="s">
        <v>84</v>
      </c>
      <c r="E195" s="3" t="s">
        <v>187</v>
      </c>
      <c r="F195" s="3" t="s">
        <v>188</v>
      </c>
      <c r="G195" s="3" t="s">
        <v>27</v>
      </c>
      <c r="H195" s="3" t="str">
        <f t="array" ref="H195">XLOOKUP(G:G,'Account Manager Data'!A:A,'Account Manager Data'!B:B,0)</f>
        <v>Dedi Kurniawan</v>
      </c>
      <c r="I195" s="11" t="str">
        <f t="array" ref="I195">XLOOKUP($G:$G,'Account Manager Data'!$A:$A,'Account Manager Data'!C:C)</f>
        <v>Kalimantan</v>
      </c>
      <c r="J195" s="17">
        <v>1487132.0</v>
      </c>
      <c r="K195" s="17">
        <v>8045333.0</v>
      </c>
      <c r="L195" s="17">
        <v>3274643.0</v>
      </c>
      <c r="M195" s="17">
        <v>0.0</v>
      </c>
      <c r="N195" s="17">
        <v>1.374584E7</v>
      </c>
      <c r="O195" s="17">
        <v>6363223.0</v>
      </c>
      <c r="P195" s="17">
        <v>2856846.0</v>
      </c>
      <c r="Q195" s="17">
        <v>1.4484997E7</v>
      </c>
      <c r="R195" s="17">
        <v>0.0</v>
      </c>
      <c r="S195" s="17">
        <v>1.1053339E7</v>
      </c>
      <c r="T195" s="17">
        <v>6368902.0</v>
      </c>
      <c r="U195" s="17">
        <v>1.0969497E7</v>
      </c>
      <c r="V195" s="11">
        <f t="array" ref="V195">XLOOKUP(A:A,'Raw Revenue'!A:A,'Raw Revenue'!B:B,0)
</f>
        <v>0</v>
      </c>
      <c r="W195" s="11">
        <f t="array" ref="W195">XLOOKUP(A:A,'Raw Revenue'!C:C,'Raw Revenue'!D:D,0)</f>
        <v>0</v>
      </c>
      <c r="X195" s="11">
        <f t="array" ref="X195">XLOOKUP(A:A,'Raw Revenue'!E:E,'Raw Revenue'!F:F,0)</f>
        <v>0</v>
      </c>
      <c r="Y195" s="11">
        <f t="array" ref="Y195">XLOOKUP(A:A,'Raw Revenue'!G:G,'Raw Revenue'!H:H,0)</f>
        <v>0</v>
      </c>
      <c r="Z195" s="11">
        <f t="array" ref="Z195">XLOOKUP(A:A,'Raw Revenue'!I:I,'Raw Revenue'!J:J,0)</f>
        <v>0</v>
      </c>
      <c r="AA195" s="11">
        <f t="array" ref="AA195">XLOOKUP(A:A,'Raw Revenue'!K:K,'Raw Revenue'!L:L,0)</f>
        <v>0</v>
      </c>
      <c r="AB195" s="11">
        <f t="array" ref="AB195">XLOOKUP(A:A,'Raw Revenue'!M:M,'Raw Revenue'!N:N,0)</f>
        <v>0</v>
      </c>
      <c r="AC195" s="3">
        <v>0.0</v>
      </c>
      <c r="AD195" s="3">
        <v>0.0</v>
      </c>
      <c r="AE195" s="3">
        <v>0.0</v>
      </c>
      <c r="AF195" s="3">
        <v>0.0</v>
      </c>
      <c r="AG195" s="3">
        <v>0.0</v>
      </c>
    </row>
    <row r="196">
      <c r="A196" s="3" t="s">
        <v>694</v>
      </c>
      <c r="B196" s="3" t="s">
        <v>695</v>
      </c>
      <c r="C196" s="3" t="str">
        <f t="shared" si="1"/>
        <v>PT. Sejahtera Alam Indonesia</v>
      </c>
      <c r="D196" s="3" t="s">
        <v>186</v>
      </c>
      <c r="E196" s="3" t="s">
        <v>196</v>
      </c>
      <c r="F196" s="3" t="s">
        <v>197</v>
      </c>
      <c r="G196" s="3" t="s">
        <v>78</v>
      </c>
      <c r="H196" s="3" t="str">
        <f t="array" ref="H196">XLOOKUP(G:G,'Account Manager Data'!A:A,'Account Manager Data'!B:B,0)</f>
        <v>Ilham Saputra</v>
      </c>
      <c r="I196" s="11" t="str">
        <f t="array" ref="I196">XLOOKUP($G:$G,'Account Manager Data'!$A:$A,'Account Manager Data'!C:C)</f>
        <v>Jawa</v>
      </c>
      <c r="J196" s="17">
        <v>1257694.0</v>
      </c>
      <c r="K196" s="17">
        <v>7657091.0</v>
      </c>
      <c r="L196" s="17">
        <v>5497885.0</v>
      </c>
      <c r="M196" s="17">
        <v>5489206.0</v>
      </c>
      <c r="N196" s="17">
        <v>1.2090619E7</v>
      </c>
      <c r="O196" s="17">
        <v>3536914.0</v>
      </c>
      <c r="P196" s="17">
        <v>1190068.0</v>
      </c>
      <c r="Q196" s="17">
        <v>0.0</v>
      </c>
      <c r="R196" s="17">
        <v>812773.0</v>
      </c>
      <c r="S196" s="17">
        <v>1.0723748E7</v>
      </c>
      <c r="T196" s="17">
        <v>1.0980675E7</v>
      </c>
      <c r="U196" s="17">
        <v>9996975.0</v>
      </c>
      <c r="V196" s="11">
        <f t="array" ref="V196">XLOOKUP(A:A,'Raw Revenue'!A:A,'Raw Revenue'!B:B,0)
</f>
        <v>0</v>
      </c>
      <c r="W196" s="11">
        <f t="array" ref="W196">XLOOKUP(A:A,'Raw Revenue'!C:C,'Raw Revenue'!D:D,0)</f>
        <v>0</v>
      </c>
      <c r="X196" s="11">
        <f t="array" ref="X196">XLOOKUP(A:A,'Raw Revenue'!E:E,'Raw Revenue'!F:F,0)</f>
        <v>0</v>
      </c>
      <c r="Y196" s="11">
        <f t="array" ref="Y196">XLOOKUP(A:A,'Raw Revenue'!G:G,'Raw Revenue'!H:H,0)</f>
        <v>0</v>
      </c>
      <c r="Z196" s="11">
        <f t="array" ref="Z196">XLOOKUP(A:A,'Raw Revenue'!I:I,'Raw Revenue'!J:J,0)</f>
        <v>0</v>
      </c>
      <c r="AA196" s="11">
        <f t="array" ref="AA196">XLOOKUP(A:A,'Raw Revenue'!K:K,'Raw Revenue'!L:L,0)</f>
        <v>0</v>
      </c>
      <c r="AB196" s="11">
        <f t="array" ref="AB196">XLOOKUP(A:A,'Raw Revenue'!M:M,'Raw Revenue'!N:N,0)</f>
        <v>0</v>
      </c>
      <c r="AC196" s="3">
        <v>0.0</v>
      </c>
      <c r="AD196" s="3">
        <v>0.0</v>
      </c>
      <c r="AE196" s="3">
        <v>0.0</v>
      </c>
      <c r="AF196" s="3">
        <v>0.0</v>
      </c>
      <c r="AG196" s="3">
        <v>0.0</v>
      </c>
    </row>
    <row r="197">
      <c r="A197" s="3" t="s">
        <v>696</v>
      </c>
      <c r="B197" s="3" t="s">
        <v>697</v>
      </c>
      <c r="C197" s="3" t="str">
        <f t="shared" si="1"/>
        <v>PT. Indah Kargo Logistik</v>
      </c>
      <c r="D197" s="3" t="s">
        <v>84</v>
      </c>
      <c r="E197" s="3" t="s">
        <v>104</v>
      </c>
      <c r="F197" s="3" t="s">
        <v>105</v>
      </c>
      <c r="G197" s="3" t="s">
        <v>63</v>
      </c>
      <c r="H197" s="3" t="str">
        <f t="array" ref="H197">XLOOKUP(G:G,'Account Manager Data'!A:A,'Account Manager Data'!B:B,0)</f>
        <v>Hendra Gunawan</v>
      </c>
      <c r="I197" s="11" t="str">
        <f t="array" ref="I197">XLOOKUP($G:$G,'Account Manager Data'!$A:$A,'Account Manager Data'!C:C)</f>
        <v>Kalimantan</v>
      </c>
      <c r="J197" s="17">
        <v>3857026.0</v>
      </c>
      <c r="K197" s="17">
        <v>2267502.0</v>
      </c>
      <c r="L197" s="17">
        <v>687150.0</v>
      </c>
      <c r="M197" s="17">
        <v>5928538.0</v>
      </c>
      <c r="N197" s="17">
        <v>4674071.0</v>
      </c>
      <c r="O197" s="17">
        <v>6189881.0</v>
      </c>
      <c r="P197" s="17">
        <v>289720.0</v>
      </c>
      <c r="Q197" s="17">
        <v>1.1170829E7</v>
      </c>
      <c r="R197" s="17">
        <v>0.0</v>
      </c>
      <c r="S197" s="17">
        <v>3172843.0</v>
      </c>
      <c r="T197" s="17">
        <v>1.3547514E7</v>
      </c>
      <c r="U197" s="17">
        <v>1.0995609E7</v>
      </c>
      <c r="V197" s="11">
        <f t="array" ref="V197">XLOOKUP(A:A,'Raw Revenue'!A:A,'Raw Revenue'!B:B,0)
</f>
        <v>0</v>
      </c>
      <c r="W197" s="11">
        <f t="array" ref="W197">XLOOKUP(A:A,'Raw Revenue'!C:C,'Raw Revenue'!D:D,0)</f>
        <v>0</v>
      </c>
      <c r="X197" s="11">
        <f t="array" ref="X197">XLOOKUP(A:A,'Raw Revenue'!E:E,'Raw Revenue'!F:F,0)</f>
        <v>0</v>
      </c>
      <c r="Y197" s="11">
        <f t="array" ref="Y197">XLOOKUP(A:A,'Raw Revenue'!G:G,'Raw Revenue'!H:H,0)</f>
        <v>0</v>
      </c>
      <c r="Z197" s="11">
        <f t="array" ref="Z197">XLOOKUP(A:A,'Raw Revenue'!I:I,'Raw Revenue'!J:J,0)</f>
        <v>0</v>
      </c>
      <c r="AA197" s="11">
        <f t="array" ref="AA197">XLOOKUP(A:A,'Raw Revenue'!K:K,'Raw Revenue'!L:L,0)</f>
        <v>0</v>
      </c>
      <c r="AB197" s="11">
        <f t="array" ref="AB197">XLOOKUP(A:A,'Raw Revenue'!M:M,'Raw Revenue'!N:N,0)</f>
        <v>0</v>
      </c>
      <c r="AC197" s="3">
        <v>0.0</v>
      </c>
      <c r="AD197" s="3">
        <v>0.0</v>
      </c>
      <c r="AE197" s="3">
        <v>0.0</v>
      </c>
      <c r="AF197" s="3">
        <v>0.0</v>
      </c>
      <c r="AG197" s="3">
        <v>0.0</v>
      </c>
    </row>
    <row r="198">
      <c r="A198" s="3" t="s">
        <v>698</v>
      </c>
      <c r="B198" s="3" t="s">
        <v>699</v>
      </c>
      <c r="C198" s="3" t="str">
        <f t="shared" si="1"/>
        <v>PT. Berkah Alam Semesta</v>
      </c>
      <c r="D198" s="3" t="s">
        <v>84</v>
      </c>
      <c r="E198" s="3" t="s">
        <v>215</v>
      </c>
      <c r="F198" s="3" t="s">
        <v>216</v>
      </c>
      <c r="G198" s="3" t="s">
        <v>35</v>
      </c>
      <c r="H198" s="3" t="str">
        <f t="array" ref="H198">XLOOKUP(G:G,'Account Manager Data'!A:A,'Account Manager Data'!B:B,0)</f>
        <v>Ahmad Fauzi</v>
      </c>
      <c r="I198" s="11" t="str">
        <f t="array" ref="I198">XLOOKUP($G:$G,'Account Manager Data'!$A:$A,'Account Manager Data'!C:C)</f>
        <v>Sumatera</v>
      </c>
      <c r="J198" s="17">
        <v>190167.0</v>
      </c>
      <c r="K198" s="17">
        <v>6749880.0</v>
      </c>
      <c r="L198" s="17">
        <v>1.0156884E7</v>
      </c>
      <c r="M198" s="17">
        <v>6064904.0</v>
      </c>
      <c r="N198" s="17">
        <v>3328172.0</v>
      </c>
      <c r="O198" s="17">
        <v>7708943.0</v>
      </c>
      <c r="P198" s="17">
        <v>4650113.0</v>
      </c>
      <c r="Q198" s="17">
        <v>8094137.0</v>
      </c>
      <c r="R198" s="17">
        <v>0.0</v>
      </c>
      <c r="S198" s="17">
        <v>1.0124154E7</v>
      </c>
      <c r="T198" s="17">
        <v>1.3101534E7</v>
      </c>
      <c r="U198" s="17">
        <v>0.0</v>
      </c>
      <c r="V198" s="11">
        <f t="array" ref="V198">XLOOKUP(A:A,'Raw Revenue'!A:A,'Raw Revenue'!B:B,0)
</f>
        <v>0</v>
      </c>
      <c r="W198" s="11">
        <f t="array" ref="W198">XLOOKUP(A:A,'Raw Revenue'!C:C,'Raw Revenue'!D:D,0)</f>
        <v>0</v>
      </c>
      <c r="X198" s="11">
        <f t="array" ref="X198">XLOOKUP(A:A,'Raw Revenue'!E:E,'Raw Revenue'!F:F,0)</f>
        <v>0</v>
      </c>
      <c r="Y198" s="11">
        <f t="array" ref="Y198">XLOOKUP(A:A,'Raw Revenue'!G:G,'Raw Revenue'!H:H,0)</f>
        <v>0</v>
      </c>
      <c r="Z198" s="11">
        <f t="array" ref="Z198">XLOOKUP(A:A,'Raw Revenue'!I:I,'Raw Revenue'!J:J,0)</f>
        <v>0</v>
      </c>
      <c r="AA198" s="11">
        <f t="array" ref="AA198">XLOOKUP(A:A,'Raw Revenue'!K:K,'Raw Revenue'!L:L,0)</f>
        <v>0</v>
      </c>
      <c r="AB198" s="11">
        <f t="array" ref="AB198">XLOOKUP(A:A,'Raw Revenue'!M:M,'Raw Revenue'!N:N,0)</f>
        <v>0</v>
      </c>
      <c r="AC198" s="3">
        <v>0.0</v>
      </c>
      <c r="AD198" s="3">
        <v>0.0</v>
      </c>
      <c r="AE198" s="3">
        <v>0.0</v>
      </c>
      <c r="AF198" s="3">
        <v>0.0</v>
      </c>
      <c r="AG198" s="3">
        <v>0.0</v>
      </c>
    </row>
    <row r="199">
      <c r="A199" s="3" t="s">
        <v>241</v>
      </c>
      <c r="B199" s="3" t="s">
        <v>700</v>
      </c>
      <c r="C199" s="3" t="str">
        <f t="shared" si="1"/>
        <v>PT. Cahaya Baru Indonesia</v>
      </c>
      <c r="D199" s="3" t="s">
        <v>103</v>
      </c>
      <c r="E199" s="3" t="s">
        <v>196</v>
      </c>
      <c r="F199" s="3" t="s">
        <v>260</v>
      </c>
      <c r="G199" s="3" t="s">
        <v>43</v>
      </c>
      <c r="H199" s="3" t="str">
        <f t="array" ref="H199">XLOOKUP(G:G,'Account Manager Data'!A:A,'Account Manager Data'!B:B,0)</f>
        <v>Eko Prasetyo</v>
      </c>
      <c r="I199" s="11" t="str">
        <f t="array" ref="I199">XLOOKUP($G:$G,'Account Manager Data'!$A:$A,'Account Manager Data'!C:C)</f>
        <v>Papua</v>
      </c>
      <c r="J199" s="17">
        <v>678933.0</v>
      </c>
      <c r="K199" s="17">
        <v>8763610.0</v>
      </c>
      <c r="L199" s="17">
        <v>7409086.0</v>
      </c>
      <c r="M199" s="17">
        <v>4438061.0</v>
      </c>
      <c r="N199" s="17">
        <v>1566534.0</v>
      </c>
      <c r="O199" s="17">
        <v>3943566.0</v>
      </c>
      <c r="P199" s="17">
        <v>1.216329E7</v>
      </c>
      <c r="Q199" s="17">
        <v>0.0</v>
      </c>
      <c r="R199" s="17">
        <v>9815709.0</v>
      </c>
      <c r="S199" s="17">
        <v>1.3978781E7</v>
      </c>
      <c r="T199" s="17">
        <v>5929128.0</v>
      </c>
      <c r="U199" s="17">
        <v>1.0532228E7</v>
      </c>
      <c r="V199" s="11">
        <f t="array" ref="V199">XLOOKUP(A:A,'Raw Revenue'!A:A,'Raw Revenue'!B:B,0)
</f>
        <v>6866639.289</v>
      </c>
      <c r="W199" s="11">
        <f t="array" ref="W199">XLOOKUP(A:A,'Raw Revenue'!C:C,'Raw Revenue'!D:D,0)</f>
        <v>6866639.289</v>
      </c>
      <c r="X199" s="11">
        <f t="array" ref="X199">XLOOKUP(A:A,'Raw Revenue'!E:E,'Raw Revenue'!F:F,0)</f>
        <v>13733278.58</v>
      </c>
      <c r="Y199" s="11">
        <f t="array" ref="Y199">XLOOKUP(A:A,'Raw Revenue'!G:G,'Raw Revenue'!H:H,0)</f>
        <v>11215510.84</v>
      </c>
      <c r="Z199" s="11">
        <f t="array" ref="Z199">XLOOKUP(A:A,'Raw Revenue'!I:I,'Raw Revenue'!J:J,0)</f>
        <v>10071070.96</v>
      </c>
      <c r="AA199" s="11">
        <f t="array" ref="AA199">XLOOKUP(A:A,'Raw Revenue'!K:K,'Raw Revenue'!L:L,0)</f>
        <v>25749897.33</v>
      </c>
      <c r="AB199" s="11">
        <f t="array" ref="AB199">XLOOKUP(A:A,'Raw Revenue'!M:M,'Raw Revenue'!N:N,0)</f>
        <v>23689905.55</v>
      </c>
      <c r="AC199" s="3">
        <v>0.0</v>
      </c>
      <c r="AD199" s="3">
        <v>0.0</v>
      </c>
      <c r="AE199" s="3">
        <v>0.0</v>
      </c>
      <c r="AF199" s="3">
        <v>0.0</v>
      </c>
      <c r="AG199" s="3">
        <v>0.0</v>
      </c>
    </row>
    <row r="200">
      <c r="A200" s="3" t="s">
        <v>701</v>
      </c>
      <c r="B200" s="3" t="s">
        <v>702</v>
      </c>
      <c r="C200" s="3" t="str">
        <f t="shared" si="1"/>
        <v>PT. Mentari Pagi Sejahtera</v>
      </c>
      <c r="D200" s="3" t="s">
        <v>130</v>
      </c>
      <c r="E200" s="3" t="s">
        <v>85</v>
      </c>
      <c r="F200" s="3" t="s">
        <v>86</v>
      </c>
      <c r="G200" s="3" t="s">
        <v>74</v>
      </c>
      <c r="H200" s="3" t="str">
        <f t="array" ref="H200">XLOOKUP(G:G,'Account Manager Data'!A:A,'Account Manager Data'!B:B,0)</f>
        <v>Budi Santoso</v>
      </c>
      <c r="I200" s="11" t="str">
        <f t="array" ref="I200">XLOOKUP($G:$G,'Account Manager Data'!$A:$A,'Account Manager Data'!C:C)</f>
        <v>Papua</v>
      </c>
      <c r="J200" s="17">
        <v>6429173.0</v>
      </c>
      <c r="K200" s="17">
        <v>8949935.0</v>
      </c>
      <c r="L200" s="17">
        <v>9694730.0</v>
      </c>
      <c r="M200" s="17">
        <v>3925592.0</v>
      </c>
      <c r="N200" s="17">
        <v>7603213.0</v>
      </c>
      <c r="O200" s="17">
        <v>5190511.0</v>
      </c>
      <c r="P200" s="17">
        <v>3655624.0</v>
      </c>
      <c r="Q200" s="17">
        <v>3310861.0</v>
      </c>
      <c r="R200" s="17">
        <v>7504489.0</v>
      </c>
      <c r="S200" s="17">
        <v>1.3528103E7</v>
      </c>
      <c r="T200" s="17">
        <v>1.0268618E7</v>
      </c>
      <c r="U200" s="17">
        <v>1.5473399E7</v>
      </c>
      <c r="V200" s="11">
        <f t="array" ref="V200">XLOOKUP(A:A,'Raw Revenue'!A:A,'Raw Revenue'!B:B,0)
</f>
        <v>0</v>
      </c>
      <c r="W200" s="11">
        <f t="array" ref="W200">XLOOKUP(A:A,'Raw Revenue'!C:C,'Raw Revenue'!D:D,0)</f>
        <v>0</v>
      </c>
      <c r="X200" s="11">
        <f t="array" ref="X200">XLOOKUP(A:A,'Raw Revenue'!E:E,'Raw Revenue'!F:F,0)</f>
        <v>0</v>
      </c>
      <c r="Y200" s="11">
        <f t="array" ref="Y200">XLOOKUP(A:A,'Raw Revenue'!G:G,'Raw Revenue'!H:H,0)</f>
        <v>0</v>
      </c>
      <c r="Z200" s="11">
        <f t="array" ref="Z200">XLOOKUP(A:A,'Raw Revenue'!I:I,'Raw Revenue'!J:J,0)</f>
        <v>0</v>
      </c>
      <c r="AA200" s="11">
        <f t="array" ref="AA200">XLOOKUP(A:A,'Raw Revenue'!K:K,'Raw Revenue'!L:L,0)</f>
        <v>0</v>
      </c>
      <c r="AB200" s="11">
        <f t="array" ref="AB200">XLOOKUP(A:A,'Raw Revenue'!M:M,'Raw Revenue'!N:N,0)</f>
        <v>0</v>
      </c>
      <c r="AC200" s="3">
        <v>0.0</v>
      </c>
      <c r="AD200" s="3">
        <v>0.0</v>
      </c>
      <c r="AE200" s="3">
        <v>0.0</v>
      </c>
      <c r="AF200" s="3">
        <v>0.0</v>
      </c>
      <c r="AG200" s="3">
        <v>0.0</v>
      </c>
    </row>
    <row r="201">
      <c r="A201" s="3" t="s">
        <v>703</v>
      </c>
      <c r="B201" s="3" t="s">
        <v>704</v>
      </c>
      <c r="C201" s="3" t="str">
        <f t="shared" si="1"/>
        <v>PT. Bintang Kejora Nusantara</v>
      </c>
      <c r="D201" s="3" t="s">
        <v>214</v>
      </c>
      <c r="E201" s="3" t="s">
        <v>187</v>
      </c>
      <c r="F201" s="3" t="s">
        <v>295</v>
      </c>
      <c r="G201" s="3" t="s">
        <v>76</v>
      </c>
      <c r="H201" s="3" t="str">
        <f t="array" ref="H201">XLOOKUP(G:G,'Account Manager Data'!A:A,'Account Manager Data'!B:B,0)</f>
        <v>Teguh Wijaya</v>
      </c>
      <c r="I201" s="11" t="str">
        <f t="array" ref="I201">XLOOKUP($G:$G,'Account Manager Data'!$A:$A,'Account Manager Data'!C:C)</f>
        <v>Sulawesi</v>
      </c>
      <c r="J201" s="17">
        <v>1866067.0</v>
      </c>
      <c r="K201" s="17">
        <v>6684978.0</v>
      </c>
      <c r="L201" s="17">
        <v>184418.0</v>
      </c>
      <c r="M201" s="17">
        <v>4066811.0</v>
      </c>
      <c r="N201" s="17">
        <v>7894547.0</v>
      </c>
      <c r="O201" s="17">
        <v>1.5109889E7</v>
      </c>
      <c r="P201" s="17">
        <v>1412726.0</v>
      </c>
      <c r="Q201" s="17">
        <v>4381096.0</v>
      </c>
      <c r="R201" s="17">
        <v>6824365.0</v>
      </c>
      <c r="S201" s="17">
        <v>7545035.0</v>
      </c>
      <c r="T201" s="17">
        <v>2756525.0</v>
      </c>
      <c r="U201" s="17">
        <v>5329346.0</v>
      </c>
      <c r="V201" s="11">
        <f t="array" ref="V201">XLOOKUP(A:A,'Raw Revenue'!A:A,'Raw Revenue'!B:B,0)
</f>
        <v>0</v>
      </c>
      <c r="W201" s="11">
        <f t="array" ref="W201">XLOOKUP(A:A,'Raw Revenue'!C:C,'Raw Revenue'!D:D,0)</f>
        <v>0</v>
      </c>
      <c r="X201" s="11">
        <f t="array" ref="X201">XLOOKUP(A:A,'Raw Revenue'!E:E,'Raw Revenue'!F:F,0)</f>
        <v>0</v>
      </c>
      <c r="Y201" s="11">
        <f t="array" ref="Y201">XLOOKUP(A:A,'Raw Revenue'!G:G,'Raw Revenue'!H:H,0)</f>
        <v>0</v>
      </c>
      <c r="Z201" s="11">
        <f t="array" ref="Z201">XLOOKUP(A:A,'Raw Revenue'!I:I,'Raw Revenue'!J:J,0)</f>
        <v>0</v>
      </c>
      <c r="AA201" s="11">
        <f t="array" ref="AA201">XLOOKUP(A:A,'Raw Revenue'!K:K,'Raw Revenue'!L:L,0)</f>
        <v>0</v>
      </c>
      <c r="AB201" s="11">
        <f t="array" ref="AB201">XLOOKUP(A:A,'Raw Revenue'!M:M,'Raw Revenue'!N:N,0)</f>
        <v>0</v>
      </c>
      <c r="AC201" s="3">
        <v>0.0</v>
      </c>
      <c r="AD201" s="3">
        <v>0.0</v>
      </c>
      <c r="AE201" s="3">
        <v>0.0</v>
      </c>
      <c r="AF201" s="3">
        <v>0.0</v>
      </c>
      <c r="AG201" s="3">
        <v>0.0</v>
      </c>
    </row>
    <row r="202">
      <c r="A202" s="3" t="s">
        <v>705</v>
      </c>
      <c r="B202" s="3" t="s">
        <v>706</v>
      </c>
      <c r="C202" s="3" t="str">
        <f t="shared" si="1"/>
        <v>PT. Maju Jaya</v>
      </c>
      <c r="D202" s="3" t="s">
        <v>195</v>
      </c>
      <c r="E202" s="3" t="s">
        <v>215</v>
      </c>
      <c r="F202" s="3" t="s">
        <v>216</v>
      </c>
      <c r="G202" s="3" t="s">
        <v>70</v>
      </c>
      <c r="H202" s="3" t="str">
        <f t="array" ref="H202">XLOOKUP(G:G,'Account Manager Data'!A:A,'Account Manager Data'!B:B,0)</f>
        <v>Yusuf Hidayat</v>
      </c>
      <c r="I202" s="11" t="str">
        <f t="array" ref="I202">XLOOKUP($G:$G,'Account Manager Data'!$A:$A,'Account Manager Data'!C:C)</f>
        <v>Sumatera</v>
      </c>
      <c r="J202" s="17">
        <v>3786308.0</v>
      </c>
      <c r="K202" s="17">
        <v>7728029.0</v>
      </c>
      <c r="L202" s="17">
        <v>5443347.0</v>
      </c>
      <c r="M202" s="17">
        <v>7298726.0</v>
      </c>
      <c r="N202" s="17">
        <v>1478260.0</v>
      </c>
      <c r="O202" s="17">
        <v>0.0</v>
      </c>
      <c r="P202" s="17">
        <v>5890479.0</v>
      </c>
      <c r="Q202" s="17">
        <v>4827661.0</v>
      </c>
      <c r="R202" s="17">
        <v>1.6411136E7</v>
      </c>
      <c r="S202" s="17">
        <v>7998818.0</v>
      </c>
      <c r="T202" s="17">
        <v>2512850.0</v>
      </c>
      <c r="U202" s="17">
        <v>1.235077E7</v>
      </c>
      <c r="V202" s="11">
        <f t="array" ref="V202">XLOOKUP(A:A,'Raw Revenue'!A:A,'Raw Revenue'!B:B,0)
</f>
        <v>0</v>
      </c>
      <c r="W202" s="11">
        <f t="array" ref="W202">XLOOKUP(A:A,'Raw Revenue'!C:C,'Raw Revenue'!D:D,0)</f>
        <v>0</v>
      </c>
      <c r="X202" s="11">
        <f t="array" ref="X202">XLOOKUP(A:A,'Raw Revenue'!E:E,'Raw Revenue'!F:F,0)</f>
        <v>0</v>
      </c>
      <c r="Y202" s="11">
        <f t="array" ref="Y202">XLOOKUP(A:A,'Raw Revenue'!G:G,'Raw Revenue'!H:H,0)</f>
        <v>0</v>
      </c>
      <c r="Z202" s="11">
        <f t="array" ref="Z202">XLOOKUP(A:A,'Raw Revenue'!I:I,'Raw Revenue'!J:J,0)</f>
        <v>0</v>
      </c>
      <c r="AA202" s="11">
        <f t="array" ref="AA202">XLOOKUP(A:A,'Raw Revenue'!K:K,'Raw Revenue'!L:L,0)</f>
        <v>0</v>
      </c>
      <c r="AB202" s="11">
        <f t="array" ref="AB202">XLOOKUP(A:A,'Raw Revenue'!M:M,'Raw Revenue'!N:N,0)</f>
        <v>0</v>
      </c>
      <c r="AC202" s="3">
        <v>0.0</v>
      </c>
      <c r="AD202" s="3">
        <v>0.0</v>
      </c>
      <c r="AE202" s="3">
        <v>0.0</v>
      </c>
      <c r="AF202" s="3">
        <v>0.0</v>
      </c>
      <c r="AG202" s="3">
        <v>0.0</v>
      </c>
    </row>
    <row r="203">
      <c r="A203" s="3" t="s">
        <v>97</v>
      </c>
      <c r="B203" s="3" t="s">
        <v>707</v>
      </c>
      <c r="C203" s="3" t="str">
        <f t="shared" si="1"/>
        <v>CV. Sumber Makmur</v>
      </c>
      <c r="D203" s="3" t="s">
        <v>103</v>
      </c>
      <c r="E203" s="3" t="s">
        <v>196</v>
      </c>
      <c r="F203" s="3" t="s">
        <v>197</v>
      </c>
      <c r="G203" s="3" t="s">
        <v>15</v>
      </c>
      <c r="H203" s="3" t="str">
        <f t="array" ref="H203">XLOOKUP(G:G,'Account Manager Data'!A:A,'Account Manager Data'!B:B,0)</f>
        <v>Rizky Maulana</v>
      </c>
      <c r="I203" s="11" t="str">
        <f t="array" ref="I203">XLOOKUP($G:$G,'Account Manager Data'!$A:$A,'Account Manager Data'!C:C)</f>
        <v>Jawa</v>
      </c>
      <c r="J203" s="17">
        <v>2552971.0</v>
      </c>
      <c r="K203" s="83">
        <v>8470588.0</v>
      </c>
      <c r="L203" s="84">
        <v>9108434.0</v>
      </c>
      <c r="M203" s="84">
        <v>5142857.0</v>
      </c>
      <c r="N203" s="84">
        <v>7690141.0</v>
      </c>
      <c r="O203" s="17">
        <v>3817905.0</v>
      </c>
      <c r="P203" s="84">
        <v>3.8793103E7</v>
      </c>
      <c r="Q203" s="84">
        <v>0.0</v>
      </c>
      <c r="R203" s="17">
        <v>4188717.0</v>
      </c>
      <c r="S203" s="17">
        <v>1.1218022E7</v>
      </c>
      <c r="T203" s="17">
        <v>3229673.0</v>
      </c>
      <c r="U203" s="17">
        <v>1037433.0</v>
      </c>
      <c r="V203" s="85">
        <f t="array" ref="V203">XLOOKUP(A:A,'Raw Revenue'!A:A,'Raw Revenue'!B:B,0)
</f>
        <v>6300000</v>
      </c>
      <c r="W203" s="22">
        <f t="array" ref="W203">XLOOKUP(A:A,'Raw Revenue'!C:C,'Raw Revenue'!D:D,0)</f>
        <v>8470588</v>
      </c>
      <c r="X203" s="22">
        <f t="array" ref="X203">XLOOKUP(A:A,'Raw Revenue'!E:E,'Raw Revenue'!F:F,0)</f>
        <v>9108434</v>
      </c>
      <c r="Y203" s="22">
        <f t="array" ref="Y203">XLOOKUP(A:A,'Raw Revenue'!G:G,'Raw Revenue'!H:H,0)</f>
        <v>5142857</v>
      </c>
      <c r="Z203" s="22">
        <f t="array" ref="Z203">XLOOKUP(A:A,'Raw Revenue'!I:I,'Raw Revenue'!J:J,0)</f>
        <v>7690141</v>
      </c>
      <c r="AA203" s="22">
        <f t="array" ref="AA203">XLOOKUP(A:A,'Raw Revenue'!K:K,'Raw Revenue'!L:L,0)</f>
        <v>3817905</v>
      </c>
      <c r="AB203" s="22">
        <f t="array" ref="AB203">XLOOKUP(A:A,'Raw Revenue'!M:M,'Raw Revenue'!N:N,0)</f>
        <v>38793103</v>
      </c>
      <c r="AC203" s="3">
        <v>0.0</v>
      </c>
      <c r="AD203" s="3">
        <v>0.0</v>
      </c>
      <c r="AE203" s="3">
        <v>0.0</v>
      </c>
      <c r="AF203" s="3">
        <v>0.0</v>
      </c>
      <c r="AG203" s="3">
        <v>0.0</v>
      </c>
    </row>
    <row r="204">
      <c r="A204" s="3" t="s">
        <v>708</v>
      </c>
      <c r="B204" s="3" t="s">
        <v>709</v>
      </c>
      <c r="C204" s="3" t="str">
        <f t="shared" si="1"/>
        <v>PT. Teknologi Nusantara</v>
      </c>
      <c r="D204" s="3" t="s">
        <v>195</v>
      </c>
      <c r="E204" s="3" t="s">
        <v>85</v>
      </c>
      <c r="F204" s="3" t="s">
        <v>407</v>
      </c>
      <c r="G204" s="3" t="s">
        <v>27</v>
      </c>
      <c r="H204" s="3" t="str">
        <f t="array" ref="H204">XLOOKUP(G:G,'Account Manager Data'!A:A,'Account Manager Data'!B:B,0)</f>
        <v>Dedi Kurniawan</v>
      </c>
      <c r="I204" s="11" t="str">
        <f t="array" ref="I204">XLOOKUP($G:$G,'Account Manager Data'!$A:$A,'Account Manager Data'!C:C)</f>
        <v>Kalimantan</v>
      </c>
      <c r="J204" s="17">
        <v>4403175.0</v>
      </c>
      <c r="K204" s="17">
        <v>5412977.0</v>
      </c>
      <c r="L204" s="17">
        <v>6082273.0</v>
      </c>
      <c r="M204" s="17">
        <v>2861729.0</v>
      </c>
      <c r="N204" s="17">
        <v>1.1026663E7</v>
      </c>
      <c r="O204" s="17">
        <v>6571242.0</v>
      </c>
      <c r="P204" s="17">
        <v>7980347.0</v>
      </c>
      <c r="Q204" s="17">
        <v>773876.0</v>
      </c>
      <c r="R204" s="17">
        <v>1.3643283E7</v>
      </c>
      <c r="S204" s="17">
        <v>4935095.0</v>
      </c>
      <c r="T204" s="17">
        <v>8625534.0</v>
      </c>
      <c r="U204" s="17">
        <v>1.6247853E7</v>
      </c>
      <c r="V204" s="11">
        <f t="array" ref="V204">XLOOKUP(A:A,'Raw Revenue'!A:A,'Raw Revenue'!B:B,0)
</f>
        <v>0</v>
      </c>
      <c r="W204" s="11">
        <f t="array" ref="W204">XLOOKUP(A:A,'Raw Revenue'!C:C,'Raw Revenue'!D:D,0)</f>
        <v>0</v>
      </c>
      <c r="X204" s="11">
        <f t="array" ref="X204">XLOOKUP(A:A,'Raw Revenue'!E:E,'Raw Revenue'!F:F,0)</f>
        <v>0</v>
      </c>
      <c r="Y204" s="11">
        <f t="array" ref="Y204">XLOOKUP(A:A,'Raw Revenue'!G:G,'Raw Revenue'!H:H,0)</f>
        <v>0</v>
      </c>
      <c r="Z204" s="11">
        <f t="array" ref="Z204">XLOOKUP(A:A,'Raw Revenue'!I:I,'Raw Revenue'!J:J,0)</f>
        <v>0</v>
      </c>
      <c r="AA204" s="11">
        <f t="array" ref="AA204">XLOOKUP(A:A,'Raw Revenue'!K:K,'Raw Revenue'!L:L,0)</f>
        <v>0</v>
      </c>
      <c r="AB204" s="11">
        <f t="array" ref="AB204">XLOOKUP(A:A,'Raw Revenue'!M:M,'Raw Revenue'!N:N,0)</f>
        <v>0</v>
      </c>
      <c r="AC204" s="3">
        <v>0.0</v>
      </c>
      <c r="AD204" s="3">
        <v>0.0</v>
      </c>
      <c r="AE204" s="3">
        <v>0.0</v>
      </c>
      <c r="AF204" s="3">
        <v>0.0</v>
      </c>
      <c r="AG204" s="3">
        <v>0.0</v>
      </c>
    </row>
    <row r="205">
      <c r="A205" s="3" t="s">
        <v>710</v>
      </c>
      <c r="B205" s="3" t="s">
        <v>711</v>
      </c>
      <c r="C205" s="3" t="str">
        <f t="shared" si="1"/>
        <v>PT. Bakti Indonesia</v>
      </c>
      <c r="D205" s="3" t="s">
        <v>130</v>
      </c>
      <c r="E205" s="3" t="s">
        <v>196</v>
      </c>
      <c r="F205" s="3" t="s">
        <v>197</v>
      </c>
      <c r="G205" s="3" t="s">
        <v>78</v>
      </c>
      <c r="H205" s="3" t="str">
        <f t="array" ref="H205">XLOOKUP(G:G,'Account Manager Data'!A:A,'Account Manager Data'!B:B,0)</f>
        <v>Ilham Saputra</v>
      </c>
      <c r="I205" s="11" t="str">
        <f t="array" ref="I205">XLOOKUP($G:$G,'Account Manager Data'!$A:$A,'Account Manager Data'!C:C)</f>
        <v>Jawa</v>
      </c>
      <c r="J205" s="17">
        <v>6758665.0</v>
      </c>
      <c r="K205" s="17">
        <v>1752570.0</v>
      </c>
      <c r="L205" s="17">
        <v>2572701.0</v>
      </c>
      <c r="M205" s="17">
        <v>1.1197271E7</v>
      </c>
      <c r="N205" s="17">
        <v>1801537.0</v>
      </c>
      <c r="O205" s="17">
        <v>8929980.0</v>
      </c>
      <c r="P205" s="17">
        <v>3585536.0</v>
      </c>
      <c r="Q205" s="17">
        <v>1327233.0</v>
      </c>
      <c r="R205" s="17">
        <v>0.0</v>
      </c>
      <c r="S205" s="17">
        <v>1.6462441E7</v>
      </c>
      <c r="T205" s="17">
        <v>3613874.0</v>
      </c>
      <c r="U205" s="17">
        <v>1.0540764E7</v>
      </c>
      <c r="V205" s="11">
        <f t="array" ref="V205">XLOOKUP(A:A,'Raw Revenue'!A:A,'Raw Revenue'!B:B,0)
</f>
        <v>0</v>
      </c>
      <c r="W205" s="11">
        <f t="array" ref="W205">XLOOKUP(A:A,'Raw Revenue'!C:C,'Raw Revenue'!D:D,0)</f>
        <v>0</v>
      </c>
      <c r="X205" s="11">
        <f t="array" ref="X205">XLOOKUP(A:A,'Raw Revenue'!E:E,'Raw Revenue'!F:F,0)</f>
        <v>0</v>
      </c>
      <c r="Y205" s="11">
        <f t="array" ref="Y205">XLOOKUP(A:A,'Raw Revenue'!G:G,'Raw Revenue'!H:H,0)</f>
        <v>0</v>
      </c>
      <c r="Z205" s="11">
        <f t="array" ref="Z205">XLOOKUP(A:A,'Raw Revenue'!I:I,'Raw Revenue'!J:J,0)</f>
        <v>0</v>
      </c>
      <c r="AA205" s="11">
        <f t="array" ref="AA205">XLOOKUP(A:A,'Raw Revenue'!K:K,'Raw Revenue'!L:L,0)</f>
        <v>0</v>
      </c>
      <c r="AB205" s="11">
        <f t="array" ref="AB205">XLOOKUP(A:A,'Raw Revenue'!M:M,'Raw Revenue'!N:N,0)</f>
        <v>0</v>
      </c>
      <c r="AC205" s="3">
        <v>0.0</v>
      </c>
      <c r="AD205" s="3">
        <v>0.0</v>
      </c>
      <c r="AE205" s="3">
        <v>0.0</v>
      </c>
      <c r="AF205" s="3">
        <v>0.0</v>
      </c>
      <c r="AG205" s="3">
        <v>0.0</v>
      </c>
    </row>
    <row r="206">
      <c r="A206" s="3" t="s">
        <v>712</v>
      </c>
      <c r="B206" s="3" t="s">
        <v>713</v>
      </c>
      <c r="C206" s="3" t="str">
        <f t="shared" si="1"/>
        <v>CV. Amanah Sejahtera</v>
      </c>
      <c r="D206" s="3" t="s">
        <v>214</v>
      </c>
      <c r="E206" s="3" t="s">
        <v>215</v>
      </c>
      <c r="F206" s="3" t="s">
        <v>216</v>
      </c>
      <c r="G206" s="3" t="s">
        <v>53</v>
      </c>
      <c r="H206" s="3" t="str">
        <f t="array" ref="H206">XLOOKUP(G:G,'Account Manager Data'!A:A,'Account Manager Data'!B:B,0)</f>
        <v>Fajar Ramadhan</v>
      </c>
      <c r="I206" s="11" t="str">
        <f t="array" ref="I206">XLOOKUP($G:$G,'Account Manager Data'!$A:$A,'Account Manager Data'!C:C)</f>
        <v>Sulawesi</v>
      </c>
      <c r="J206" s="17">
        <v>7238322.0</v>
      </c>
      <c r="K206" s="17">
        <v>6121755.0</v>
      </c>
      <c r="L206" s="17">
        <v>7527685.0</v>
      </c>
      <c r="M206" s="17">
        <v>8221541.0</v>
      </c>
      <c r="N206" s="17">
        <v>1.0220352E7</v>
      </c>
      <c r="O206" s="17">
        <v>1.0936222E7</v>
      </c>
      <c r="P206" s="17">
        <v>1.1951477E7</v>
      </c>
      <c r="Q206" s="17">
        <v>1.0868858E7</v>
      </c>
      <c r="R206" s="17">
        <v>8695318.0</v>
      </c>
      <c r="S206" s="17">
        <v>1.2629313E7</v>
      </c>
      <c r="T206" s="17">
        <v>1.7652777E7</v>
      </c>
      <c r="U206" s="17">
        <v>905329.0</v>
      </c>
      <c r="V206" s="11">
        <f t="array" ref="V206">XLOOKUP(A:A,'Raw Revenue'!A:A,'Raw Revenue'!B:B,0)
</f>
        <v>0</v>
      </c>
      <c r="W206" s="11">
        <f t="array" ref="W206">XLOOKUP(A:A,'Raw Revenue'!C:C,'Raw Revenue'!D:D,0)</f>
        <v>0</v>
      </c>
      <c r="X206" s="11">
        <f t="array" ref="X206">XLOOKUP(A:A,'Raw Revenue'!E:E,'Raw Revenue'!F:F,0)</f>
        <v>0</v>
      </c>
      <c r="Y206" s="11">
        <f t="array" ref="Y206">XLOOKUP(A:A,'Raw Revenue'!G:G,'Raw Revenue'!H:H,0)</f>
        <v>0</v>
      </c>
      <c r="Z206" s="11">
        <f t="array" ref="Z206">XLOOKUP(A:A,'Raw Revenue'!I:I,'Raw Revenue'!J:J,0)</f>
        <v>0</v>
      </c>
      <c r="AA206" s="11">
        <f t="array" ref="AA206">XLOOKUP(A:A,'Raw Revenue'!K:K,'Raw Revenue'!L:L,0)</f>
        <v>0</v>
      </c>
      <c r="AB206" s="11">
        <f t="array" ref="AB206">XLOOKUP(A:A,'Raw Revenue'!M:M,'Raw Revenue'!N:N,0)</f>
        <v>0</v>
      </c>
      <c r="AC206" s="3">
        <v>0.0</v>
      </c>
      <c r="AD206" s="3">
        <v>0.0</v>
      </c>
      <c r="AE206" s="3">
        <v>0.0</v>
      </c>
      <c r="AF206" s="3">
        <v>0.0</v>
      </c>
      <c r="AG206" s="3">
        <v>0.0</v>
      </c>
    </row>
    <row r="207">
      <c r="A207" s="3" t="s">
        <v>714</v>
      </c>
      <c r="B207" s="3" t="s">
        <v>715</v>
      </c>
      <c r="C207" s="3" t="str">
        <f t="shared" si="1"/>
        <v>PT. Digital Solusi Pratama</v>
      </c>
      <c r="D207" s="3" t="s">
        <v>195</v>
      </c>
      <c r="E207" s="3" t="s">
        <v>187</v>
      </c>
      <c r="F207" s="3" t="s">
        <v>188</v>
      </c>
      <c r="G207" s="3" t="s">
        <v>63</v>
      </c>
      <c r="H207" s="3" t="str">
        <f t="array" ref="H207">XLOOKUP(G:G,'Account Manager Data'!A:A,'Account Manager Data'!B:B,0)</f>
        <v>Hendra Gunawan</v>
      </c>
      <c r="I207" s="11" t="str">
        <f t="array" ref="I207">XLOOKUP($G:$G,'Account Manager Data'!$A:$A,'Account Manager Data'!C:C)</f>
        <v>Kalimantan</v>
      </c>
      <c r="J207" s="17">
        <v>0.0</v>
      </c>
      <c r="K207" s="17">
        <v>719718.0</v>
      </c>
      <c r="L207" s="17">
        <v>0.0</v>
      </c>
      <c r="M207" s="17">
        <v>6192400.0</v>
      </c>
      <c r="N207" s="17">
        <v>5237385.0</v>
      </c>
      <c r="O207" s="17">
        <v>1.4021821E7</v>
      </c>
      <c r="P207" s="17">
        <v>3066017.0</v>
      </c>
      <c r="Q207" s="17">
        <v>5657985.0</v>
      </c>
      <c r="R207" s="17">
        <v>1.497545E7</v>
      </c>
      <c r="S207" s="17">
        <v>1.6986721E7</v>
      </c>
      <c r="T207" s="17">
        <v>6823709.0</v>
      </c>
      <c r="U207" s="17">
        <v>1.293531E7</v>
      </c>
      <c r="V207" s="11">
        <f t="array" ref="V207">XLOOKUP(A:A,'Raw Revenue'!A:A,'Raw Revenue'!B:B,0)
</f>
        <v>0</v>
      </c>
      <c r="W207" s="11">
        <f t="array" ref="W207">XLOOKUP(A:A,'Raw Revenue'!C:C,'Raw Revenue'!D:D,0)</f>
        <v>0</v>
      </c>
      <c r="X207" s="11">
        <f t="array" ref="X207">XLOOKUP(A:A,'Raw Revenue'!E:E,'Raw Revenue'!F:F,0)</f>
        <v>0</v>
      </c>
      <c r="Y207" s="11">
        <f t="array" ref="Y207">XLOOKUP(A:A,'Raw Revenue'!G:G,'Raw Revenue'!H:H,0)</f>
        <v>0</v>
      </c>
      <c r="Z207" s="11">
        <f t="array" ref="Z207">XLOOKUP(A:A,'Raw Revenue'!I:I,'Raw Revenue'!J:J,0)</f>
        <v>0</v>
      </c>
      <c r="AA207" s="11">
        <f t="array" ref="AA207">XLOOKUP(A:A,'Raw Revenue'!K:K,'Raw Revenue'!L:L,0)</f>
        <v>0</v>
      </c>
      <c r="AB207" s="11">
        <f t="array" ref="AB207">XLOOKUP(A:A,'Raw Revenue'!M:M,'Raw Revenue'!N:N,0)</f>
        <v>0</v>
      </c>
      <c r="AC207" s="3">
        <v>0.0</v>
      </c>
      <c r="AD207" s="3">
        <v>0.0</v>
      </c>
      <c r="AE207" s="3">
        <v>0.0</v>
      </c>
      <c r="AF207" s="3">
        <v>0.0</v>
      </c>
      <c r="AG207" s="3">
        <v>0.0</v>
      </c>
    </row>
    <row r="208">
      <c r="A208" s="3" t="s">
        <v>716</v>
      </c>
      <c r="B208" s="3" t="s">
        <v>717</v>
      </c>
      <c r="C208" s="3" t="str">
        <f t="shared" si="1"/>
        <v>PT. Global Niaga Abadi</v>
      </c>
      <c r="D208" s="3" t="s">
        <v>214</v>
      </c>
      <c r="E208" s="3" t="s">
        <v>104</v>
      </c>
      <c r="F208" s="3" t="s">
        <v>252</v>
      </c>
      <c r="G208" s="3" t="s">
        <v>35</v>
      </c>
      <c r="H208" s="3" t="str">
        <f t="array" ref="H208">XLOOKUP(G:G,'Account Manager Data'!A:A,'Account Manager Data'!B:B,0)</f>
        <v>Ahmad Fauzi</v>
      </c>
      <c r="I208" s="11" t="str">
        <f t="array" ref="I208">XLOOKUP($G:$G,'Account Manager Data'!$A:$A,'Account Manager Data'!C:C)</f>
        <v>Sumatera</v>
      </c>
      <c r="J208" s="17">
        <v>7200610.0</v>
      </c>
      <c r="K208" s="17">
        <v>6889517.0</v>
      </c>
      <c r="L208" s="17">
        <v>8829684.0</v>
      </c>
      <c r="M208" s="17">
        <v>3126007.0</v>
      </c>
      <c r="N208" s="17">
        <v>1135125.0</v>
      </c>
      <c r="O208" s="17">
        <v>1.2295368E7</v>
      </c>
      <c r="P208" s="17">
        <v>5600831.0</v>
      </c>
      <c r="Q208" s="17">
        <v>1.2890369E7</v>
      </c>
      <c r="R208" s="17">
        <v>783282.0</v>
      </c>
      <c r="S208" s="17">
        <v>7491591.0</v>
      </c>
      <c r="T208" s="17">
        <v>1.0279835E7</v>
      </c>
      <c r="U208" s="17">
        <v>1.572502E7</v>
      </c>
      <c r="V208" s="11">
        <f t="array" ref="V208">XLOOKUP(A:A,'Raw Revenue'!A:A,'Raw Revenue'!B:B,0)
</f>
        <v>0</v>
      </c>
      <c r="W208" s="11">
        <f t="array" ref="W208">XLOOKUP(A:A,'Raw Revenue'!C:C,'Raw Revenue'!D:D,0)</f>
        <v>0</v>
      </c>
      <c r="X208" s="11">
        <f t="array" ref="X208">XLOOKUP(A:A,'Raw Revenue'!E:E,'Raw Revenue'!F:F,0)</f>
        <v>0</v>
      </c>
      <c r="Y208" s="11">
        <f t="array" ref="Y208">XLOOKUP(A:A,'Raw Revenue'!G:G,'Raw Revenue'!H:H,0)</f>
        <v>0</v>
      </c>
      <c r="Z208" s="11">
        <f t="array" ref="Z208">XLOOKUP(A:A,'Raw Revenue'!I:I,'Raw Revenue'!J:J,0)</f>
        <v>0</v>
      </c>
      <c r="AA208" s="11">
        <f t="array" ref="AA208">XLOOKUP(A:A,'Raw Revenue'!K:K,'Raw Revenue'!L:L,0)</f>
        <v>0</v>
      </c>
      <c r="AB208" s="11">
        <f t="array" ref="AB208">XLOOKUP(A:A,'Raw Revenue'!M:M,'Raw Revenue'!N:N,0)</f>
        <v>0</v>
      </c>
      <c r="AC208" s="3">
        <v>0.0</v>
      </c>
      <c r="AD208" s="3">
        <v>0.0</v>
      </c>
      <c r="AE208" s="3">
        <v>0.0</v>
      </c>
      <c r="AF208" s="3">
        <v>0.0</v>
      </c>
      <c r="AG208" s="3">
        <v>0.0</v>
      </c>
    </row>
    <row r="209">
      <c r="A209" s="3" t="s">
        <v>718</v>
      </c>
      <c r="B209" s="3" t="s">
        <v>719</v>
      </c>
      <c r="C209" s="3" t="str">
        <f t="shared" si="1"/>
        <v>PT. Indo Makmur Sentosa</v>
      </c>
      <c r="D209" s="3" t="s">
        <v>186</v>
      </c>
      <c r="E209" s="3" t="s">
        <v>104</v>
      </c>
      <c r="F209" s="3" t="s">
        <v>252</v>
      </c>
      <c r="G209" s="3" t="s">
        <v>74</v>
      </c>
      <c r="H209" s="3" t="str">
        <f t="array" ref="H209">XLOOKUP(G:G,'Account Manager Data'!A:A,'Account Manager Data'!B:B,0)</f>
        <v>Budi Santoso</v>
      </c>
      <c r="I209" s="11" t="str">
        <f t="array" ref="I209">XLOOKUP($G:$G,'Account Manager Data'!$A:$A,'Account Manager Data'!C:C)</f>
        <v>Papua</v>
      </c>
      <c r="J209" s="17">
        <v>4364095.0</v>
      </c>
      <c r="K209" s="17">
        <v>2874280.0</v>
      </c>
      <c r="L209" s="17">
        <v>6880656.0</v>
      </c>
      <c r="M209" s="17">
        <v>5875953.0</v>
      </c>
      <c r="N209" s="17">
        <v>4644735.0</v>
      </c>
      <c r="O209" s="17">
        <v>1.5020411E7</v>
      </c>
      <c r="P209" s="17">
        <v>1963048.0</v>
      </c>
      <c r="Q209" s="17">
        <v>2807074.0</v>
      </c>
      <c r="R209" s="17">
        <v>7449425.0</v>
      </c>
      <c r="S209" s="17">
        <v>1.3090828E7</v>
      </c>
      <c r="T209" s="17">
        <v>6137973.0</v>
      </c>
      <c r="U209" s="17">
        <v>5737952.0</v>
      </c>
      <c r="V209" s="11">
        <f t="array" ref="V209">XLOOKUP(A:A,'Raw Revenue'!A:A,'Raw Revenue'!B:B,0)
</f>
        <v>0</v>
      </c>
      <c r="W209" s="11">
        <f t="array" ref="W209">XLOOKUP(A:A,'Raw Revenue'!C:C,'Raw Revenue'!D:D,0)</f>
        <v>0</v>
      </c>
      <c r="X209" s="11">
        <f t="array" ref="X209">XLOOKUP(A:A,'Raw Revenue'!E:E,'Raw Revenue'!F:F,0)</f>
        <v>0</v>
      </c>
      <c r="Y209" s="11">
        <f t="array" ref="Y209">XLOOKUP(A:A,'Raw Revenue'!G:G,'Raw Revenue'!H:H,0)</f>
        <v>0</v>
      </c>
      <c r="Z209" s="11">
        <f t="array" ref="Z209">XLOOKUP(A:A,'Raw Revenue'!I:I,'Raw Revenue'!J:J,0)</f>
        <v>0</v>
      </c>
      <c r="AA209" s="11">
        <f t="array" ref="AA209">XLOOKUP(A:A,'Raw Revenue'!K:K,'Raw Revenue'!L:L,0)</f>
        <v>0</v>
      </c>
      <c r="AB209" s="11">
        <f t="array" ref="AB209">XLOOKUP(A:A,'Raw Revenue'!M:M,'Raw Revenue'!N:N,0)</f>
        <v>0</v>
      </c>
      <c r="AC209" s="3">
        <v>0.0</v>
      </c>
      <c r="AD209" s="3">
        <v>0.0</v>
      </c>
      <c r="AE209" s="3">
        <v>0.0</v>
      </c>
      <c r="AF209" s="3">
        <v>0.0</v>
      </c>
      <c r="AG209" s="3">
        <v>0.0</v>
      </c>
    </row>
    <row r="210">
      <c r="A210" s="3" t="s">
        <v>720</v>
      </c>
      <c r="B210" s="3" t="s">
        <v>721</v>
      </c>
      <c r="C210" s="3" t="str">
        <f t="shared" si="1"/>
        <v>PT. Citra Mandiri Utama</v>
      </c>
      <c r="D210" s="3" t="s">
        <v>214</v>
      </c>
      <c r="E210" s="3" t="s">
        <v>196</v>
      </c>
      <c r="F210" s="3" t="s">
        <v>197</v>
      </c>
      <c r="G210" s="3" t="s">
        <v>43</v>
      </c>
      <c r="H210" s="3" t="str">
        <f t="array" ref="H210">XLOOKUP(G:G,'Account Manager Data'!A:A,'Account Manager Data'!B:B,0)</f>
        <v>Eko Prasetyo</v>
      </c>
      <c r="I210" s="11" t="str">
        <f t="array" ref="I210">XLOOKUP($G:$G,'Account Manager Data'!$A:$A,'Account Manager Data'!C:C)</f>
        <v>Papua</v>
      </c>
      <c r="J210" s="17">
        <v>5605009.0</v>
      </c>
      <c r="K210" s="17">
        <v>4576819.0</v>
      </c>
      <c r="L210" s="17">
        <v>5652312.0</v>
      </c>
      <c r="M210" s="17">
        <v>0.0</v>
      </c>
      <c r="N210" s="17">
        <v>5171505.0</v>
      </c>
      <c r="O210" s="17">
        <v>7192255.0</v>
      </c>
      <c r="P210" s="17">
        <v>1.1369892E7</v>
      </c>
      <c r="Q210" s="17">
        <v>1.1778518E7</v>
      </c>
      <c r="R210" s="17">
        <v>1.2115129E7</v>
      </c>
      <c r="S210" s="17">
        <v>1.2587159E7</v>
      </c>
      <c r="T210" s="17">
        <v>1.2348628E7</v>
      </c>
      <c r="U210" s="17">
        <v>8460713.0</v>
      </c>
      <c r="V210" s="11">
        <f t="array" ref="V210">XLOOKUP(A:A,'Raw Revenue'!A:A,'Raw Revenue'!B:B,0)
</f>
        <v>0</v>
      </c>
      <c r="W210" s="11">
        <f t="array" ref="W210">XLOOKUP(A:A,'Raw Revenue'!C:C,'Raw Revenue'!D:D,0)</f>
        <v>0</v>
      </c>
      <c r="X210" s="11">
        <f t="array" ref="X210">XLOOKUP(A:A,'Raw Revenue'!E:E,'Raw Revenue'!F:F,0)</f>
        <v>0</v>
      </c>
      <c r="Y210" s="11">
        <f t="array" ref="Y210">XLOOKUP(A:A,'Raw Revenue'!G:G,'Raw Revenue'!H:H,0)</f>
        <v>0</v>
      </c>
      <c r="Z210" s="11">
        <f t="array" ref="Z210">XLOOKUP(A:A,'Raw Revenue'!I:I,'Raw Revenue'!J:J,0)</f>
        <v>0</v>
      </c>
      <c r="AA210" s="11">
        <f t="array" ref="AA210">XLOOKUP(A:A,'Raw Revenue'!K:K,'Raw Revenue'!L:L,0)</f>
        <v>0</v>
      </c>
      <c r="AB210" s="11">
        <f t="array" ref="AB210">XLOOKUP(A:A,'Raw Revenue'!M:M,'Raw Revenue'!N:N,0)</f>
        <v>0</v>
      </c>
      <c r="AC210" s="3">
        <v>0.0</v>
      </c>
      <c r="AD210" s="3">
        <v>0.0</v>
      </c>
      <c r="AE210" s="3">
        <v>0.0</v>
      </c>
      <c r="AF210" s="3">
        <v>0.0</v>
      </c>
      <c r="AG210" s="3">
        <v>0.0</v>
      </c>
    </row>
    <row r="211">
      <c r="A211" s="3" t="s">
        <v>722</v>
      </c>
      <c r="B211" s="3" t="s">
        <v>723</v>
      </c>
      <c r="C211" s="3" t="str">
        <f t="shared" si="1"/>
        <v>PT. Sinar Dunia Baru</v>
      </c>
      <c r="D211" s="3" t="s">
        <v>214</v>
      </c>
      <c r="E211" s="3" t="s">
        <v>104</v>
      </c>
      <c r="F211" s="3" t="s">
        <v>105</v>
      </c>
      <c r="G211" s="3" t="s">
        <v>76</v>
      </c>
      <c r="H211" s="3" t="str">
        <f t="array" ref="H211">XLOOKUP(G:G,'Account Manager Data'!A:A,'Account Manager Data'!B:B,0)</f>
        <v>Teguh Wijaya</v>
      </c>
      <c r="I211" s="11" t="str">
        <f t="array" ref="I211">XLOOKUP($G:$G,'Account Manager Data'!$A:$A,'Account Manager Data'!C:C)</f>
        <v>Sulawesi</v>
      </c>
      <c r="J211" s="17">
        <v>7058372.0</v>
      </c>
      <c r="K211" s="17">
        <v>8681010.0</v>
      </c>
      <c r="L211" s="17">
        <v>3446488.0</v>
      </c>
      <c r="M211" s="17">
        <v>7475341.0</v>
      </c>
      <c r="N211" s="17">
        <v>7423829.0</v>
      </c>
      <c r="O211" s="17">
        <v>4282637.0</v>
      </c>
      <c r="P211" s="17">
        <v>1.1577129E7</v>
      </c>
      <c r="Q211" s="17">
        <v>1987730.0</v>
      </c>
      <c r="R211" s="17">
        <v>6115206.0</v>
      </c>
      <c r="S211" s="17">
        <v>9101423.0</v>
      </c>
      <c r="T211" s="17">
        <v>1.0691122E7</v>
      </c>
      <c r="U211" s="17">
        <v>1.0434174E7</v>
      </c>
      <c r="V211" s="11">
        <f t="array" ref="V211">XLOOKUP(A:A,'Raw Revenue'!A:A,'Raw Revenue'!B:B,0)
</f>
        <v>0</v>
      </c>
      <c r="W211" s="11">
        <f t="array" ref="W211">XLOOKUP(A:A,'Raw Revenue'!C:C,'Raw Revenue'!D:D,0)</f>
        <v>0</v>
      </c>
      <c r="X211" s="11">
        <f t="array" ref="X211">XLOOKUP(A:A,'Raw Revenue'!E:E,'Raw Revenue'!F:F,0)</f>
        <v>0</v>
      </c>
      <c r="Y211" s="11">
        <f t="array" ref="Y211">XLOOKUP(A:A,'Raw Revenue'!G:G,'Raw Revenue'!H:H,0)</f>
        <v>0</v>
      </c>
      <c r="Z211" s="11">
        <f t="array" ref="Z211">XLOOKUP(A:A,'Raw Revenue'!I:I,'Raw Revenue'!J:J,0)</f>
        <v>0</v>
      </c>
      <c r="AA211" s="11">
        <f t="array" ref="AA211">XLOOKUP(A:A,'Raw Revenue'!K:K,'Raw Revenue'!L:L,0)</f>
        <v>0</v>
      </c>
      <c r="AB211" s="11">
        <f t="array" ref="AB211">XLOOKUP(A:A,'Raw Revenue'!M:M,'Raw Revenue'!N:N,0)</f>
        <v>0</v>
      </c>
      <c r="AC211" s="3">
        <v>0.0</v>
      </c>
      <c r="AD211" s="3">
        <v>0.0</v>
      </c>
      <c r="AE211" s="3">
        <v>0.0</v>
      </c>
      <c r="AF211" s="3">
        <v>0.0</v>
      </c>
      <c r="AG211" s="3">
        <v>0.0</v>
      </c>
    </row>
    <row r="212">
      <c r="A212" s="3" t="s">
        <v>724</v>
      </c>
      <c r="B212" s="3" t="s">
        <v>725</v>
      </c>
      <c r="C212" s="3" t="str">
        <f t="shared" si="1"/>
        <v>CV. Karya Utama Mandiri</v>
      </c>
      <c r="D212" s="3" t="s">
        <v>186</v>
      </c>
      <c r="E212" s="3" t="s">
        <v>85</v>
      </c>
      <c r="F212" s="3" t="s">
        <v>407</v>
      </c>
      <c r="G212" s="3" t="s">
        <v>70</v>
      </c>
      <c r="H212" s="3" t="str">
        <f t="array" ref="H212">XLOOKUP(G:G,'Account Manager Data'!A:A,'Account Manager Data'!B:B,0)</f>
        <v>Yusuf Hidayat</v>
      </c>
      <c r="I212" s="11" t="str">
        <f t="array" ref="I212">XLOOKUP($G:$G,'Account Manager Data'!$A:$A,'Account Manager Data'!C:C)</f>
        <v>Sumatera</v>
      </c>
      <c r="J212" s="17">
        <v>5326785.0</v>
      </c>
      <c r="K212" s="17">
        <v>4176796.0</v>
      </c>
      <c r="L212" s="17">
        <v>4895878.0</v>
      </c>
      <c r="M212" s="17">
        <v>1.0017559E7</v>
      </c>
      <c r="N212" s="17">
        <v>0.0</v>
      </c>
      <c r="O212" s="17">
        <v>568771.0</v>
      </c>
      <c r="P212" s="17">
        <v>8013571.0</v>
      </c>
      <c r="Q212" s="17">
        <v>0.0</v>
      </c>
      <c r="R212" s="17">
        <v>1797426.0</v>
      </c>
      <c r="S212" s="17">
        <v>1.6272529E7</v>
      </c>
      <c r="T212" s="17">
        <v>4046027.0</v>
      </c>
      <c r="U212" s="17">
        <v>7156379.0</v>
      </c>
      <c r="V212" s="11">
        <f t="array" ref="V212">XLOOKUP(A:A,'Raw Revenue'!A:A,'Raw Revenue'!B:B,0)
</f>
        <v>0</v>
      </c>
      <c r="W212" s="11">
        <f t="array" ref="W212">XLOOKUP(A:A,'Raw Revenue'!C:C,'Raw Revenue'!D:D,0)</f>
        <v>0</v>
      </c>
      <c r="X212" s="11">
        <f t="array" ref="X212">XLOOKUP(A:A,'Raw Revenue'!E:E,'Raw Revenue'!F:F,0)</f>
        <v>0</v>
      </c>
      <c r="Y212" s="11">
        <f t="array" ref="Y212">XLOOKUP(A:A,'Raw Revenue'!G:G,'Raw Revenue'!H:H,0)</f>
        <v>0</v>
      </c>
      <c r="Z212" s="11">
        <f t="array" ref="Z212">XLOOKUP(A:A,'Raw Revenue'!I:I,'Raw Revenue'!J:J,0)</f>
        <v>0</v>
      </c>
      <c r="AA212" s="11">
        <f t="array" ref="AA212">XLOOKUP(A:A,'Raw Revenue'!K:K,'Raw Revenue'!L:L,0)</f>
        <v>0</v>
      </c>
      <c r="AB212" s="11">
        <f t="array" ref="AB212">XLOOKUP(A:A,'Raw Revenue'!M:M,'Raw Revenue'!N:N,0)</f>
        <v>0</v>
      </c>
      <c r="AC212" s="3">
        <v>0.0</v>
      </c>
      <c r="AD212" s="3">
        <v>0.0</v>
      </c>
      <c r="AE212" s="3">
        <v>0.0</v>
      </c>
      <c r="AF212" s="3">
        <v>0.0</v>
      </c>
      <c r="AG212" s="3">
        <v>0.0</v>
      </c>
    </row>
    <row r="213">
      <c r="A213" s="3" t="s">
        <v>726</v>
      </c>
      <c r="B213" s="3" t="s">
        <v>727</v>
      </c>
      <c r="C213" s="3" t="str">
        <f t="shared" si="1"/>
        <v>PT. Pratama Jaya Sentosa</v>
      </c>
      <c r="D213" s="3" t="s">
        <v>186</v>
      </c>
      <c r="E213" s="3" t="s">
        <v>187</v>
      </c>
      <c r="F213" s="3" t="s">
        <v>269</v>
      </c>
      <c r="G213" s="3" t="s">
        <v>15</v>
      </c>
      <c r="H213" s="3" t="str">
        <f t="array" ref="H213">XLOOKUP(G:G,'Account Manager Data'!A:A,'Account Manager Data'!B:B,0)</f>
        <v>Rizky Maulana</v>
      </c>
      <c r="I213" s="11" t="str">
        <f t="array" ref="I213">XLOOKUP($G:$G,'Account Manager Data'!$A:$A,'Account Manager Data'!C:C)</f>
        <v>Jawa</v>
      </c>
      <c r="J213" s="17">
        <v>6326755.0</v>
      </c>
      <c r="K213" s="17">
        <v>8655284.0</v>
      </c>
      <c r="L213" s="17">
        <v>5189905.0</v>
      </c>
      <c r="M213" s="17">
        <v>1.1372818E7</v>
      </c>
      <c r="N213" s="17">
        <v>1.2932603E7</v>
      </c>
      <c r="O213" s="17">
        <v>9995496.0</v>
      </c>
      <c r="P213" s="17">
        <v>1324526.0</v>
      </c>
      <c r="Q213" s="17">
        <v>3225687.0</v>
      </c>
      <c r="R213" s="17">
        <v>1.2246369E7</v>
      </c>
      <c r="S213" s="17">
        <v>2195133.0</v>
      </c>
      <c r="T213" s="17">
        <v>1.6444552E7</v>
      </c>
      <c r="U213" s="17">
        <v>1.9371327E7</v>
      </c>
      <c r="V213" s="11">
        <f t="array" ref="V213">XLOOKUP(A:A,'Raw Revenue'!A:A,'Raw Revenue'!B:B,0)
</f>
        <v>0</v>
      </c>
      <c r="W213" s="11">
        <f t="array" ref="W213">XLOOKUP(A:A,'Raw Revenue'!C:C,'Raw Revenue'!D:D,0)</f>
        <v>0</v>
      </c>
      <c r="X213" s="11">
        <f t="array" ref="X213">XLOOKUP(A:A,'Raw Revenue'!E:E,'Raw Revenue'!F:F,0)</f>
        <v>0</v>
      </c>
      <c r="Y213" s="11">
        <f t="array" ref="Y213">XLOOKUP(A:A,'Raw Revenue'!G:G,'Raw Revenue'!H:H,0)</f>
        <v>0</v>
      </c>
      <c r="Z213" s="11">
        <f t="array" ref="Z213">XLOOKUP(A:A,'Raw Revenue'!I:I,'Raw Revenue'!J:J,0)</f>
        <v>0</v>
      </c>
      <c r="AA213" s="11">
        <f t="array" ref="AA213">XLOOKUP(A:A,'Raw Revenue'!K:K,'Raw Revenue'!L:L,0)</f>
        <v>0</v>
      </c>
      <c r="AB213" s="11">
        <f t="array" ref="AB213">XLOOKUP(A:A,'Raw Revenue'!M:M,'Raw Revenue'!N:N,0)</f>
        <v>0</v>
      </c>
      <c r="AC213" s="3">
        <v>0.0</v>
      </c>
      <c r="AD213" s="3">
        <v>0.0</v>
      </c>
      <c r="AE213" s="3">
        <v>0.0</v>
      </c>
      <c r="AF213" s="3">
        <v>0.0</v>
      </c>
      <c r="AG213" s="3">
        <v>0.0</v>
      </c>
    </row>
    <row r="214">
      <c r="A214" s="3" t="s">
        <v>728</v>
      </c>
      <c r="B214" s="3" t="s">
        <v>729</v>
      </c>
      <c r="C214" s="3" t="str">
        <f t="shared" si="1"/>
        <v>PT. Abadi Selamanya Jaya</v>
      </c>
      <c r="D214" s="3" t="s">
        <v>84</v>
      </c>
      <c r="E214" s="3" t="s">
        <v>187</v>
      </c>
      <c r="F214" s="3" t="s">
        <v>188</v>
      </c>
      <c r="G214" s="3" t="s">
        <v>53</v>
      </c>
      <c r="H214" s="3" t="str">
        <f t="array" ref="H214">XLOOKUP(G:G,'Account Manager Data'!A:A,'Account Manager Data'!B:B,0)</f>
        <v>Fajar Ramadhan</v>
      </c>
      <c r="I214" s="11" t="str">
        <f t="array" ref="I214">XLOOKUP($G:$G,'Account Manager Data'!$A:$A,'Account Manager Data'!C:C)</f>
        <v>Sulawesi</v>
      </c>
      <c r="J214" s="17">
        <v>7451741.0</v>
      </c>
      <c r="K214" s="17">
        <v>4288762.0</v>
      </c>
      <c r="L214" s="17">
        <v>4599634.0</v>
      </c>
      <c r="M214" s="17">
        <v>1.0719463E7</v>
      </c>
      <c r="N214" s="17">
        <v>9236307.0</v>
      </c>
      <c r="O214" s="17">
        <v>3904880.0</v>
      </c>
      <c r="P214" s="17">
        <v>9966916.0</v>
      </c>
      <c r="Q214" s="17">
        <v>1.1373337E7</v>
      </c>
      <c r="R214" s="17">
        <v>6298136.0</v>
      </c>
      <c r="S214" s="17">
        <v>1.1638333E7</v>
      </c>
      <c r="T214" s="17">
        <v>5067820.0</v>
      </c>
      <c r="U214" s="17">
        <v>0.0</v>
      </c>
      <c r="V214" s="11">
        <f t="array" ref="V214">XLOOKUP(A:A,'Raw Revenue'!A:A,'Raw Revenue'!B:B,0)
</f>
        <v>0</v>
      </c>
      <c r="W214" s="11">
        <f t="array" ref="W214">XLOOKUP(A:A,'Raw Revenue'!C:C,'Raw Revenue'!D:D,0)</f>
        <v>0</v>
      </c>
      <c r="X214" s="11">
        <f t="array" ref="X214">XLOOKUP(A:A,'Raw Revenue'!E:E,'Raw Revenue'!F:F,0)</f>
        <v>0</v>
      </c>
      <c r="Y214" s="11">
        <f t="array" ref="Y214">XLOOKUP(A:A,'Raw Revenue'!G:G,'Raw Revenue'!H:H,0)</f>
        <v>0</v>
      </c>
      <c r="Z214" s="11">
        <f t="array" ref="Z214">XLOOKUP(A:A,'Raw Revenue'!I:I,'Raw Revenue'!J:J,0)</f>
        <v>0</v>
      </c>
      <c r="AA214" s="11">
        <f t="array" ref="AA214">XLOOKUP(A:A,'Raw Revenue'!K:K,'Raw Revenue'!L:L,0)</f>
        <v>0</v>
      </c>
      <c r="AB214" s="11">
        <f t="array" ref="AB214">XLOOKUP(A:A,'Raw Revenue'!M:M,'Raw Revenue'!N:N,0)</f>
        <v>0</v>
      </c>
      <c r="AC214" s="3">
        <v>0.0</v>
      </c>
      <c r="AD214" s="3">
        <v>0.0</v>
      </c>
      <c r="AE214" s="3">
        <v>0.0</v>
      </c>
      <c r="AF214" s="3">
        <v>0.0</v>
      </c>
      <c r="AG214" s="3">
        <v>0.0</v>
      </c>
    </row>
    <row r="215">
      <c r="A215" s="3" t="s">
        <v>730</v>
      </c>
      <c r="B215" s="3" t="s">
        <v>731</v>
      </c>
      <c r="C215" s="3" t="str">
        <f t="shared" si="1"/>
        <v>PT. Mandiri Sejahtera Bersama</v>
      </c>
      <c r="D215" s="3" t="s">
        <v>186</v>
      </c>
      <c r="E215" s="3" t="s">
        <v>215</v>
      </c>
      <c r="F215" s="3" t="s">
        <v>227</v>
      </c>
      <c r="G215" s="3" t="s">
        <v>27</v>
      </c>
      <c r="H215" s="3" t="str">
        <f t="array" ref="H215">XLOOKUP(G:G,'Account Manager Data'!A:A,'Account Manager Data'!B:B,0)</f>
        <v>Dedi Kurniawan</v>
      </c>
      <c r="I215" s="11" t="str">
        <f t="array" ref="I215">XLOOKUP($G:$G,'Account Manager Data'!$A:$A,'Account Manager Data'!C:C)</f>
        <v>Kalimantan</v>
      </c>
      <c r="J215" s="17">
        <v>7030682.0</v>
      </c>
      <c r="K215" s="17">
        <v>3849725.0</v>
      </c>
      <c r="L215" s="17">
        <v>112971.0</v>
      </c>
      <c r="M215" s="17">
        <v>5965556.0</v>
      </c>
      <c r="N215" s="17">
        <v>8320623.0</v>
      </c>
      <c r="O215" s="17">
        <v>1787371.0</v>
      </c>
      <c r="P215" s="17">
        <v>8784201.0</v>
      </c>
      <c r="Q215" s="17">
        <v>9160813.0</v>
      </c>
      <c r="R215" s="17">
        <v>1.2787761E7</v>
      </c>
      <c r="S215" s="17">
        <v>1.7211405E7</v>
      </c>
      <c r="T215" s="17">
        <v>1.5709748E7</v>
      </c>
      <c r="U215" s="17">
        <v>0.0</v>
      </c>
      <c r="V215" s="11">
        <f t="array" ref="V215">XLOOKUP(A:A,'Raw Revenue'!A:A,'Raw Revenue'!B:B,0)
</f>
        <v>0</v>
      </c>
      <c r="W215" s="11">
        <f t="array" ref="W215">XLOOKUP(A:A,'Raw Revenue'!C:C,'Raw Revenue'!D:D,0)</f>
        <v>0</v>
      </c>
      <c r="X215" s="11">
        <f t="array" ref="X215">XLOOKUP(A:A,'Raw Revenue'!E:E,'Raw Revenue'!F:F,0)</f>
        <v>0</v>
      </c>
      <c r="Y215" s="11">
        <f t="array" ref="Y215">XLOOKUP(A:A,'Raw Revenue'!G:G,'Raw Revenue'!H:H,0)</f>
        <v>0</v>
      </c>
      <c r="Z215" s="11">
        <f t="array" ref="Z215">XLOOKUP(A:A,'Raw Revenue'!I:I,'Raw Revenue'!J:J,0)</f>
        <v>0</v>
      </c>
      <c r="AA215" s="11">
        <f t="array" ref="AA215">XLOOKUP(A:A,'Raw Revenue'!K:K,'Raw Revenue'!L:L,0)</f>
        <v>0</v>
      </c>
      <c r="AB215" s="11">
        <f t="array" ref="AB215">XLOOKUP(A:A,'Raw Revenue'!M:M,'Raw Revenue'!N:N,0)</f>
        <v>0</v>
      </c>
      <c r="AC215" s="3">
        <v>0.0</v>
      </c>
      <c r="AD215" s="3">
        <v>0.0</v>
      </c>
      <c r="AE215" s="3">
        <v>0.0</v>
      </c>
      <c r="AF215" s="3">
        <v>0.0</v>
      </c>
      <c r="AG215" s="3">
        <v>0.0</v>
      </c>
    </row>
    <row r="216">
      <c r="A216" s="3" t="s">
        <v>732</v>
      </c>
      <c r="B216" s="3" t="s">
        <v>733</v>
      </c>
      <c r="C216" s="3" t="str">
        <f t="shared" si="1"/>
        <v>PT. Sejahtera Alam Indonesia</v>
      </c>
      <c r="D216" s="3" t="s">
        <v>195</v>
      </c>
      <c r="E216" s="3" t="s">
        <v>104</v>
      </c>
      <c r="F216" s="3" t="s">
        <v>134</v>
      </c>
      <c r="G216" s="3" t="s">
        <v>78</v>
      </c>
      <c r="H216" s="3" t="str">
        <f t="array" ref="H216">XLOOKUP(G:G,'Account Manager Data'!A:A,'Account Manager Data'!B:B,0)</f>
        <v>Ilham Saputra</v>
      </c>
      <c r="I216" s="11" t="str">
        <f t="array" ref="I216">XLOOKUP($G:$G,'Account Manager Data'!$A:$A,'Account Manager Data'!C:C)</f>
        <v>Jawa</v>
      </c>
      <c r="J216" s="17">
        <v>7614509.0</v>
      </c>
      <c r="K216" s="17">
        <v>2868628.0</v>
      </c>
      <c r="L216" s="17">
        <v>1741853.0</v>
      </c>
      <c r="M216" s="17">
        <v>5912719.0</v>
      </c>
      <c r="N216" s="17">
        <v>1.3109846E7</v>
      </c>
      <c r="O216" s="17">
        <v>1.500927E7</v>
      </c>
      <c r="P216" s="17">
        <v>2187130.0</v>
      </c>
      <c r="Q216" s="17">
        <v>6122206.0</v>
      </c>
      <c r="R216" s="17">
        <v>4058889.0</v>
      </c>
      <c r="S216" s="17">
        <v>6470083.0</v>
      </c>
      <c r="T216" s="17">
        <v>1.7492752E7</v>
      </c>
      <c r="U216" s="17">
        <v>1.4092818E7</v>
      </c>
      <c r="V216" s="11">
        <f t="array" ref="V216">XLOOKUP(A:A,'Raw Revenue'!A:A,'Raw Revenue'!B:B,0)
</f>
        <v>0</v>
      </c>
      <c r="W216" s="11">
        <f t="array" ref="W216">XLOOKUP(A:A,'Raw Revenue'!C:C,'Raw Revenue'!D:D,0)</f>
        <v>0</v>
      </c>
      <c r="X216" s="11">
        <f t="array" ref="X216">XLOOKUP(A:A,'Raw Revenue'!E:E,'Raw Revenue'!F:F,0)</f>
        <v>0</v>
      </c>
      <c r="Y216" s="11">
        <f t="array" ref="Y216">XLOOKUP(A:A,'Raw Revenue'!G:G,'Raw Revenue'!H:H,0)</f>
        <v>0</v>
      </c>
      <c r="Z216" s="11">
        <f t="array" ref="Z216">XLOOKUP(A:A,'Raw Revenue'!I:I,'Raw Revenue'!J:J,0)</f>
        <v>0</v>
      </c>
      <c r="AA216" s="11">
        <f t="array" ref="AA216">XLOOKUP(A:A,'Raw Revenue'!K:K,'Raw Revenue'!L:L,0)</f>
        <v>0</v>
      </c>
      <c r="AB216" s="11">
        <f t="array" ref="AB216">XLOOKUP(A:A,'Raw Revenue'!M:M,'Raw Revenue'!N:N,0)</f>
        <v>0</v>
      </c>
      <c r="AC216" s="3">
        <v>0.0</v>
      </c>
      <c r="AD216" s="3">
        <v>0.0</v>
      </c>
      <c r="AE216" s="3">
        <v>0.0</v>
      </c>
      <c r="AF216" s="3">
        <v>0.0</v>
      </c>
      <c r="AG216" s="3">
        <v>0.0</v>
      </c>
    </row>
    <row r="217">
      <c r="A217" s="3" t="s">
        <v>734</v>
      </c>
      <c r="B217" s="3" t="s">
        <v>735</v>
      </c>
      <c r="C217" s="3" t="str">
        <f t="shared" si="1"/>
        <v>PT. Indah Kargo Logistik</v>
      </c>
      <c r="D217" s="3" t="s">
        <v>130</v>
      </c>
      <c r="E217" s="3" t="s">
        <v>85</v>
      </c>
      <c r="F217" s="3" t="s">
        <v>86</v>
      </c>
      <c r="G217" s="3" t="s">
        <v>63</v>
      </c>
      <c r="H217" s="3" t="str">
        <f t="array" ref="H217">XLOOKUP(G:G,'Account Manager Data'!A:A,'Account Manager Data'!B:B,0)</f>
        <v>Hendra Gunawan</v>
      </c>
      <c r="I217" s="11" t="str">
        <f t="array" ref="I217">XLOOKUP($G:$G,'Account Manager Data'!$A:$A,'Account Manager Data'!C:C)</f>
        <v>Kalimantan</v>
      </c>
      <c r="J217" s="17">
        <v>3519402.0</v>
      </c>
      <c r="K217" s="17">
        <v>7276080.0</v>
      </c>
      <c r="L217" s="17">
        <v>8936806.0</v>
      </c>
      <c r="M217" s="17">
        <v>2421548.0</v>
      </c>
      <c r="N217" s="17">
        <v>9405764.0</v>
      </c>
      <c r="O217" s="17">
        <v>4360670.0</v>
      </c>
      <c r="P217" s="17">
        <v>0.0</v>
      </c>
      <c r="Q217" s="17">
        <v>1.5917624E7</v>
      </c>
      <c r="R217" s="17">
        <v>1.5686051E7</v>
      </c>
      <c r="S217" s="17">
        <v>2681385.0</v>
      </c>
      <c r="T217" s="17">
        <v>1.9353158E7</v>
      </c>
      <c r="U217" s="17">
        <v>2420126.0</v>
      </c>
      <c r="V217" s="11">
        <f t="array" ref="V217">XLOOKUP(A:A,'Raw Revenue'!A:A,'Raw Revenue'!B:B,0)
</f>
        <v>0</v>
      </c>
      <c r="W217" s="11">
        <f t="array" ref="W217">XLOOKUP(A:A,'Raw Revenue'!C:C,'Raw Revenue'!D:D,0)</f>
        <v>0</v>
      </c>
      <c r="X217" s="11">
        <f t="array" ref="X217">XLOOKUP(A:A,'Raw Revenue'!E:E,'Raw Revenue'!F:F,0)</f>
        <v>0</v>
      </c>
      <c r="Y217" s="11">
        <f t="array" ref="Y217">XLOOKUP(A:A,'Raw Revenue'!G:G,'Raw Revenue'!H:H,0)</f>
        <v>0</v>
      </c>
      <c r="Z217" s="11">
        <f t="array" ref="Z217">XLOOKUP(A:A,'Raw Revenue'!I:I,'Raw Revenue'!J:J,0)</f>
        <v>0</v>
      </c>
      <c r="AA217" s="11">
        <f t="array" ref="AA217">XLOOKUP(A:A,'Raw Revenue'!K:K,'Raw Revenue'!L:L,0)</f>
        <v>0</v>
      </c>
      <c r="AB217" s="11">
        <f t="array" ref="AB217">XLOOKUP(A:A,'Raw Revenue'!M:M,'Raw Revenue'!N:N,0)</f>
        <v>0</v>
      </c>
      <c r="AC217" s="3">
        <v>0.0</v>
      </c>
      <c r="AD217" s="3">
        <v>0.0</v>
      </c>
      <c r="AE217" s="3">
        <v>0.0</v>
      </c>
      <c r="AF217" s="3">
        <v>0.0</v>
      </c>
      <c r="AG217" s="3">
        <v>0.0</v>
      </c>
    </row>
    <row r="218">
      <c r="A218" s="3" t="s">
        <v>736</v>
      </c>
      <c r="B218" s="3" t="s">
        <v>737</v>
      </c>
      <c r="C218" s="3" t="str">
        <f t="shared" si="1"/>
        <v>PT. Berkah Alam Semesta</v>
      </c>
      <c r="D218" s="3" t="s">
        <v>186</v>
      </c>
      <c r="E218" s="3" t="s">
        <v>104</v>
      </c>
      <c r="F218" s="3" t="s">
        <v>252</v>
      </c>
      <c r="G218" s="3" t="s">
        <v>35</v>
      </c>
      <c r="H218" s="3" t="str">
        <f t="array" ref="H218">XLOOKUP(G:G,'Account Manager Data'!A:A,'Account Manager Data'!B:B,0)</f>
        <v>Ahmad Fauzi</v>
      </c>
      <c r="I218" s="11" t="str">
        <f t="array" ref="I218">XLOOKUP($G:$G,'Account Manager Data'!$A:$A,'Account Manager Data'!C:C)</f>
        <v>Sumatera</v>
      </c>
      <c r="J218" s="17">
        <v>5056248.0</v>
      </c>
      <c r="K218" s="17">
        <v>8869953.0</v>
      </c>
      <c r="L218" s="17">
        <v>4722317.0</v>
      </c>
      <c r="M218" s="17">
        <v>4492006.0</v>
      </c>
      <c r="N218" s="17">
        <v>2414876.0</v>
      </c>
      <c r="O218" s="17">
        <v>1.2752374E7</v>
      </c>
      <c r="P218" s="17">
        <v>1.5325223E7</v>
      </c>
      <c r="Q218" s="17">
        <v>9483487.0</v>
      </c>
      <c r="R218" s="17">
        <v>1.2333117E7</v>
      </c>
      <c r="S218" s="17">
        <v>279332.0</v>
      </c>
      <c r="T218" s="17">
        <v>1.0949414E7</v>
      </c>
      <c r="U218" s="17">
        <v>4391414.0</v>
      </c>
      <c r="V218" s="11">
        <f t="array" ref="V218">XLOOKUP(A:A,'Raw Revenue'!A:A,'Raw Revenue'!B:B,0)
</f>
        <v>0</v>
      </c>
      <c r="W218" s="11">
        <f t="array" ref="W218">XLOOKUP(A:A,'Raw Revenue'!C:C,'Raw Revenue'!D:D,0)</f>
        <v>0</v>
      </c>
      <c r="X218" s="11">
        <f t="array" ref="X218">XLOOKUP(A:A,'Raw Revenue'!E:E,'Raw Revenue'!F:F,0)</f>
        <v>0</v>
      </c>
      <c r="Y218" s="11">
        <f t="array" ref="Y218">XLOOKUP(A:A,'Raw Revenue'!G:G,'Raw Revenue'!H:H,0)</f>
        <v>0</v>
      </c>
      <c r="Z218" s="11">
        <f t="array" ref="Z218">XLOOKUP(A:A,'Raw Revenue'!I:I,'Raw Revenue'!J:J,0)</f>
        <v>0</v>
      </c>
      <c r="AA218" s="11">
        <f t="array" ref="AA218">XLOOKUP(A:A,'Raw Revenue'!K:K,'Raw Revenue'!L:L,0)</f>
        <v>0</v>
      </c>
      <c r="AB218" s="11">
        <f t="array" ref="AB218">XLOOKUP(A:A,'Raw Revenue'!M:M,'Raw Revenue'!N:N,0)</f>
        <v>0</v>
      </c>
      <c r="AC218" s="3">
        <v>0.0</v>
      </c>
      <c r="AD218" s="3">
        <v>0.0</v>
      </c>
      <c r="AE218" s="3">
        <v>0.0</v>
      </c>
      <c r="AF218" s="3">
        <v>0.0</v>
      </c>
      <c r="AG218" s="3">
        <v>0.0</v>
      </c>
    </row>
    <row r="219">
      <c r="A219" s="3" t="s">
        <v>738</v>
      </c>
      <c r="B219" s="3" t="s">
        <v>739</v>
      </c>
      <c r="C219" s="3" t="str">
        <f t="shared" si="1"/>
        <v>PT. Cahaya Baru Indonesia</v>
      </c>
      <c r="D219" s="3" t="s">
        <v>195</v>
      </c>
      <c r="E219" s="3" t="s">
        <v>187</v>
      </c>
      <c r="F219" s="3" t="s">
        <v>269</v>
      </c>
      <c r="G219" s="3" t="s">
        <v>43</v>
      </c>
      <c r="H219" s="3" t="str">
        <f t="array" ref="H219">XLOOKUP(G:G,'Account Manager Data'!A:A,'Account Manager Data'!B:B,0)</f>
        <v>Eko Prasetyo</v>
      </c>
      <c r="I219" s="11" t="str">
        <f t="array" ref="I219">XLOOKUP($G:$G,'Account Manager Data'!$A:$A,'Account Manager Data'!C:C)</f>
        <v>Papua</v>
      </c>
      <c r="J219" s="17">
        <v>808897.0</v>
      </c>
      <c r="K219" s="17">
        <v>0.0</v>
      </c>
      <c r="L219" s="17">
        <v>2647670.0</v>
      </c>
      <c r="M219" s="17">
        <v>0.0</v>
      </c>
      <c r="N219" s="17">
        <v>7281109.0</v>
      </c>
      <c r="O219" s="17">
        <v>1.1131315E7</v>
      </c>
      <c r="P219" s="17">
        <v>1.0006539E7</v>
      </c>
      <c r="Q219" s="17">
        <v>1.5638442E7</v>
      </c>
      <c r="R219" s="17">
        <v>7971104.0</v>
      </c>
      <c r="S219" s="17">
        <v>9870253.0</v>
      </c>
      <c r="T219" s="17">
        <v>8289437.0</v>
      </c>
      <c r="U219" s="17">
        <v>1103493.0</v>
      </c>
      <c r="V219" s="11">
        <f t="array" ref="V219">XLOOKUP(A:A,'Raw Revenue'!A:A,'Raw Revenue'!B:B,0)
</f>
        <v>0</v>
      </c>
      <c r="W219" s="11">
        <f t="array" ref="W219">XLOOKUP(A:A,'Raw Revenue'!C:C,'Raw Revenue'!D:D,0)</f>
        <v>0</v>
      </c>
      <c r="X219" s="11">
        <f t="array" ref="X219">XLOOKUP(A:A,'Raw Revenue'!E:E,'Raw Revenue'!F:F,0)</f>
        <v>0</v>
      </c>
      <c r="Y219" s="11">
        <f t="array" ref="Y219">XLOOKUP(A:A,'Raw Revenue'!G:G,'Raw Revenue'!H:H,0)</f>
        <v>0</v>
      </c>
      <c r="Z219" s="11">
        <f t="array" ref="Z219">XLOOKUP(A:A,'Raw Revenue'!I:I,'Raw Revenue'!J:J,0)</f>
        <v>0</v>
      </c>
      <c r="AA219" s="11">
        <f t="array" ref="AA219">XLOOKUP(A:A,'Raw Revenue'!K:K,'Raw Revenue'!L:L,0)</f>
        <v>0</v>
      </c>
      <c r="AB219" s="11">
        <f t="array" ref="AB219">XLOOKUP(A:A,'Raw Revenue'!M:M,'Raw Revenue'!N:N,0)</f>
        <v>0</v>
      </c>
      <c r="AC219" s="3">
        <v>0.0</v>
      </c>
      <c r="AD219" s="3">
        <v>0.0</v>
      </c>
      <c r="AE219" s="3">
        <v>0.0</v>
      </c>
      <c r="AF219" s="3">
        <v>0.0</v>
      </c>
      <c r="AG219" s="3">
        <v>0.0</v>
      </c>
    </row>
    <row r="220">
      <c r="A220" s="3" t="s">
        <v>740</v>
      </c>
      <c r="B220" s="3" t="s">
        <v>741</v>
      </c>
      <c r="C220" s="3" t="str">
        <f t="shared" si="1"/>
        <v>PT. Mentari Pagi Sejahtera</v>
      </c>
      <c r="D220" s="3" t="s">
        <v>186</v>
      </c>
      <c r="E220" s="3" t="s">
        <v>187</v>
      </c>
      <c r="F220" s="3" t="s">
        <v>269</v>
      </c>
      <c r="G220" s="3" t="s">
        <v>74</v>
      </c>
      <c r="H220" s="3" t="str">
        <f t="array" ref="H220">XLOOKUP(G:G,'Account Manager Data'!A:A,'Account Manager Data'!B:B,0)</f>
        <v>Budi Santoso</v>
      </c>
      <c r="I220" s="11" t="str">
        <f t="array" ref="I220">XLOOKUP($G:$G,'Account Manager Data'!$A:$A,'Account Manager Data'!C:C)</f>
        <v>Papua</v>
      </c>
      <c r="J220" s="17">
        <v>4859446.0</v>
      </c>
      <c r="K220" s="17">
        <v>0.0</v>
      </c>
      <c r="L220" s="17">
        <v>1140416.0</v>
      </c>
      <c r="M220" s="17">
        <v>5911118.0</v>
      </c>
      <c r="N220" s="17">
        <v>1.2014251E7</v>
      </c>
      <c r="O220" s="17">
        <v>8147688.0</v>
      </c>
      <c r="P220" s="17">
        <v>6363918.0</v>
      </c>
      <c r="Q220" s="17">
        <v>8801111.0</v>
      </c>
      <c r="R220" s="17">
        <v>2118381.0</v>
      </c>
      <c r="S220" s="17">
        <v>0.0</v>
      </c>
      <c r="T220" s="17">
        <v>8115278.0</v>
      </c>
      <c r="U220" s="17">
        <v>664344.0</v>
      </c>
      <c r="V220" s="11">
        <f t="array" ref="V220">XLOOKUP(A:A,'Raw Revenue'!A:A,'Raw Revenue'!B:B,0)
</f>
        <v>0</v>
      </c>
      <c r="W220" s="11">
        <f t="array" ref="W220">XLOOKUP(A:A,'Raw Revenue'!C:C,'Raw Revenue'!D:D,0)</f>
        <v>0</v>
      </c>
      <c r="X220" s="11">
        <f t="array" ref="X220">XLOOKUP(A:A,'Raw Revenue'!E:E,'Raw Revenue'!F:F,0)</f>
        <v>0</v>
      </c>
      <c r="Y220" s="11">
        <f t="array" ref="Y220">XLOOKUP(A:A,'Raw Revenue'!G:G,'Raw Revenue'!H:H,0)</f>
        <v>0</v>
      </c>
      <c r="Z220" s="11">
        <f t="array" ref="Z220">XLOOKUP(A:A,'Raw Revenue'!I:I,'Raw Revenue'!J:J,0)</f>
        <v>0</v>
      </c>
      <c r="AA220" s="11">
        <f t="array" ref="AA220">XLOOKUP(A:A,'Raw Revenue'!K:K,'Raw Revenue'!L:L,0)</f>
        <v>0</v>
      </c>
      <c r="AB220" s="11">
        <f t="array" ref="AB220">XLOOKUP(A:A,'Raw Revenue'!M:M,'Raw Revenue'!N:N,0)</f>
        <v>0</v>
      </c>
      <c r="AC220" s="3">
        <v>0.0</v>
      </c>
      <c r="AD220" s="3">
        <v>0.0</v>
      </c>
      <c r="AE220" s="3">
        <v>0.0</v>
      </c>
      <c r="AF220" s="3">
        <v>0.0</v>
      </c>
      <c r="AG220" s="3">
        <v>0.0</v>
      </c>
    </row>
    <row r="221">
      <c r="A221" s="3" t="s">
        <v>446</v>
      </c>
      <c r="B221" s="3" t="s">
        <v>742</v>
      </c>
      <c r="C221" s="3" t="str">
        <f t="shared" si="1"/>
        <v>PT. Bintang Kejora Nusantara</v>
      </c>
      <c r="D221" s="3" t="s">
        <v>103</v>
      </c>
      <c r="E221" s="3" t="s">
        <v>104</v>
      </c>
      <c r="F221" s="3" t="s">
        <v>252</v>
      </c>
      <c r="G221" s="3" t="s">
        <v>76</v>
      </c>
      <c r="H221" s="3" t="str">
        <f t="array" ref="H221">XLOOKUP(G:G,'Account Manager Data'!A:A,'Account Manager Data'!B:B,0)</f>
        <v>Teguh Wijaya</v>
      </c>
      <c r="I221" s="11" t="str">
        <f t="array" ref="I221">XLOOKUP($G:$G,'Account Manager Data'!$A:$A,'Account Manager Data'!C:C)</f>
        <v>Sulawesi</v>
      </c>
      <c r="J221" s="17">
        <v>1569877.0</v>
      </c>
      <c r="K221" s="17">
        <v>807330.0</v>
      </c>
      <c r="L221" s="17">
        <v>8365765.0</v>
      </c>
      <c r="M221" s="17">
        <v>7646715.0</v>
      </c>
      <c r="N221" s="17">
        <v>1292533.0</v>
      </c>
      <c r="O221" s="17">
        <v>1.4292645E7</v>
      </c>
      <c r="P221" s="17">
        <v>1.2717619E7</v>
      </c>
      <c r="Q221" s="17">
        <v>1.5157453E7</v>
      </c>
      <c r="R221" s="17">
        <v>7566327.0</v>
      </c>
      <c r="S221" s="17">
        <v>5499503.0</v>
      </c>
      <c r="T221" s="17">
        <v>7197849.0</v>
      </c>
      <c r="U221" s="17">
        <v>0.0</v>
      </c>
      <c r="V221" s="11">
        <f t="array" ref="V221">XLOOKUP(A:A,'Raw Revenue'!A:A,'Raw Revenue'!B:B,0)
</f>
        <v>1265819.869</v>
      </c>
      <c r="W221" s="11">
        <f t="array" ref="W221">XLOOKUP(A:A,'Raw Revenue'!C:C,'Raw Revenue'!D:D,0)</f>
        <v>632909.9345</v>
      </c>
      <c r="X221" s="11">
        <f t="array" ref="X221">XLOOKUP(A:A,'Raw Revenue'!E:E,'Raw Revenue'!F:F,0)</f>
        <v>379745.9607</v>
      </c>
      <c r="Y221" s="11">
        <f t="array" ref="Y221">XLOOKUP(A:A,'Raw Revenue'!G:G,'Raw Revenue'!H:H,0)</f>
        <v>4430369.541</v>
      </c>
      <c r="Z221" s="11">
        <f t="array" ref="Z221">XLOOKUP(A:A,'Raw Revenue'!I:I,'Raw Revenue'!J:J,0)</f>
        <v>1012655.895</v>
      </c>
      <c r="AA221" s="11">
        <f t="array" ref="AA221">XLOOKUP(A:A,'Raw Revenue'!K:K,'Raw Revenue'!L:L,0)</f>
        <v>28480.94705</v>
      </c>
      <c r="AB221" s="11">
        <f t="array" ref="AB221">XLOOKUP(A:A,'Raw Revenue'!M:M,'Raw Revenue'!N:N,0)</f>
        <v>3816446.905</v>
      </c>
      <c r="AC221" s="3">
        <v>0.0</v>
      </c>
      <c r="AD221" s="3">
        <v>0.0</v>
      </c>
      <c r="AE221" s="3">
        <v>0.0</v>
      </c>
      <c r="AF221" s="3">
        <v>0.0</v>
      </c>
      <c r="AG221" s="3">
        <v>0.0</v>
      </c>
    </row>
    <row r="222">
      <c r="A222" s="3" t="s">
        <v>452</v>
      </c>
      <c r="B222" s="3" t="s">
        <v>743</v>
      </c>
      <c r="C222" s="3" t="str">
        <f t="shared" si="1"/>
        <v>PT. Maju Jaya</v>
      </c>
      <c r="D222" s="3" t="s">
        <v>103</v>
      </c>
      <c r="E222" s="3" t="s">
        <v>215</v>
      </c>
      <c r="F222" s="3" t="s">
        <v>216</v>
      </c>
      <c r="G222" s="3" t="s">
        <v>70</v>
      </c>
      <c r="H222" s="3" t="str">
        <f t="array" ref="H222">XLOOKUP(G:G,'Account Manager Data'!A:A,'Account Manager Data'!B:B,0)</f>
        <v>Yusuf Hidayat</v>
      </c>
      <c r="I222" s="11" t="str">
        <f t="array" ref="I222">XLOOKUP($G:$G,'Account Manager Data'!$A:$A,'Account Manager Data'!C:C)</f>
        <v>Sumatera</v>
      </c>
      <c r="J222" s="17">
        <v>3483872.0</v>
      </c>
      <c r="K222" s="17">
        <v>1568612.0</v>
      </c>
      <c r="L222" s="17">
        <v>0.0</v>
      </c>
      <c r="M222" s="17">
        <v>368487.0</v>
      </c>
      <c r="N222" s="17">
        <v>1.364646E7</v>
      </c>
      <c r="O222" s="17">
        <v>0.0</v>
      </c>
      <c r="P222" s="17">
        <v>8928453.0</v>
      </c>
      <c r="Q222" s="17">
        <v>1.1624305E7</v>
      </c>
      <c r="R222" s="17">
        <v>1.7135719E7</v>
      </c>
      <c r="S222" s="17">
        <v>2358011.0</v>
      </c>
      <c r="T222" s="17">
        <v>759875.0</v>
      </c>
      <c r="U222" s="17">
        <v>1.782216E7</v>
      </c>
      <c r="V222" s="11">
        <f t="array" ref="V222">XLOOKUP(A:A,'Raw Revenue'!A:A,'Raw Revenue'!B:B,0)
</f>
        <v>1933891.466</v>
      </c>
      <c r="W222" s="11">
        <f t="array" ref="W222">XLOOKUP(A:A,'Raw Revenue'!C:C,'Raw Revenue'!D:D,0)</f>
        <v>966945.7332</v>
      </c>
      <c r="X222" s="11">
        <f t="array" ref="X222">XLOOKUP(A:A,'Raw Revenue'!E:E,'Raw Revenue'!F:F,0)</f>
        <v>580167.4399</v>
      </c>
      <c r="Y222" s="11">
        <f t="array" ref="Y222">XLOOKUP(A:A,'Raw Revenue'!G:G,'Raw Revenue'!H:H,0)</f>
        <v>6768620.133</v>
      </c>
      <c r="Z222" s="11">
        <f t="array" ref="Z222">XLOOKUP(A:A,'Raw Revenue'!I:I,'Raw Revenue'!J:J,0)</f>
        <v>1547113.173</v>
      </c>
      <c r="AA222" s="11">
        <f t="array" ref="AA222">XLOOKUP(A:A,'Raw Revenue'!K:K,'Raw Revenue'!L:L,0)</f>
        <v>43512.558</v>
      </c>
      <c r="AB222" s="11">
        <f t="array" ref="AB222">XLOOKUP(A:A,'Raw Revenue'!M:M,'Raw Revenue'!N:N,0)</f>
        <v>5830682.771</v>
      </c>
      <c r="AC222" s="3">
        <v>0.0</v>
      </c>
      <c r="AD222" s="3">
        <v>0.0</v>
      </c>
      <c r="AE222" s="3">
        <v>0.0</v>
      </c>
      <c r="AF222" s="3">
        <v>0.0</v>
      </c>
      <c r="AG222" s="3">
        <v>0.0</v>
      </c>
    </row>
    <row r="223">
      <c r="A223" s="3" t="s">
        <v>744</v>
      </c>
      <c r="B223" s="3" t="s">
        <v>745</v>
      </c>
      <c r="C223" s="3" t="str">
        <f t="shared" si="1"/>
        <v>CV. Sumber Makmur</v>
      </c>
      <c r="D223" s="3" t="s">
        <v>195</v>
      </c>
      <c r="E223" s="3" t="s">
        <v>187</v>
      </c>
      <c r="F223" s="3" t="s">
        <v>269</v>
      </c>
      <c r="G223" s="3" t="s">
        <v>15</v>
      </c>
      <c r="H223" s="3" t="str">
        <f t="array" ref="H223">XLOOKUP(G:G,'Account Manager Data'!A:A,'Account Manager Data'!B:B,0)</f>
        <v>Rizky Maulana</v>
      </c>
      <c r="I223" s="11" t="str">
        <f t="array" ref="I223">XLOOKUP($G:$G,'Account Manager Data'!$A:$A,'Account Manager Data'!C:C)</f>
        <v>Jawa</v>
      </c>
      <c r="J223" s="17">
        <v>7040743.0</v>
      </c>
      <c r="K223" s="17">
        <v>7932850.0</v>
      </c>
      <c r="L223" s="17">
        <v>9291467.0</v>
      </c>
      <c r="M223" s="17">
        <v>1.0563906E7</v>
      </c>
      <c r="N223" s="17">
        <v>1.2160878E7</v>
      </c>
      <c r="O223" s="17">
        <v>1.2739789E7</v>
      </c>
      <c r="P223" s="17">
        <v>0.0</v>
      </c>
      <c r="Q223" s="17">
        <v>8288195.0</v>
      </c>
      <c r="R223" s="17">
        <v>701391.0</v>
      </c>
      <c r="S223" s="17">
        <v>7929059.0</v>
      </c>
      <c r="T223" s="17">
        <v>1.3305757E7</v>
      </c>
      <c r="U223" s="17">
        <v>1.0619848E7</v>
      </c>
      <c r="V223" s="11">
        <f t="array" ref="V223">XLOOKUP(A:A,'Raw Revenue'!A:A,'Raw Revenue'!B:B,0)
</f>
        <v>0</v>
      </c>
      <c r="W223" s="11">
        <f t="array" ref="W223">XLOOKUP(A:A,'Raw Revenue'!C:C,'Raw Revenue'!D:D,0)</f>
        <v>0</v>
      </c>
      <c r="X223" s="11">
        <f t="array" ref="X223">XLOOKUP(A:A,'Raw Revenue'!E:E,'Raw Revenue'!F:F,0)</f>
        <v>0</v>
      </c>
      <c r="Y223" s="11">
        <f t="array" ref="Y223">XLOOKUP(A:A,'Raw Revenue'!G:G,'Raw Revenue'!H:H,0)</f>
        <v>0</v>
      </c>
      <c r="Z223" s="11">
        <f t="array" ref="Z223">XLOOKUP(A:A,'Raw Revenue'!I:I,'Raw Revenue'!J:J,0)</f>
        <v>0</v>
      </c>
      <c r="AA223" s="11">
        <f t="array" ref="AA223">XLOOKUP(A:A,'Raw Revenue'!K:K,'Raw Revenue'!L:L,0)</f>
        <v>0</v>
      </c>
      <c r="AB223" s="11">
        <f t="array" ref="AB223">XLOOKUP(A:A,'Raw Revenue'!M:M,'Raw Revenue'!N:N,0)</f>
        <v>0</v>
      </c>
      <c r="AC223" s="3">
        <v>0.0</v>
      </c>
      <c r="AD223" s="3">
        <v>0.0</v>
      </c>
      <c r="AE223" s="3">
        <v>0.0</v>
      </c>
      <c r="AF223" s="3">
        <v>0.0</v>
      </c>
      <c r="AG223" s="3">
        <v>0.0</v>
      </c>
    </row>
    <row r="224">
      <c r="A224" s="3" t="s">
        <v>746</v>
      </c>
      <c r="B224" s="3" t="s">
        <v>747</v>
      </c>
      <c r="C224" s="3" t="str">
        <f t="shared" si="1"/>
        <v>PT. Teknologi Nusantara</v>
      </c>
      <c r="D224" s="3" t="s">
        <v>130</v>
      </c>
      <c r="E224" s="3" t="s">
        <v>196</v>
      </c>
      <c r="F224" s="3" t="s">
        <v>315</v>
      </c>
      <c r="G224" s="3" t="s">
        <v>27</v>
      </c>
      <c r="H224" s="3" t="str">
        <f t="array" ref="H224">XLOOKUP(G:G,'Account Manager Data'!A:A,'Account Manager Data'!B:B,0)</f>
        <v>Dedi Kurniawan</v>
      </c>
      <c r="I224" s="11" t="str">
        <f t="array" ref="I224">XLOOKUP($G:$G,'Account Manager Data'!$A:$A,'Account Manager Data'!C:C)</f>
        <v>Kalimantan</v>
      </c>
      <c r="J224" s="17">
        <v>6887411.0</v>
      </c>
      <c r="K224" s="17">
        <v>1675710.0</v>
      </c>
      <c r="L224" s="17">
        <v>1671265.0</v>
      </c>
      <c r="M224" s="17">
        <v>3581882.0</v>
      </c>
      <c r="N224" s="17">
        <v>1.3163516E7</v>
      </c>
      <c r="O224" s="17">
        <v>1.3178407E7</v>
      </c>
      <c r="P224" s="17">
        <v>1.2762262E7</v>
      </c>
      <c r="Q224" s="17">
        <v>5080118.0</v>
      </c>
      <c r="R224" s="17">
        <v>3433798.0</v>
      </c>
      <c r="S224" s="17">
        <v>5737456.0</v>
      </c>
      <c r="T224" s="17">
        <v>6622255.0</v>
      </c>
      <c r="U224" s="17">
        <v>1.8808737E7</v>
      </c>
      <c r="V224" s="11">
        <f t="array" ref="V224">XLOOKUP(A:A,'Raw Revenue'!A:A,'Raw Revenue'!B:B,0)
</f>
        <v>0</v>
      </c>
      <c r="W224" s="11">
        <f t="array" ref="W224">XLOOKUP(A:A,'Raw Revenue'!C:C,'Raw Revenue'!D:D,0)</f>
        <v>0</v>
      </c>
      <c r="X224" s="11">
        <f t="array" ref="X224">XLOOKUP(A:A,'Raw Revenue'!E:E,'Raw Revenue'!F:F,0)</f>
        <v>0</v>
      </c>
      <c r="Y224" s="11">
        <f t="array" ref="Y224">XLOOKUP(A:A,'Raw Revenue'!G:G,'Raw Revenue'!H:H,0)</f>
        <v>0</v>
      </c>
      <c r="Z224" s="11">
        <f t="array" ref="Z224">XLOOKUP(A:A,'Raw Revenue'!I:I,'Raw Revenue'!J:J,0)</f>
        <v>0</v>
      </c>
      <c r="AA224" s="11">
        <f t="array" ref="AA224">XLOOKUP(A:A,'Raw Revenue'!K:K,'Raw Revenue'!L:L,0)</f>
        <v>0</v>
      </c>
      <c r="AB224" s="11">
        <f t="array" ref="AB224">XLOOKUP(A:A,'Raw Revenue'!M:M,'Raw Revenue'!N:N,0)</f>
        <v>0</v>
      </c>
      <c r="AC224" s="3">
        <v>0.0</v>
      </c>
      <c r="AD224" s="3">
        <v>0.0</v>
      </c>
      <c r="AE224" s="3">
        <v>0.0</v>
      </c>
      <c r="AF224" s="3">
        <v>0.0</v>
      </c>
      <c r="AG224" s="3">
        <v>0.0</v>
      </c>
    </row>
    <row r="225">
      <c r="A225" s="3" t="s">
        <v>748</v>
      </c>
      <c r="B225" s="3" t="s">
        <v>749</v>
      </c>
      <c r="C225" s="3" t="str">
        <f t="shared" si="1"/>
        <v>PT. Bakti Indonesia</v>
      </c>
      <c r="D225" s="3" t="s">
        <v>214</v>
      </c>
      <c r="E225" s="3" t="s">
        <v>187</v>
      </c>
      <c r="F225" s="3" t="s">
        <v>188</v>
      </c>
      <c r="G225" s="3" t="s">
        <v>78</v>
      </c>
      <c r="H225" s="3" t="str">
        <f t="array" ref="H225">XLOOKUP(G:G,'Account Manager Data'!A:A,'Account Manager Data'!B:B,0)</f>
        <v>Ilham Saputra</v>
      </c>
      <c r="I225" s="11" t="str">
        <f t="array" ref="I225">XLOOKUP($G:$G,'Account Manager Data'!$A:$A,'Account Manager Data'!C:C)</f>
        <v>Jawa</v>
      </c>
      <c r="J225" s="17">
        <v>0.0</v>
      </c>
      <c r="K225" s="17">
        <v>2596023.0</v>
      </c>
      <c r="L225" s="17">
        <v>8928737.0</v>
      </c>
      <c r="M225" s="17">
        <v>5659082.0</v>
      </c>
      <c r="N225" s="17">
        <v>3048268.0</v>
      </c>
      <c r="O225" s="17">
        <v>129297.0</v>
      </c>
      <c r="P225" s="17">
        <v>5144116.0</v>
      </c>
      <c r="Q225" s="17">
        <v>5591757.0</v>
      </c>
      <c r="R225" s="17">
        <v>1.4993329E7</v>
      </c>
      <c r="S225" s="17">
        <v>1.2236806E7</v>
      </c>
      <c r="T225" s="17">
        <v>9546495.0</v>
      </c>
      <c r="U225" s="17">
        <v>4813173.0</v>
      </c>
      <c r="V225" s="11">
        <f t="array" ref="V225">XLOOKUP(A:A,'Raw Revenue'!A:A,'Raw Revenue'!B:B,0)
</f>
        <v>0</v>
      </c>
      <c r="W225" s="11">
        <f t="array" ref="W225">XLOOKUP(A:A,'Raw Revenue'!C:C,'Raw Revenue'!D:D,0)</f>
        <v>0</v>
      </c>
      <c r="X225" s="11">
        <f t="array" ref="X225">XLOOKUP(A:A,'Raw Revenue'!E:E,'Raw Revenue'!F:F,0)</f>
        <v>0</v>
      </c>
      <c r="Y225" s="11">
        <f t="array" ref="Y225">XLOOKUP(A:A,'Raw Revenue'!G:G,'Raw Revenue'!H:H,0)</f>
        <v>0</v>
      </c>
      <c r="Z225" s="11">
        <f t="array" ref="Z225">XLOOKUP(A:A,'Raw Revenue'!I:I,'Raw Revenue'!J:J,0)</f>
        <v>0</v>
      </c>
      <c r="AA225" s="11">
        <f t="array" ref="AA225">XLOOKUP(A:A,'Raw Revenue'!K:K,'Raw Revenue'!L:L,0)</f>
        <v>0</v>
      </c>
      <c r="AB225" s="11">
        <f t="array" ref="AB225">XLOOKUP(A:A,'Raw Revenue'!M:M,'Raw Revenue'!N:N,0)</f>
        <v>0</v>
      </c>
      <c r="AC225" s="3">
        <v>0.0</v>
      </c>
      <c r="AD225" s="3">
        <v>0.0</v>
      </c>
      <c r="AE225" s="3">
        <v>0.0</v>
      </c>
      <c r="AF225" s="3">
        <v>0.0</v>
      </c>
      <c r="AG225" s="3">
        <v>0.0</v>
      </c>
    </row>
    <row r="226">
      <c r="A226" s="3" t="s">
        <v>750</v>
      </c>
      <c r="B226" s="3" t="s">
        <v>751</v>
      </c>
      <c r="C226" s="3" t="str">
        <f t="shared" si="1"/>
        <v>CV. Amanah Sejahtera</v>
      </c>
      <c r="D226" s="3" t="s">
        <v>195</v>
      </c>
      <c r="E226" s="3" t="s">
        <v>187</v>
      </c>
      <c r="F226" s="3" t="s">
        <v>269</v>
      </c>
      <c r="G226" s="3" t="s">
        <v>53</v>
      </c>
      <c r="H226" s="3" t="str">
        <f t="array" ref="H226">XLOOKUP(G:G,'Account Manager Data'!A:A,'Account Manager Data'!B:B,0)</f>
        <v>Fajar Ramadhan</v>
      </c>
      <c r="I226" s="11" t="str">
        <f t="array" ref="I226">XLOOKUP($G:$G,'Account Manager Data'!$A:$A,'Account Manager Data'!C:C)</f>
        <v>Sulawesi</v>
      </c>
      <c r="J226" s="17">
        <v>4654438.0</v>
      </c>
      <c r="K226" s="17">
        <v>6768393.0</v>
      </c>
      <c r="L226" s="17">
        <v>2618399.0</v>
      </c>
      <c r="M226" s="17">
        <v>4664046.0</v>
      </c>
      <c r="N226" s="17">
        <v>1.3145404E7</v>
      </c>
      <c r="O226" s="17">
        <v>0.0</v>
      </c>
      <c r="P226" s="17">
        <v>6451919.0</v>
      </c>
      <c r="Q226" s="17">
        <v>8646263.0</v>
      </c>
      <c r="R226" s="17">
        <v>1.6280176E7</v>
      </c>
      <c r="S226" s="17">
        <v>1.1293539E7</v>
      </c>
      <c r="T226" s="17">
        <v>2693677.0</v>
      </c>
      <c r="U226" s="17">
        <v>4469170.0</v>
      </c>
      <c r="V226" s="11">
        <f t="array" ref="V226">XLOOKUP(A:A,'Raw Revenue'!A:A,'Raw Revenue'!B:B,0)
</f>
        <v>0</v>
      </c>
      <c r="W226" s="11">
        <f t="array" ref="W226">XLOOKUP(A:A,'Raw Revenue'!C:C,'Raw Revenue'!D:D,0)</f>
        <v>0</v>
      </c>
      <c r="X226" s="11">
        <f t="array" ref="X226">XLOOKUP(A:A,'Raw Revenue'!E:E,'Raw Revenue'!F:F,0)</f>
        <v>0</v>
      </c>
      <c r="Y226" s="11">
        <f t="array" ref="Y226">XLOOKUP(A:A,'Raw Revenue'!G:G,'Raw Revenue'!H:H,0)</f>
        <v>0</v>
      </c>
      <c r="Z226" s="11">
        <f t="array" ref="Z226">XLOOKUP(A:A,'Raw Revenue'!I:I,'Raw Revenue'!J:J,0)</f>
        <v>0</v>
      </c>
      <c r="AA226" s="11">
        <f t="array" ref="AA226">XLOOKUP(A:A,'Raw Revenue'!K:K,'Raw Revenue'!L:L,0)</f>
        <v>0</v>
      </c>
      <c r="AB226" s="11">
        <f t="array" ref="AB226">XLOOKUP(A:A,'Raw Revenue'!M:M,'Raw Revenue'!N:N,0)</f>
        <v>0</v>
      </c>
      <c r="AC226" s="3">
        <v>0.0</v>
      </c>
      <c r="AD226" s="3">
        <v>0.0</v>
      </c>
      <c r="AE226" s="3">
        <v>0.0</v>
      </c>
      <c r="AF226" s="3">
        <v>0.0</v>
      </c>
      <c r="AG226" s="3">
        <v>0.0</v>
      </c>
    </row>
    <row r="227">
      <c r="A227" s="3" t="s">
        <v>752</v>
      </c>
      <c r="B227" s="3" t="s">
        <v>753</v>
      </c>
      <c r="C227" s="3" t="str">
        <f t="shared" si="1"/>
        <v>PT. Digital Solusi Pratama</v>
      </c>
      <c r="D227" s="3" t="s">
        <v>195</v>
      </c>
      <c r="E227" s="3" t="s">
        <v>187</v>
      </c>
      <c r="F227" s="3" t="s">
        <v>188</v>
      </c>
      <c r="G227" s="3" t="s">
        <v>63</v>
      </c>
      <c r="H227" s="3" t="str">
        <f t="array" ref="H227">XLOOKUP(G:G,'Account Manager Data'!A:A,'Account Manager Data'!B:B,0)</f>
        <v>Hendra Gunawan</v>
      </c>
      <c r="I227" s="11" t="str">
        <f t="array" ref="I227">XLOOKUP($G:$G,'Account Manager Data'!$A:$A,'Account Manager Data'!C:C)</f>
        <v>Kalimantan</v>
      </c>
      <c r="J227" s="17">
        <v>5353561.0</v>
      </c>
      <c r="K227" s="17">
        <v>2845628.0</v>
      </c>
      <c r="L227" s="17">
        <v>1833553.0</v>
      </c>
      <c r="M227" s="17">
        <v>3758868.0</v>
      </c>
      <c r="N227" s="17">
        <v>5654341.0</v>
      </c>
      <c r="O227" s="17">
        <v>6115218.0</v>
      </c>
      <c r="P227" s="17">
        <v>1.0392502E7</v>
      </c>
      <c r="Q227" s="17">
        <v>3165870.0</v>
      </c>
      <c r="R227" s="17">
        <v>5643734.0</v>
      </c>
      <c r="S227" s="17">
        <v>232353.0</v>
      </c>
      <c r="T227" s="17">
        <v>1.2524223E7</v>
      </c>
      <c r="U227" s="17">
        <v>0.0</v>
      </c>
      <c r="V227" s="11">
        <f t="array" ref="V227">XLOOKUP(A:A,'Raw Revenue'!A:A,'Raw Revenue'!B:B,0)
</f>
        <v>0</v>
      </c>
      <c r="W227" s="11">
        <f t="array" ref="W227">XLOOKUP(A:A,'Raw Revenue'!C:C,'Raw Revenue'!D:D,0)</f>
        <v>0</v>
      </c>
      <c r="X227" s="11">
        <f t="array" ref="X227">XLOOKUP(A:A,'Raw Revenue'!E:E,'Raw Revenue'!F:F,0)</f>
        <v>0</v>
      </c>
      <c r="Y227" s="11">
        <f t="array" ref="Y227">XLOOKUP(A:A,'Raw Revenue'!G:G,'Raw Revenue'!H:H,0)</f>
        <v>0</v>
      </c>
      <c r="Z227" s="11">
        <f t="array" ref="Z227">XLOOKUP(A:A,'Raw Revenue'!I:I,'Raw Revenue'!J:J,0)</f>
        <v>0</v>
      </c>
      <c r="AA227" s="11">
        <f t="array" ref="AA227">XLOOKUP(A:A,'Raw Revenue'!K:K,'Raw Revenue'!L:L,0)</f>
        <v>0</v>
      </c>
      <c r="AB227" s="11">
        <f t="array" ref="AB227">XLOOKUP(A:A,'Raw Revenue'!M:M,'Raw Revenue'!N:N,0)</f>
        <v>0</v>
      </c>
      <c r="AC227" s="3">
        <v>0.0</v>
      </c>
      <c r="AD227" s="3">
        <v>0.0</v>
      </c>
      <c r="AE227" s="3">
        <v>0.0</v>
      </c>
      <c r="AF227" s="3">
        <v>0.0</v>
      </c>
      <c r="AG227" s="3">
        <v>0.0</v>
      </c>
    </row>
    <row r="228">
      <c r="A228" s="3" t="s">
        <v>754</v>
      </c>
      <c r="B228" s="3" t="s">
        <v>755</v>
      </c>
      <c r="C228" s="3" t="str">
        <f t="shared" si="1"/>
        <v>PT. Global Niaga Abadi</v>
      </c>
      <c r="D228" s="3" t="s">
        <v>214</v>
      </c>
      <c r="E228" s="3" t="s">
        <v>85</v>
      </c>
      <c r="F228" s="3" t="s">
        <v>86</v>
      </c>
      <c r="G228" s="3" t="s">
        <v>35</v>
      </c>
      <c r="H228" s="3" t="str">
        <f t="array" ref="H228">XLOOKUP(G:G,'Account Manager Data'!A:A,'Account Manager Data'!B:B,0)</f>
        <v>Ahmad Fauzi</v>
      </c>
      <c r="I228" s="11" t="str">
        <f t="array" ref="I228">XLOOKUP($G:$G,'Account Manager Data'!$A:$A,'Account Manager Data'!C:C)</f>
        <v>Sumatera</v>
      </c>
      <c r="J228" s="17">
        <v>367037.0</v>
      </c>
      <c r="K228" s="17">
        <v>3063426.0</v>
      </c>
      <c r="L228" s="17">
        <v>716640.0</v>
      </c>
      <c r="M228" s="17">
        <v>867790.0</v>
      </c>
      <c r="N228" s="17">
        <v>1.3927233E7</v>
      </c>
      <c r="O228" s="17">
        <v>1.099324E7</v>
      </c>
      <c r="P228" s="17">
        <v>0.0</v>
      </c>
      <c r="Q228" s="17">
        <v>3846612.0</v>
      </c>
      <c r="R228" s="17">
        <v>275531.0</v>
      </c>
      <c r="S228" s="17">
        <v>3158521.0</v>
      </c>
      <c r="T228" s="17">
        <v>1.7716794E7</v>
      </c>
      <c r="U228" s="17">
        <v>1.1590794E7</v>
      </c>
      <c r="V228" s="11">
        <f t="array" ref="V228">XLOOKUP(A:A,'Raw Revenue'!A:A,'Raw Revenue'!B:B,0)
</f>
        <v>0</v>
      </c>
      <c r="W228" s="11">
        <f t="array" ref="W228">XLOOKUP(A:A,'Raw Revenue'!C:C,'Raw Revenue'!D:D,0)</f>
        <v>0</v>
      </c>
      <c r="X228" s="11">
        <f t="array" ref="X228">XLOOKUP(A:A,'Raw Revenue'!E:E,'Raw Revenue'!F:F,0)</f>
        <v>0</v>
      </c>
      <c r="Y228" s="11">
        <f t="array" ref="Y228">XLOOKUP(A:A,'Raw Revenue'!G:G,'Raw Revenue'!H:H,0)</f>
        <v>0</v>
      </c>
      <c r="Z228" s="11">
        <f t="array" ref="Z228">XLOOKUP(A:A,'Raw Revenue'!I:I,'Raw Revenue'!J:J,0)</f>
        <v>0</v>
      </c>
      <c r="AA228" s="11">
        <f t="array" ref="AA228">XLOOKUP(A:A,'Raw Revenue'!K:K,'Raw Revenue'!L:L,0)</f>
        <v>0</v>
      </c>
      <c r="AB228" s="11">
        <f t="array" ref="AB228">XLOOKUP(A:A,'Raw Revenue'!M:M,'Raw Revenue'!N:N,0)</f>
        <v>0</v>
      </c>
      <c r="AC228" s="3">
        <v>0.0</v>
      </c>
      <c r="AD228" s="3">
        <v>0.0</v>
      </c>
      <c r="AE228" s="3">
        <v>0.0</v>
      </c>
      <c r="AF228" s="3">
        <v>0.0</v>
      </c>
      <c r="AG228" s="3">
        <v>0.0</v>
      </c>
    </row>
    <row r="229">
      <c r="A229" s="3" t="s">
        <v>380</v>
      </c>
      <c r="B229" s="3" t="s">
        <v>756</v>
      </c>
      <c r="C229" s="3" t="str">
        <f t="shared" si="1"/>
        <v>PT. Indo Makmur Sentosa</v>
      </c>
      <c r="D229" s="3" t="s">
        <v>103</v>
      </c>
      <c r="E229" s="3" t="s">
        <v>196</v>
      </c>
      <c r="F229" s="3" t="s">
        <v>197</v>
      </c>
      <c r="G229" s="3" t="s">
        <v>74</v>
      </c>
      <c r="H229" s="3" t="str">
        <f t="array" ref="H229">XLOOKUP(G:G,'Account Manager Data'!A:A,'Account Manager Data'!B:B,0)</f>
        <v>Budi Santoso</v>
      </c>
      <c r="I229" s="11" t="str">
        <f t="array" ref="I229">XLOOKUP($G:$G,'Account Manager Data'!$A:$A,'Account Manager Data'!C:C)</f>
        <v>Papua</v>
      </c>
      <c r="J229" s="17">
        <v>3205516.0</v>
      </c>
      <c r="K229" s="17">
        <v>1612137.0</v>
      </c>
      <c r="L229" s="17">
        <v>7253792.0</v>
      </c>
      <c r="M229" s="17">
        <v>1.1010358E7</v>
      </c>
      <c r="N229" s="17">
        <v>4994498.0</v>
      </c>
      <c r="O229" s="17">
        <v>7795931.0</v>
      </c>
      <c r="P229" s="17">
        <v>319605.0</v>
      </c>
      <c r="Q229" s="17">
        <v>8349561.0</v>
      </c>
      <c r="R229" s="17">
        <v>1.5797793E7</v>
      </c>
      <c r="S229" s="17">
        <v>665466.0</v>
      </c>
      <c r="T229" s="17">
        <v>5019555.0</v>
      </c>
      <c r="U229" s="17">
        <v>1.5483309E7</v>
      </c>
      <c r="V229" s="11">
        <f t="array" ref="V229">XLOOKUP(A:A,'Raw Revenue'!A:A,'Raw Revenue'!B:B,0)
</f>
        <v>1172548.931</v>
      </c>
      <c r="W229" s="11">
        <f t="array" ref="W229">XLOOKUP(A:A,'Raw Revenue'!C:C,'Raw Revenue'!D:D,0)</f>
        <v>586274.4656</v>
      </c>
      <c r="X229" s="11">
        <f t="array" ref="X229">XLOOKUP(A:A,'Raw Revenue'!E:E,'Raw Revenue'!F:F,0)</f>
        <v>351764.6794</v>
      </c>
      <c r="Y229" s="11">
        <f t="array" ref="Y229">XLOOKUP(A:A,'Raw Revenue'!G:G,'Raw Revenue'!H:H,0)</f>
        <v>4103921.259</v>
      </c>
      <c r="Z229" s="11">
        <f t="array" ref="Z229">XLOOKUP(A:A,'Raw Revenue'!I:I,'Raw Revenue'!J:J,0)</f>
        <v>938039.145</v>
      </c>
      <c r="AA229" s="11">
        <f t="array" ref="AA229">XLOOKUP(A:A,'Raw Revenue'!K:K,'Raw Revenue'!L:L,0)</f>
        <v>26382.35095</v>
      </c>
      <c r="AB229" s="11">
        <f t="array" ref="AB229">XLOOKUP(A:A,'Raw Revenue'!M:M,'Raw Revenue'!N:N,0)</f>
        <v>3535235.028</v>
      </c>
      <c r="AC229" s="3">
        <v>0.0</v>
      </c>
      <c r="AD229" s="3">
        <v>0.0</v>
      </c>
      <c r="AE229" s="3">
        <v>0.0</v>
      </c>
      <c r="AF229" s="3">
        <v>0.0</v>
      </c>
      <c r="AG229" s="3">
        <v>0.0</v>
      </c>
    </row>
    <row r="230">
      <c r="A230" s="3" t="s">
        <v>757</v>
      </c>
      <c r="B230" s="3" t="s">
        <v>758</v>
      </c>
      <c r="C230" s="3" t="str">
        <f t="shared" si="1"/>
        <v>PT. Citra Mandiri Utama</v>
      </c>
      <c r="D230" s="3" t="s">
        <v>84</v>
      </c>
      <c r="E230" s="3" t="s">
        <v>85</v>
      </c>
      <c r="F230" s="3" t="s">
        <v>86</v>
      </c>
      <c r="G230" s="3" t="s">
        <v>43</v>
      </c>
      <c r="H230" s="3" t="str">
        <f t="array" ref="H230">XLOOKUP(G:G,'Account Manager Data'!A:A,'Account Manager Data'!B:B,0)</f>
        <v>Eko Prasetyo</v>
      </c>
      <c r="I230" s="11" t="str">
        <f t="array" ref="I230">XLOOKUP($G:$G,'Account Manager Data'!$A:$A,'Account Manager Data'!C:C)</f>
        <v>Papua</v>
      </c>
      <c r="J230" s="17">
        <v>4719130.0</v>
      </c>
      <c r="K230" s="17">
        <v>4763570.0</v>
      </c>
      <c r="L230" s="17">
        <v>1.0727666E7</v>
      </c>
      <c r="M230" s="17">
        <v>4393623.0</v>
      </c>
      <c r="N230" s="17">
        <v>1.3540229E7</v>
      </c>
      <c r="O230" s="17">
        <v>5453834.0</v>
      </c>
      <c r="P230" s="17">
        <v>1.4634708E7</v>
      </c>
      <c r="Q230" s="17">
        <v>3229278.0</v>
      </c>
      <c r="R230" s="17">
        <v>1.4386985E7</v>
      </c>
      <c r="S230" s="17">
        <v>6821093.0</v>
      </c>
      <c r="T230" s="17">
        <v>777169.0</v>
      </c>
      <c r="U230" s="17">
        <v>7499355.0</v>
      </c>
      <c r="V230" s="11">
        <f t="array" ref="V230">XLOOKUP(A:A,'Raw Revenue'!A:A,'Raw Revenue'!B:B,0)
</f>
        <v>0</v>
      </c>
      <c r="W230" s="11">
        <f t="array" ref="W230">XLOOKUP(A:A,'Raw Revenue'!C:C,'Raw Revenue'!D:D,0)</f>
        <v>0</v>
      </c>
      <c r="X230" s="11">
        <f t="array" ref="X230">XLOOKUP(A:A,'Raw Revenue'!E:E,'Raw Revenue'!F:F,0)</f>
        <v>0</v>
      </c>
      <c r="Y230" s="11">
        <f t="array" ref="Y230">XLOOKUP(A:A,'Raw Revenue'!G:G,'Raw Revenue'!H:H,0)</f>
        <v>0</v>
      </c>
      <c r="Z230" s="11">
        <f t="array" ref="Z230">XLOOKUP(A:A,'Raw Revenue'!I:I,'Raw Revenue'!J:J,0)</f>
        <v>0</v>
      </c>
      <c r="AA230" s="11">
        <f t="array" ref="AA230">XLOOKUP(A:A,'Raw Revenue'!K:K,'Raw Revenue'!L:L,0)</f>
        <v>0</v>
      </c>
      <c r="AB230" s="11">
        <f t="array" ref="AB230">XLOOKUP(A:A,'Raw Revenue'!M:M,'Raw Revenue'!N:N,0)</f>
        <v>0</v>
      </c>
      <c r="AC230" s="3">
        <v>0.0</v>
      </c>
      <c r="AD230" s="3">
        <v>0.0</v>
      </c>
      <c r="AE230" s="3">
        <v>0.0</v>
      </c>
      <c r="AF230" s="3">
        <v>0.0</v>
      </c>
      <c r="AG230" s="3">
        <v>0.0</v>
      </c>
    </row>
    <row r="231">
      <c r="A231" s="3" t="s">
        <v>759</v>
      </c>
      <c r="B231" s="3" t="s">
        <v>760</v>
      </c>
      <c r="C231" s="3" t="str">
        <f t="shared" si="1"/>
        <v>PT. Sinar Dunia Baru</v>
      </c>
      <c r="D231" s="3" t="s">
        <v>186</v>
      </c>
      <c r="E231" s="3" t="s">
        <v>104</v>
      </c>
      <c r="F231" s="3" t="s">
        <v>105</v>
      </c>
      <c r="G231" s="3" t="s">
        <v>76</v>
      </c>
      <c r="H231" s="3" t="str">
        <f t="array" ref="H231">XLOOKUP(G:G,'Account Manager Data'!A:A,'Account Manager Data'!B:B,0)</f>
        <v>Teguh Wijaya</v>
      </c>
      <c r="I231" s="11" t="str">
        <f t="array" ref="I231">XLOOKUP($G:$G,'Account Manager Data'!$A:$A,'Account Manager Data'!C:C)</f>
        <v>Sulawesi</v>
      </c>
      <c r="J231" s="17">
        <v>6970667.0</v>
      </c>
      <c r="K231" s="17">
        <v>1657137.0</v>
      </c>
      <c r="L231" s="17">
        <v>2592759.0</v>
      </c>
      <c r="M231" s="17">
        <v>2917260.0</v>
      </c>
      <c r="N231" s="17">
        <v>713695.0</v>
      </c>
      <c r="O231" s="17">
        <v>0.0</v>
      </c>
      <c r="P231" s="17">
        <v>1.231064E7</v>
      </c>
      <c r="Q231" s="17">
        <v>8856085.0</v>
      </c>
      <c r="R231" s="17">
        <v>1.1925027E7</v>
      </c>
      <c r="S231" s="17">
        <v>939320.0</v>
      </c>
      <c r="T231" s="17">
        <v>1.1057286E7</v>
      </c>
      <c r="U231" s="17">
        <v>6722507.0</v>
      </c>
      <c r="V231" s="11">
        <f t="array" ref="V231">XLOOKUP(A:A,'Raw Revenue'!A:A,'Raw Revenue'!B:B,0)
</f>
        <v>0</v>
      </c>
      <c r="W231" s="11">
        <f t="array" ref="W231">XLOOKUP(A:A,'Raw Revenue'!C:C,'Raw Revenue'!D:D,0)</f>
        <v>0</v>
      </c>
      <c r="X231" s="11">
        <f t="array" ref="X231">XLOOKUP(A:A,'Raw Revenue'!E:E,'Raw Revenue'!F:F,0)</f>
        <v>0</v>
      </c>
      <c r="Y231" s="11">
        <f t="array" ref="Y231">XLOOKUP(A:A,'Raw Revenue'!G:G,'Raw Revenue'!H:H,0)</f>
        <v>0</v>
      </c>
      <c r="Z231" s="11">
        <f t="array" ref="Z231">XLOOKUP(A:A,'Raw Revenue'!I:I,'Raw Revenue'!J:J,0)</f>
        <v>0</v>
      </c>
      <c r="AA231" s="11">
        <f t="array" ref="AA231">XLOOKUP(A:A,'Raw Revenue'!K:K,'Raw Revenue'!L:L,0)</f>
        <v>0</v>
      </c>
      <c r="AB231" s="11">
        <f t="array" ref="AB231">XLOOKUP(A:A,'Raw Revenue'!M:M,'Raw Revenue'!N:N,0)</f>
        <v>0</v>
      </c>
      <c r="AC231" s="3">
        <v>0.0</v>
      </c>
      <c r="AD231" s="3">
        <v>0.0</v>
      </c>
      <c r="AE231" s="3">
        <v>0.0</v>
      </c>
      <c r="AF231" s="3">
        <v>0.0</v>
      </c>
      <c r="AG231" s="3">
        <v>0.0</v>
      </c>
    </row>
    <row r="232">
      <c r="A232" s="3" t="s">
        <v>761</v>
      </c>
      <c r="B232" s="3" t="s">
        <v>762</v>
      </c>
      <c r="C232" s="3" t="str">
        <f t="shared" si="1"/>
        <v>CV. Karya Utama Mandiri</v>
      </c>
      <c r="D232" s="3" t="s">
        <v>195</v>
      </c>
      <c r="E232" s="3" t="s">
        <v>196</v>
      </c>
      <c r="F232" s="3" t="s">
        <v>315</v>
      </c>
      <c r="G232" s="3" t="s">
        <v>70</v>
      </c>
      <c r="H232" s="3" t="str">
        <f t="array" ref="H232">XLOOKUP(G:G,'Account Manager Data'!A:A,'Account Manager Data'!B:B,0)</f>
        <v>Yusuf Hidayat</v>
      </c>
      <c r="I232" s="11" t="str">
        <f t="array" ref="I232">XLOOKUP($G:$G,'Account Manager Data'!$A:$A,'Account Manager Data'!C:C)</f>
        <v>Sumatera</v>
      </c>
      <c r="J232" s="17">
        <v>7077466.0</v>
      </c>
      <c r="K232" s="17">
        <v>4350885.0</v>
      </c>
      <c r="L232" s="17">
        <v>3565251.0</v>
      </c>
      <c r="M232" s="17">
        <v>8664545.0</v>
      </c>
      <c r="N232" s="17">
        <v>1.3627229E7</v>
      </c>
      <c r="O232" s="17">
        <v>0.0</v>
      </c>
      <c r="P232" s="17">
        <v>0.0</v>
      </c>
      <c r="Q232" s="17">
        <v>5061348.0</v>
      </c>
      <c r="R232" s="17">
        <v>5572851.0</v>
      </c>
      <c r="S232" s="17">
        <v>330789.0</v>
      </c>
      <c r="T232" s="17">
        <v>5914099.0</v>
      </c>
      <c r="U232" s="17">
        <v>1.4560641E7</v>
      </c>
      <c r="V232" s="11">
        <f t="array" ref="V232">XLOOKUP(A:A,'Raw Revenue'!A:A,'Raw Revenue'!B:B,0)
</f>
        <v>0</v>
      </c>
      <c r="W232" s="11">
        <f t="array" ref="W232">XLOOKUP(A:A,'Raw Revenue'!C:C,'Raw Revenue'!D:D,0)</f>
        <v>0</v>
      </c>
      <c r="X232" s="11">
        <f t="array" ref="X232">XLOOKUP(A:A,'Raw Revenue'!E:E,'Raw Revenue'!F:F,0)</f>
        <v>0</v>
      </c>
      <c r="Y232" s="11">
        <f t="array" ref="Y232">XLOOKUP(A:A,'Raw Revenue'!G:G,'Raw Revenue'!H:H,0)</f>
        <v>0</v>
      </c>
      <c r="Z232" s="11">
        <f t="array" ref="Z232">XLOOKUP(A:A,'Raw Revenue'!I:I,'Raw Revenue'!J:J,0)</f>
        <v>0</v>
      </c>
      <c r="AA232" s="11">
        <f t="array" ref="AA232">XLOOKUP(A:A,'Raw Revenue'!K:K,'Raw Revenue'!L:L,0)</f>
        <v>0</v>
      </c>
      <c r="AB232" s="11">
        <f t="array" ref="AB232">XLOOKUP(A:A,'Raw Revenue'!M:M,'Raw Revenue'!N:N,0)</f>
        <v>0</v>
      </c>
      <c r="AC232" s="3">
        <v>0.0</v>
      </c>
      <c r="AD232" s="3">
        <v>0.0</v>
      </c>
      <c r="AE232" s="3">
        <v>0.0</v>
      </c>
      <c r="AF232" s="3">
        <v>0.0</v>
      </c>
      <c r="AG232" s="3">
        <v>0.0</v>
      </c>
    </row>
    <row r="233">
      <c r="A233" s="3" t="s">
        <v>763</v>
      </c>
      <c r="B233" s="3" t="s">
        <v>764</v>
      </c>
      <c r="C233" s="3" t="str">
        <f t="shared" si="1"/>
        <v>PT. Pratama Jaya Sentosa</v>
      </c>
      <c r="D233" s="3" t="s">
        <v>195</v>
      </c>
      <c r="E233" s="3" t="s">
        <v>215</v>
      </c>
      <c r="F233" s="3" t="s">
        <v>300</v>
      </c>
      <c r="G233" s="3" t="s">
        <v>15</v>
      </c>
      <c r="H233" s="3" t="str">
        <f t="array" ref="H233">XLOOKUP(G:G,'Account Manager Data'!A:A,'Account Manager Data'!B:B,0)</f>
        <v>Rizky Maulana</v>
      </c>
      <c r="I233" s="11" t="str">
        <f t="array" ref="I233">XLOOKUP($G:$G,'Account Manager Data'!$A:$A,'Account Manager Data'!C:C)</f>
        <v>Jawa</v>
      </c>
      <c r="J233" s="17">
        <v>582249.0</v>
      </c>
      <c r="K233" s="17">
        <v>13989.0</v>
      </c>
      <c r="L233" s="17">
        <v>7475087.0</v>
      </c>
      <c r="M233" s="17">
        <v>1.1169955E7</v>
      </c>
      <c r="N233" s="17">
        <v>9436690.0</v>
      </c>
      <c r="O233" s="17">
        <v>1.0344092E7</v>
      </c>
      <c r="P233" s="17">
        <v>1.3314999E7</v>
      </c>
      <c r="Q233" s="17">
        <v>1.3268953E7</v>
      </c>
      <c r="R233" s="17">
        <v>7868842.0</v>
      </c>
      <c r="S233" s="17">
        <v>1.3370518E7</v>
      </c>
      <c r="T233" s="17">
        <v>9912715.0</v>
      </c>
      <c r="U233" s="17">
        <v>2266119.0</v>
      </c>
      <c r="V233" s="11">
        <f t="array" ref="V233">XLOOKUP(A:A,'Raw Revenue'!A:A,'Raw Revenue'!B:B,0)
</f>
        <v>0</v>
      </c>
      <c r="W233" s="11">
        <f t="array" ref="W233">XLOOKUP(A:A,'Raw Revenue'!C:C,'Raw Revenue'!D:D,0)</f>
        <v>0</v>
      </c>
      <c r="X233" s="11">
        <f t="array" ref="X233">XLOOKUP(A:A,'Raw Revenue'!E:E,'Raw Revenue'!F:F,0)</f>
        <v>0</v>
      </c>
      <c r="Y233" s="11">
        <f t="array" ref="Y233">XLOOKUP(A:A,'Raw Revenue'!G:G,'Raw Revenue'!H:H,0)</f>
        <v>0</v>
      </c>
      <c r="Z233" s="11">
        <f t="array" ref="Z233">XLOOKUP(A:A,'Raw Revenue'!I:I,'Raw Revenue'!J:J,0)</f>
        <v>0</v>
      </c>
      <c r="AA233" s="11">
        <f t="array" ref="AA233">XLOOKUP(A:A,'Raw Revenue'!K:K,'Raw Revenue'!L:L,0)</f>
        <v>0</v>
      </c>
      <c r="AB233" s="11">
        <f t="array" ref="AB233">XLOOKUP(A:A,'Raw Revenue'!M:M,'Raw Revenue'!N:N,0)</f>
        <v>0</v>
      </c>
      <c r="AC233" s="3">
        <v>0.0</v>
      </c>
      <c r="AD233" s="3">
        <v>0.0</v>
      </c>
      <c r="AE233" s="3">
        <v>0.0</v>
      </c>
      <c r="AF233" s="3">
        <v>0.0</v>
      </c>
      <c r="AG233" s="3">
        <v>0.0</v>
      </c>
    </row>
    <row r="234">
      <c r="A234" s="3" t="s">
        <v>765</v>
      </c>
      <c r="B234" s="3" t="s">
        <v>766</v>
      </c>
      <c r="C234" s="3" t="str">
        <f t="shared" si="1"/>
        <v>PT. Abadi Selamanya Jaya</v>
      </c>
      <c r="D234" s="3" t="s">
        <v>195</v>
      </c>
      <c r="E234" s="3" t="s">
        <v>196</v>
      </c>
      <c r="F234" s="3" t="s">
        <v>315</v>
      </c>
      <c r="G234" s="3" t="s">
        <v>53</v>
      </c>
      <c r="H234" s="3" t="str">
        <f t="array" ref="H234">XLOOKUP(G:G,'Account Manager Data'!A:A,'Account Manager Data'!B:B,0)</f>
        <v>Fajar Ramadhan</v>
      </c>
      <c r="I234" s="11" t="str">
        <f t="array" ref="I234">XLOOKUP($G:$G,'Account Manager Data'!$A:$A,'Account Manager Data'!C:C)</f>
        <v>Sulawesi</v>
      </c>
      <c r="J234" s="17">
        <v>0.0</v>
      </c>
      <c r="K234" s="17">
        <v>6263920.0</v>
      </c>
      <c r="L234" s="17">
        <v>7953998.0</v>
      </c>
      <c r="M234" s="17">
        <v>271533.0</v>
      </c>
      <c r="N234" s="17">
        <v>1561001.0</v>
      </c>
      <c r="O234" s="17">
        <v>0.0</v>
      </c>
      <c r="P234" s="17">
        <v>1.2098351E7</v>
      </c>
      <c r="Q234" s="17">
        <v>1.5430888E7</v>
      </c>
      <c r="R234" s="17">
        <v>1.0971937E7</v>
      </c>
      <c r="S234" s="17">
        <v>5445360.0</v>
      </c>
      <c r="T234" s="17">
        <v>8499047.0</v>
      </c>
      <c r="U234" s="17">
        <v>1.4404349E7</v>
      </c>
      <c r="V234" s="11">
        <f t="array" ref="V234">XLOOKUP(A:A,'Raw Revenue'!A:A,'Raw Revenue'!B:B,0)
</f>
        <v>0</v>
      </c>
      <c r="W234" s="11">
        <f t="array" ref="W234">XLOOKUP(A:A,'Raw Revenue'!C:C,'Raw Revenue'!D:D,0)</f>
        <v>0</v>
      </c>
      <c r="X234" s="11">
        <f t="array" ref="X234">XLOOKUP(A:A,'Raw Revenue'!E:E,'Raw Revenue'!F:F,0)</f>
        <v>0</v>
      </c>
      <c r="Y234" s="11">
        <f t="array" ref="Y234">XLOOKUP(A:A,'Raw Revenue'!G:G,'Raw Revenue'!H:H,0)</f>
        <v>0</v>
      </c>
      <c r="Z234" s="11">
        <f t="array" ref="Z234">XLOOKUP(A:A,'Raw Revenue'!I:I,'Raw Revenue'!J:J,0)</f>
        <v>0</v>
      </c>
      <c r="AA234" s="11">
        <f t="array" ref="AA234">XLOOKUP(A:A,'Raw Revenue'!K:K,'Raw Revenue'!L:L,0)</f>
        <v>0</v>
      </c>
      <c r="AB234" s="11">
        <f t="array" ref="AB234">XLOOKUP(A:A,'Raw Revenue'!M:M,'Raw Revenue'!N:N,0)</f>
        <v>0</v>
      </c>
      <c r="AC234" s="3">
        <v>0.0</v>
      </c>
      <c r="AD234" s="3">
        <v>0.0</v>
      </c>
      <c r="AE234" s="3">
        <v>0.0</v>
      </c>
      <c r="AF234" s="3">
        <v>0.0</v>
      </c>
      <c r="AG234" s="3">
        <v>0.0</v>
      </c>
    </row>
    <row r="235">
      <c r="A235" s="3" t="s">
        <v>767</v>
      </c>
      <c r="B235" s="3" t="s">
        <v>768</v>
      </c>
      <c r="C235" s="3" t="str">
        <f t="shared" si="1"/>
        <v>PT. Mandiri Sejahtera Bersama</v>
      </c>
      <c r="D235" s="3" t="s">
        <v>186</v>
      </c>
      <c r="E235" s="3" t="s">
        <v>187</v>
      </c>
      <c r="F235" s="3" t="s">
        <v>269</v>
      </c>
      <c r="G235" s="3" t="s">
        <v>27</v>
      </c>
      <c r="H235" s="3" t="str">
        <f t="array" ref="H235">XLOOKUP(G:G,'Account Manager Data'!A:A,'Account Manager Data'!B:B,0)</f>
        <v>Dedi Kurniawan</v>
      </c>
      <c r="I235" s="11" t="str">
        <f t="array" ref="I235">XLOOKUP($G:$G,'Account Manager Data'!$A:$A,'Account Manager Data'!C:C)</f>
        <v>Kalimantan</v>
      </c>
      <c r="J235" s="17">
        <v>3736198.0</v>
      </c>
      <c r="K235" s="17">
        <v>4320832.0</v>
      </c>
      <c r="L235" s="17">
        <v>5676349.0</v>
      </c>
      <c r="M235" s="17">
        <v>0.0</v>
      </c>
      <c r="N235" s="17">
        <v>1.3424667E7</v>
      </c>
      <c r="O235" s="17">
        <v>1.1349008E7</v>
      </c>
      <c r="P235" s="17">
        <v>8994674.0</v>
      </c>
      <c r="Q235" s="17">
        <v>1.5872776E7</v>
      </c>
      <c r="R235" s="17">
        <v>1.0485565E7</v>
      </c>
      <c r="S235" s="17">
        <v>9545828.0</v>
      </c>
      <c r="T235" s="17">
        <v>1.3855762E7</v>
      </c>
      <c r="U235" s="17">
        <v>1.8526388E7</v>
      </c>
      <c r="V235" s="11">
        <f t="array" ref="V235">XLOOKUP(A:A,'Raw Revenue'!A:A,'Raw Revenue'!B:B,0)
</f>
        <v>0</v>
      </c>
      <c r="W235" s="11">
        <f t="array" ref="W235">XLOOKUP(A:A,'Raw Revenue'!C:C,'Raw Revenue'!D:D,0)</f>
        <v>0</v>
      </c>
      <c r="X235" s="11">
        <f t="array" ref="X235">XLOOKUP(A:A,'Raw Revenue'!E:E,'Raw Revenue'!F:F,0)</f>
        <v>0</v>
      </c>
      <c r="Y235" s="11">
        <f t="array" ref="Y235">XLOOKUP(A:A,'Raw Revenue'!G:G,'Raw Revenue'!H:H,0)</f>
        <v>0</v>
      </c>
      <c r="Z235" s="11">
        <f t="array" ref="Z235">XLOOKUP(A:A,'Raw Revenue'!I:I,'Raw Revenue'!J:J,0)</f>
        <v>0</v>
      </c>
      <c r="AA235" s="11">
        <f t="array" ref="AA235">XLOOKUP(A:A,'Raw Revenue'!K:K,'Raw Revenue'!L:L,0)</f>
        <v>0</v>
      </c>
      <c r="AB235" s="11">
        <f t="array" ref="AB235">XLOOKUP(A:A,'Raw Revenue'!M:M,'Raw Revenue'!N:N,0)</f>
        <v>0</v>
      </c>
      <c r="AC235" s="3">
        <v>0.0</v>
      </c>
      <c r="AD235" s="3">
        <v>0.0</v>
      </c>
      <c r="AE235" s="3">
        <v>0.0</v>
      </c>
      <c r="AF235" s="3">
        <v>0.0</v>
      </c>
      <c r="AG235" s="3">
        <v>0.0</v>
      </c>
    </row>
    <row r="236">
      <c r="A236" s="3" t="s">
        <v>769</v>
      </c>
      <c r="B236" s="3" t="s">
        <v>770</v>
      </c>
      <c r="C236" s="3" t="str">
        <f t="shared" si="1"/>
        <v>PT. Sejahtera Alam Indonesia</v>
      </c>
      <c r="D236" s="3" t="s">
        <v>186</v>
      </c>
      <c r="E236" s="3" t="s">
        <v>104</v>
      </c>
      <c r="F236" s="3" t="s">
        <v>134</v>
      </c>
      <c r="G236" s="3" t="s">
        <v>78</v>
      </c>
      <c r="H236" s="3" t="str">
        <f t="array" ref="H236">XLOOKUP(G:G,'Account Manager Data'!A:A,'Account Manager Data'!B:B,0)</f>
        <v>Ilham Saputra</v>
      </c>
      <c r="I236" s="11" t="str">
        <f t="array" ref="I236">XLOOKUP($G:$G,'Account Manager Data'!$A:$A,'Account Manager Data'!C:C)</f>
        <v>Jawa</v>
      </c>
      <c r="J236" s="17">
        <v>3891372.0</v>
      </c>
      <c r="K236" s="17">
        <v>9023432.0</v>
      </c>
      <c r="L236" s="17">
        <v>6496891.0</v>
      </c>
      <c r="M236" s="17">
        <v>1.1163919E7</v>
      </c>
      <c r="N236" s="17">
        <v>1364048.0</v>
      </c>
      <c r="O236" s="17">
        <v>1.3796772E7</v>
      </c>
      <c r="P236" s="17">
        <v>1.5153773E7</v>
      </c>
      <c r="Q236" s="17">
        <v>3183090.0</v>
      </c>
      <c r="R236" s="17">
        <v>1147343.0</v>
      </c>
      <c r="S236" s="17">
        <v>7313238.0</v>
      </c>
      <c r="T236" s="17">
        <v>6910862.0</v>
      </c>
      <c r="U236" s="17">
        <v>0.0</v>
      </c>
      <c r="V236" s="11">
        <f t="array" ref="V236">XLOOKUP(A:A,'Raw Revenue'!A:A,'Raw Revenue'!B:B,0)
</f>
        <v>0</v>
      </c>
      <c r="W236" s="11">
        <f t="array" ref="W236">XLOOKUP(A:A,'Raw Revenue'!C:C,'Raw Revenue'!D:D,0)</f>
        <v>0</v>
      </c>
      <c r="X236" s="11">
        <f t="array" ref="X236">XLOOKUP(A:A,'Raw Revenue'!E:E,'Raw Revenue'!F:F,0)</f>
        <v>0</v>
      </c>
      <c r="Y236" s="11">
        <f t="array" ref="Y236">XLOOKUP(A:A,'Raw Revenue'!G:G,'Raw Revenue'!H:H,0)</f>
        <v>0</v>
      </c>
      <c r="Z236" s="11">
        <f t="array" ref="Z236">XLOOKUP(A:A,'Raw Revenue'!I:I,'Raw Revenue'!J:J,0)</f>
        <v>0</v>
      </c>
      <c r="AA236" s="11">
        <f t="array" ref="AA236">XLOOKUP(A:A,'Raw Revenue'!K:K,'Raw Revenue'!L:L,0)</f>
        <v>0</v>
      </c>
      <c r="AB236" s="11">
        <f t="array" ref="AB236">XLOOKUP(A:A,'Raw Revenue'!M:M,'Raw Revenue'!N:N,0)</f>
        <v>0</v>
      </c>
      <c r="AC236" s="3">
        <v>0.0</v>
      </c>
      <c r="AD236" s="3">
        <v>0.0</v>
      </c>
      <c r="AE236" s="3">
        <v>0.0</v>
      </c>
      <c r="AF236" s="3">
        <v>0.0</v>
      </c>
      <c r="AG236" s="3">
        <v>0.0</v>
      </c>
    </row>
    <row r="237">
      <c r="A237" s="3" t="s">
        <v>771</v>
      </c>
      <c r="B237" s="3" t="s">
        <v>772</v>
      </c>
      <c r="C237" s="3" t="str">
        <f t="shared" si="1"/>
        <v>PT. Indah Kargo Logistik</v>
      </c>
      <c r="D237" s="3" t="s">
        <v>130</v>
      </c>
      <c r="E237" s="3" t="s">
        <v>104</v>
      </c>
      <c r="F237" s="3" t="s">
        <v>252</v>
      </c>
      <c r="G237" s="3" t="s">
        <v>63</v>
      </c>
      <c r="H237" s="3" t="str">
        <f t="array" ref="H237">XLOOKUP(G:G,'Account Manager Data'!A:A,'Account Manager Data'!B:B,0)</f>
        <v>Hendra Gunawan</v>
      </c>
      <c r="I237" s="11" t="str">
        <f t="array" ref="I237">XLOOKUP($G:$G,'Account Manager Data'!$A:$A,'Account Manager Data'!C:C)</f>
        <v>Kalimantan</v>
      </c>
      <c r="J237" s="17">
        <v>7760710.0</v>
      </c>
      <c r="K237" s="17">
        <v>1773133.0</v>
      </c>
      <c r="L237" s="17">
        <v>2584825.0</v>
      </c>
      <c r="M237" s="17">
        <v>8964289.0</v>
      </c>
      <c r="N237" s="17">
        <v>1.1050101E7</v>
      </c>
      <c r="O237" s="17">
        <v>1.1445329E7</v>
      </c>
      <c r="P237" s="17">
        <v>5898965.0</v>
      </c>
      <c r="Q237" s="17">
        <v>1496586.0</v>
      </c>
      <c r="R237" s="17">
        <v>1.0418714E7</v>
      </c>
      <c r="S237" s="17">
        <v>3301915.0</v>
      </c>
      <c r="T237" s="17">
        <v>1030504.0</v>
      </c>
      <c r="U237" s="17">
        <v>1.6320064E7</v>
      </c>
      <c r="V237" s="11">
        <f t="array" ref="V237">XLOOKUP(A:A,'Raw Revenue'!A:A,'Raw Revenue'!B:B,0)
</f>
        <v>0</v>
      </c>
      <c r="W237" s="11">
        <f t="array" ref="W237">XLOOKUP(A:A,'Raw Revenue'!C:C,'Raw Revenue'!D:D,0)</f>
        <v>0</v>
      </c>
      <c r="X237" s="11">
        <f t="array" ref="X237">XLOOKUP(A:A,'Raw Revenue'!E:E,'Raw Revenue'!F:F,0)</f>
        <v>0</v>
      </c>
      <c r="Y237" s="11">
        <f t="array" ref="Y237">XLOOKUP(A:A,'Raw Revenue'!G:G,'Raw Revenue'!H:H,0)</f>
        <v>0</v>
      </c>
      <c r="Z237" s="11">
        <f t="array" ref="Z237">XLOOKUP(A:A,'Raw Revenue'!I:I,'Raw Revenue'!J:J,0)</f>
        <v>0</v>
      </c>
      <c r="AA237" s="11">
        <f t="array" ref="AA237">XLOOKUP(A:A,'Raw Revenue'!K:K,'Raw Revenue'!L:L,0)</f>
        <v>0</v>
      </c>
      <c r="AB237" s="11">
        <f t="array" ref="AB237">XLOOKUP(A:A,'Raw Revenue'!M:M,'Raw Revenue'!N:N,0)</f>
        <v>0</v>
      </c>
      <c r="AC237" s="3">
        <v>0.0</v>
      </c>
      <c r="AD237" s="3">
        <v>0.0</v>
      </c>
      <c r="AE237" s="3">
        <v>0.0</v>
      </c>
      <c r="AF237" s="3">
        <v>0.0</v>
      </c>
      <c r="AG237" s="3">
        <v>0.0</v>
      </c>
    </row>
    <row r="238">
      <c r="A238" s="3" t="s">
        <v>773</v>
      </c>
      <c r="B238" s="3" t="s">
        <v>774</v>
      </c>
      <c r="C238" s="3" t="str">
        <f t="shared" si="1"/>
        <v>PT. Berkah Alam Semesta</v>
      </c>
      <c r="D238" s="3" t="s">
        <v>195</v>
      </c>
      <c r="E238" s="3" t="s">
        <v>104</v>
      </c>
      <c r="F238" s="3" t="s">
        <v>252</v>
      </c>
      <c r="G238" s="3" t="s">
        <v>35</v>
      </c>
      <c r="H238" s="3" t="str">
        <f t="array" ref="H238">XLOOKUP(G:G,'Account Manager Data'!A:A,'Account Manager Data'!B:B,0)</f>
        <v>Ahmad Fauzi</v>
      </c>
      <c r="I238" s="11" t="str">
        <f t="array" ref="I238">XLOOKUP($G:$G,'Account Manager Data'!$A:$A,'Account Manager Data'!C:C)</f>
        <v>Sumatera</v>
      </c>
      <c r="J238" s="17">
        <v>1056977.0</v>
      </c>
      <c r="K238" s="17">
        <v>7261753.0</v>
      </c>
      <c r="L238" s="17">
        <v>5012064.0</v>
      </c>
      <c r="M238" s="17">
        <v>0.0</v>
      </c>
      <c r="N238" s="17">
        <v>1.1061098E7</v>
      </c>
      <c r="O238" s="17">
        <v>5511198.0</v>
      </c>
      <c r="P238" s="17">
        <v>1.2471513E7</v>
      </c>
      <c r="Q238" s="17">
        <v>1.2360471E7</v>
      </c>
      <c r="R238" s="17">
        <v>3986235.0</v>
      </c>
      <c r="S238" s="17">
        <v>8259636.0</v>
      </c>
      <c r="T238" s="17">
        <v>615036.0</v>
      </c>
      <c r="U238" s="17">
        <v>5474764.0</v>
      </c>
      <c r="V238" s="11">
        <f t="array" ref="V238">XLOOKUP(A:A,'Raw Revenue'!A:A,'Raw Revenue'!B:B,0)
</f>
        <v>0</v>
      </c>
      <c r="W238" s="11">
        <f t="array" ref="W238">XLOOKUP(A:A,'Raw Revenue'!C:C,'Raw Revenue'!D:D,0)</f>
        <v>0</v>
      </c>
      <c r="X238" s="11">
        <f t="array" ref="X238">XLOOKUP(A:A,'Raw Revenue'!E:E,'Raw Revenue'!F:F,0)</f>
        <v>0</v>
      </c>
      <c r="Y238" s="11">
        <f t="array" ref="Y238">XLOOKUP(A:A,'Raw Revenue'!G:G,'Raw Revenue'!H:H,0)</f>
        <v>0</v>
      </c>
      <c r="Z238" s="11">
        <f t="array" ref="Z238">XLOOKUP(A:A,'Raw Revenue'!I:I,'Raw Revenue'!J:J,0)</f>
        <v>0</v>
      </c>
      <c r="AA238" s="11">
        <f t="array" ref="AA238">XLOOKUP(A:A,'Raw Revenue'!K:K,'Raw Revenue'!L:L,0)</f>
        <v>0</v>
      </c>
      <c r="AB238" s="11">
        <f t="array" ref="AB238">XLOOKUP(A:A,'Raw Revenue'!M:M,'Raw Revenue'!N:N,0)</f>
        <v>0</v>
      </c>
      <c r="AC238" s="3">
        <v>0.0</v>
      </c>
      <c r="AD238" s="3">
        <v>0.0</v>
      </c>
      <c r="AE238" s="3">
        <v>0.0</v>
      </c>
      <c r="AF238" s="3">
        <v>0.0</v>
      </c>
      <c r="AG238" s="3">
        <v>0.0</v>
      </c>
    </row>
    <row r="239">
      <c r="A239" s="3" t="s">
        <v>775</v>
      </c>
      <c r="B239" s="3" t="s">
        <v>776</v>
      </c>
      <c r="C239" s="3" t="str">
        <f t="shared" si="1"/>
        <v>PT. Cahaya Baru Indonesia</v>
      </c>
      <c r="D239" s="3" t="s">
        <v>214</v>
      </c>
      <c r="E239" s="3" t="s">
        <v>85</v>
      </c>
      <c r="F239" s="3" t="s">
        <v>407</v>
      </c>
      <c r="G239" s="3" t="s">
        <v>43</v>
      </c>
      <c r="H239" s="3" t="str">
        <f t="array" ref="H239">XLOOKUP(G:G,'Account Manager Data'!A:A,'Account Manager Data'!B:B,0)</f>
        <v>Eko Prasetyo</v>
      </c>
      <c r="I239" s="11" t="str">
        <f t="array" ref="I239">XLOOKUP($G:$G,'Account Manager Data'!$A:$A,'Account Manager Data'!C:C)</f>
        <v>Papua</v>
      </c>
      <c r="J239" s="17">
        <v>487207.0</v>
      </c>
      <c r="K239" s="17">
        <v>1643193.0</v>
      </c>
      <c r="L239" s="17">
        <v>2994387.0</v>
      </c>
      <c r="M239" s="17">
        <v>8861173.0</v>
      </c>
      <c r="N239" s="17">
        <v>1.3289716E7</v>
      </c>
      <c r="O239" s="17">
        <v>8001354.0</v>
      </c>
      <c r="P239" s="17">
        <v>1.2272243E7</v>
      </c>
      <c r="Q239" s="17">
        <v>1.453012E7</v>
      </c>
      <c r="R239" s="17">
        <v>5152158.0</v>
      </c>
      <c r="S239" s="17">
        <v>1.6857732E7</v>
      </c>
      <c r="T239" s="17">
        <v>0.0</v>
      </c>
      <c r="U239" s="17">
        <v>1.358069E7</v>
      </c>
      <c r="V239" s="11">
        <f t="array" ref="V239">XLOOKUP(A:A,'Raw Revenue'!A:A,'Raw Revenue'!B:B,0)
</f>
        <v>0</v>
      </c>
      <c r="W239" s="11">
        <f t="array" ref="W239">XLOOKUP(A:A,'Raw Revenue'!C:C,'Raw Revenue'!D:D,0)</f>
        <v>0</v>
      </c>
      <c r="X239" s="11">
        <f t="array" ref="X239">XLOOKUP(A:A,'Raw Revenue'!E:E,'Raw Revenue'!F:F,0)</f>
        <v>0</v>
      </c>
      <c r="Y239" s="11">
        <f t="array" ref="Y239">XLOOKUP(A:A,'Raw Revenue'!G:G,'Raw Revenue'!H:H,0)</f>
        <v>0</v>
      </c>
      <c r="Z239" s="11">
        <f t="array" ref="Z239">XLOOKUP(A:A,'Raw Revenue'!I:I,'Raw Revenue'!J:J,0)</f>
        <v>0</v>
      </c>
      <c r="AA239" s="11">
        <f t="array" ref="AA239">XLOOKUP(A:A,'Raw Revenue'!K:K,'Raw Revenue'!L:L,0)</f>
        <v>0</v>
      </c>
      <c r="AB239" s="11">
        <f t="array" ref="AB239">XLOOKUP(A:A,'Raw Revenue'!M:M,'Raw Revenue'!N:N,0)</f>
        <v>0</v>
      </c>
      <c r="AC239" s="3">
        <v>0.0</v>
      </c>
      <c r="AD239" s="3">
        <v>0.0</v>
      </c>
      <c r="AE239" s="3">
        <v>0.0</v>
      </c>
      <c r="AF239" s="3">
        <v>0.0</v>
      </c>
      <c r="AG239" s="3">
        <v>0.0</v>
      </c>
    </row>
    <row r="240">
      <c r="A240" s="3" t="s">
        <v>777</v>
      </c>
      <c r="B240" s="3" t="s">
        <v>778</v>
      </c>
      <c r="C240" s="3" t="str">
        <f t="shared" si="1"/>
        <v>PT. Mentari Pagi Sejahtera</v>
      </c>
      <c r="D240" s="3" t="s">
        <v>84</v>
      </c>
      <c r="E240" s="3" t="s">
        <v>187</v>
      </c>
      <c r="F240" s="3" t="s">
        <v>188</v>
      </c>
      <c r="G240" s="3" t="s">
        <v>74</v>
      </c>
      <c r="H240" s="3" t="str">
        <f t="array" ref="H240">XLOOKUP(G:G,'Account Manager Data'!A:A,'Account Manager Data'!B:B,0)</f>
        <v>Budi Santoso</v>
      </c>
      <c r="I240" s="11" t="str">
        <f t="array" ref="I240">XLOOKUP($G:$G,'Account Manager Data'!$A:$A,'Account Manager Data'!C:C)</f>
        <v>Papua</v>
      </c>
      <c r="J240" s="17">
        <v>3726124.0</v>
      </c>
      <c r="K240" s="17">
        <v>5946606.0</v>
      </c>
      <c r="L240" s="17">
        <v>8190462.0</v>
      </c>
      <c r="M240" s="17">
        <v>4806573.0</v>
      </c>
      <c r="N240" s="17">
        <v>1.3519878E7</v>
      </c>
      <c r="O240" s="17">
        <v>1.0511382E7</v>
      </c>
      <c r="P240" s="17">
        <v>1.5822986E7</v>
      </c>
      <c r="Q240" s="17">
        <v>5080368.0</v>
      </c>
      <c r="R240" s="17">
        <v>1.4346884E7</v>
      </c>
      <c r="S240" s="17">
        <v>4707623.0</v>
      </c>
      <c r="T240" s="17">
        <v>1.7801714E7</v>
      </c>
      <c r="U240" s="17">
        <v>1.3032361E7</v>
      </c>
      <c r="V240" s="11">
        <f t="array" ref="V240">XLOOKUP(A:A,'Raw Revenue'!A:A,'Raw Revenue'!B:B,0)
</f>
        <v>0</v>
      </c>
      <c r="W240" s="11">
        <f t="array" ref="W240">XLOOKUP(A:A,'Raw Revenue'!C:C,'Raw Revenue'!D:D,0)</f>
        <v>0</v>
      </c>
      <c r="X240" s="11">
        <f t="array" ref="X240">XLOOKUP(A:A,'Raw Revenue'!E:E,'Raw Revenue'!F:F,0)</f>
        <v>0</v>
      </c>
      <c r="Y240" s="11">
        <f t="array" ref="Y240">XLOOKUP(A:A,'Raw Revenue'!G:G,'Raw Revenue'!H:H,0)</f>
        <v>0</v>
      </c>
      <c r="Z240" s="11">
        <f t="array" ref="Z240">XLOOKUP(A:A,'Raw Revenue'!I:I,'Raw Revenue'!J:J,0)</f>
        <v>0</v>
      </c>
      <c r="AA240" s="11">
        <f t="array" ref="AA240">XLOOKUP(A:A,'Raw Revenue'!K:K,'Raw Revenue'!L:L,0)</f>
        <v>0</v>
      </c>
      <c r="AB240" s="11">
        <f t="array" ref="AB240">XLOOKUP(A:A,'Raw Revenue'!M:M,'Raw Revenue'!N:N,0)</f>
        <v>0</v>
      </c>
      <c r="AC240" s="3">
        <v>0.0</v>
      </c>
      <c r="AD240" s="3">
        <v>0.0</v>
      </c>
      <c r="AE240" s="3">
        <v>0.0</v>
      </c>
      <c r="AF240" s="3">
        <v>0.0</v>
      </c>
      <c r="AG240" s="3">
        <v>0.0</v>
      </c>
    </row>
    <row r="241">
      <c r="A241" s="3" t="s">
        <v>779</v>
      </c>
      <c r="B241" s="3" t="s">
        <v>780</v>
      </c>
      <c r="C241" s="3" t="str">
        <f t="shared" si="1"/>
        <v>PT. Bintang Kejora Nusantara</v>
      </c>
      <c r="D241" s="3" t="s">
        <v>214</v>
      </c>
      <c r="E241" s="3" t="s">
        <v>104</v>
      </c>
      <c r="F241" s="3" t="s">
        <v>252</v>
      </c>
      <c r="G241" s="3" t="s">
        <v>76</v>
      </c>
      <c r="H241" s="3" t="str">
        <f t="array" ref="H241">XLOOKUP(G:G,'Account Manager Data'!A:A,'Account Manager Data'!B:B,0)</f>
        <v>Teguh Wijaya</v>
      </c>
      <c r="I241" s="11" t="str">
        <f t="array" ref="I241">XLOOKUP($G:$G,'Account Manager Data'!$A:$A,'Account Manager Data'!C:C)</f>
        <v>Sulawesi</v>
      </c>
      <c r="J241" s="17">
        <v>6814707.0</v>
      </c>
      <c r="K241" s="17">
        <v>7897794.0</v>
      </c>
      <c r="L241" s="17">
        <v>9874138.0</v>
      </c>
      <c r="M241" s="17">
        <v>3466844.0</v>
      </c>
      <c r="N241" s="17">
        <v>1.3677286E7</v>
      </c>
      <c r="O241" s="17">
        <v>9471516.0</v>
      </c>
      <c r="P241" s="17">
        <v>1.29565E7</v>
      </c>
      <c r="Q241" s="17">
        <v>263260.0</v>
      </c>
      <c r="R241" s="17">
        <v>2381151.0</v>
      </c>
      <c r="S241" s="17">
        <v>1.2146136E7</v>
      </c>
      <c r="T241" s="17">
        <v>0.0</v>
      </c>
      <c r="U241" s="17">
        <v>1.8758595E7</v>
      </c>
      <c r="V241" s="11">
        <f t="array" ref="V241">XLOOKUP(A:A,'Raw Revenue'!A:A,'Raw Revenue'!B:B,0)
</f>
        <v>0</v>
      </c>
      <c r="W241" s="11">
        <f t="array" ref="W241">XLOOKUP(A:A,'Raw Revenue'!C:C,'Raw Revenue'!D:D,0)</f>
        <v>0</v>
      </c>
      <c r="X241" s="11">
        <f t="array" ref="X241">XLOOKUP(A:A,'Raw Revenue'!E:E,'Raw Revenue'!F:F,0)</f>
        <v>0</v>
      </c>
      <c r="Y241" s="11">
        <f t="array" ref="Y241">XLOOKUP(A:A,'Raw Revenue'!G:G,'Raw Revenue'!H:H,0)</f>
        <v>0</v>
      </c>
      <c r="Z241" s="11">
        <f t="array" ref="Z241">XLOOKUP(A:A,'Raw Revenue'!I:I,'Raw Revenue'!J:J,0)</f>
        <v>0</v>
      </c>
      <c r="AA241" s="11">
        <f t="array" ref="AA241">XLOOKUP(A:A,'Raw Revenue'!K:K,'Raw Revenue'!L:L,0)</f>
        <v>0</v>
      </c>
      <c r="AB241" s="11">
        <f t="array" ref="AB241">XLOOKUP(A:A,'Raw Revenue'!M:M,'Raw Revenue'!N:N,0)</f>
        <v>0</v>
      </c>
      <c r="AC241" s="3">
        <v>0.0</v>
      </c>
      <c r="AD241" s="3">
        <v>0.0</v>
      </c>
      <c r="AE241" s="3">
        <v>0.0</v>
      </c>
      <c r="AF241" s="3">
        <v>0.0</v>
      </c>
      <c r="AG241" s="3">
        <v>0.0</v>
      </c>
    </row>
    <row r="242">
      <c r="A242" s="3" t="s">
        <v>781</v>
      </c>
      <c r="B242" s="3" t="s">
        <v>782</v>
      </c>
      <c r="C242" s="3" t="str">
        <f t="shared" si="1"/>
        <v>PT. Maju Jaya</v>
      </c>
      <c r="D242" s="3" t="s">
        <v>214</v>
      </c>
      <c r="E242" s="3" t="s">
        <v>187</v>
      </c>
      <c r="F242" s="3" t="s">
        <v>295</v>
      </c>
      <c r="G242" s="3" t="s">
        <v>70</v>
      </c>
      <c r="H242" s="3" t="str">
        <f t="array" ref="H242">XLOOKUP(G:G,'Account Manager Data'!A:A,'Account Manager Data'!B:B,0)</f>
        <v>Yusuf Hidayat</v>
      </c>
      <c r="I242" s="11" t="str">
        <f t="array" ref="I242">XLOOKUP($G:$G,'Account Manager Data'!$A:$A,'Account Manager Data'!C:C)</f>
        <v>Sumatera</v>
      </c>
      <c r="J242" s="17">
        <v>1422953.0</v>
      </c>
      <c r="K242" s="17">
        <v>4983223.0</v>
      </c>
      <c r="L242" s="17">
        <v>6722809.0</v>
      </c>
      <c r="M242" s="17">
        <v>5706680.0</v>
      </c>
      <c r="N242" s="17">
        <v>5868274.0</v>
      </c>
      <c r="O242" s="17">
        <v>3418115.0</v>
      </c>
      <c r="P242" s="17">
        <v>6963828.0</v>
      </c>
      <c r="Q242" s="17">
        <v>4525947.0</v>
      </c>
      <c r="R242" s="17">
        <v>1.3007169E7</v>
      </c>
      <c r="S242" s="17">
        <v>9998644.0</v>
      </c>
      <c r="T242" s="17">
        <v>1.6083903E7</v>
      </c>
      <c r="U242" s="17">
        <v>1.850681E7</v>
      </c>
      <c r="V242" s="11">
        <f t="array" ref="V242">XLOOKUP(A:A,'Raw Revenue'!A:A,'Raw Revenue'!B:B,0)
</f>
        <v>0</v>
      </c>
      <c r="W242" s="11">
        <f t="array" ref="W242">XLOOKUP(A:A,'Raw Revenue'!C:C,'Raw Revenue'!D:D,0)</f>
        <v>0</v>
      </c>
      <c r="X242" s="11">
        <f t="array" ref="X242">XLOOKUP(A:A,'Raw Revenue'!E:E,'Raw Revenue'!F:F,0)</f>
        <v>0</v>
      </c>
      <c r="Y242" s="11">
        <f t="array" ref="Y242">XLOOKUP(A:A,'Raw Revenue'!G:G,'Raw Revenue'!H:H,0)</f>
        <v>0</v>
      </c>
      <c r="Z242" s="11">
        <f t="array" ref="Z242">XLOOKUP(A:A,'Raw Revenue'!I:I,'Raw Revenue'!J:J,0)</f>
        <v>0</v>
      </c>
      <c r="AA242" s="11">
        <f t="array" ref="AA242">XLOOKUP(A:A,'Raw Revenue'!K:K,'Raw Revenue'!L:L,0)</f>
        <v>0</v>
      </c>
      <c r="AB242" s="11">
        <f t="array" ref="AB242">XLOOKUP(A:A,'Raw Revenue'!M:M,'Raw Revenue'!N:N,0)</f>
        <v>0</v>
      </c>
      <c r="AC242" s="3">
        <v>0.0</v>
      </c>
      <c r="AD242" s="3">
        <v>0.0</v>
      </c>
      <c r="AE242" s="3">
        <v>0.0</v>
      </c>
      <c r="AF242" s="3">
        <v>0.0</v>
      </c>
      <c r="AG242" s="3">
        <v>0.0</v>
      </c>
    </row>
    <row r="243">
      <c r="A243" s="3" t="s">
        <v>783</v>
      </c>
      <c r="B243" s="3" t="s">
        <v>784</v>
      </c>
      <c r="C243" s="3" t="str">
        <f t="shared" si="1"/>
        <v>CV. Sumber Makmur</v>
      </c>
      <c r="D243" s="3" t="s">
        <v>214</v>
      </c>
      <c r="E243" s="3" t="s">
        <v>215</v>
      </c>
      <c r="F243" s="3" t="s">
        <v>300</v>
      </c>
      <c r="G243" s="3" t="s">
        <v>15</v>
      </c>
      <c r="H243" s="3" t="str">
        <f t="array" ref="H243">XLOOKUP(G:G,'Account Manager Data'!A:A,'Account Manager Data'!B:B,0)</f>
        <v>Rizky Maulana</v>
      </c>
      <c r="I243" s="11" t="str">
        <f t="array" ref="I243">XLOOKUP($G:$G,'Account Manager Data'!$A:$A,'Account Manager Data'!C:C)</f>
        <v>Jawa</v>
      </c>
      <c r="J243" s="17">
        <v>1093703.0</v>
      </c>
      <c r="K243" s="17">
        <v>4494439.0</v>
      </c>
      <c r="L243" s="17">
        <v>2836911.0</v>
      </c>
      <c r="M243" s="17">
        <v>0.0</v>
      </c>
      <c r="N243" s="17">
        <v>9062238.0</v>
      </c>
      <c r="O243" s="17">
        <v>1.2098967E7</v>
      </c>
      <c r="P243" s="17">
        <v>9886561.0</v>
      </c>
      <c r="Q243" s="17">
        <v>1.3222231E7</v>
      </c>
      <c r="R243" s="17">
        <v>6148956.0</v>
      </c>
      <c r="S243" s="17">
        <v>3394670.0</v>
      </c>
      <c r="T243" s="17">
        <v>1.3642008E7</v>
      </c>
      <c r="U243" s="17">
        <v>1.9440222E7</v>
      </c>
      <c r="V243" s="11">
        <f t="array" ref="V243">XLOOKUP(A:A,'Raw Revenue'!A:A,'Raw Revenue'!B:B,0)
</f>
        <v>0</v>
      </c>
      <c r="W243" s="11">
        <f t="array" ref="W243">XLOOKUP(A:A,'Raw Revenue'!C:C,'Raw Revenue'!D:D,0)</f>
        <v>0</v>
      </c>
      <c r="X243" s="11">
        <f t="array" ref="X243">XLOOKUP(A:A,'Raw Revenue'!E:E,'Raw Revenue'!F:F,0)</f>
        <v>0</v>
      </c>
      <c r="Y243" s="11">
        <f t="array" ref="Y243">XLOOKUP(A:A,'Raw Revenue'!G:G,'Raw Revenue'!H:H,0)</f>
        <v>0</v>
      </c>
      <c r="Z243" s="11">
        <f t="array" ref="Z243">XLOOKUP(A:A,'Raw Revenue'!I:I,'Raw Revenue'!J:J,0)</f>
        <v>0</v>
      </c>
      <c r="AA243" s="11">
        <f t="array" ref="AA243">XLOOKUP(A:A,'Raw Revenue'!K:K,'Raw Revenue'!L:L,0)</f>
        <v>0</v>
      </c>
      <c r="AB243" s="11">
        <f t="array" ref="AB243">XLOOKUP(A:A,'Raw Revenue'!M:M,'Raw Revenue'!N:N,0)</f>
        <v>0</v>
      </c>
      <c r="AC243" s="3">
        <v>0.0</v>
      </c>
      <c r="AD243" s="3">
        <v>0.0</v>
      </c>
      <c r="AE243" s="3">
        <v>0.0</v>
      </c>
      <c r="AF243" s="3">
        <v>0.0</v>
      </c>
      <c r="AG243" s="3">
        <v>0.0</v>
      </c>
    </row>
    <row r="244">
      <c r="A244" s="3" t="s">
        <v>785</v>
      </c>
      <c r="B244" s="3" t="s">
        <v>786</v>
      </c>
      <c r="C244" s="3" t="str">
        <f t="shared" si="1"/>
        <v>PT. Teknologi Nusantara</v>
      </c>
      <c r="D244" s="3" t="s">
        <v>214</v>
      </c>
      <c r="E244" s="3" t="s">
        <v>196</v>
      </c>
      <c r="F244" s="3" t="s">
        <v>260</v>
      </c>
      <c r="G244" s="3" t="s">
        <v>27</v>
      </c>
      <c r="H244" s="3" t="str">
        <f t="array" ref="H244">XLOOKUP(G:G,'Account Manager Data'!A:A,'Account Manager Data'!B:B,0)</f>
        <v>Dedi Kurniawan</v>
      </c>
      <c r="I244" s="11" t="str">
        <f t="array" ref="I244">XLOOKUP($G:$G,'Account Manager Data'!$A:$A,'Account Manager Data'!C:C)</f>
        <v>Kalimantan</v>
      </c>
      <c r="J244" s="17">
        <v>7906388.0</v>
      </c>
      <c r="K244" s="17">
        <v>5982113.0</v>
      </c>
      <c r="L244" s="17">
        <v>776112.0</v>
      </c>
      <c r="M244" s="17">
        <v>1.1640423E7</v>
      </c>
      <c r="N244" s="17">
        <v>9703120.0</v>
      </c>
      <c r="O244" s="17">
        <v>9358521.0</v>
      </c>
      <c r="P244" s="17">
        <v>1.4976387E7</v>
      </c>
      <c r="Q244" s="17">
        <v>7003814.0</v>
      </c>
      <c r="R244" s="17">
        <v>7201782.0</v>
      </c>
      <c r="S244" s="17">
        <v>1.1501943E7</v>
      </c>
      <c r="T244" s="17">
        <v>8339110.0</v>
      </c>
      <c r="U244" s="17">
        <v>1.0801903E7</v>
      </c>
      <c r="V244" s="11">
        <f t="array" ref="V244">XLOOKUP(A:A,'Raw Revenue'!A:A,'Raw Revenue'!B:B,0)
</f>
        <v>0</v>
      </c>
      <c r="W244" s="11">
        <f t="array" ref="W244">XLOOKUP(A:A,'Raw Revenue'!C:C,'Raw Revenue'!D:D,0)</f>
        <v>0</v>
      </c>
      <c r="X244" s="11">
        <f t="array" ref="X244">XLOOKUP(A:A,'Raw Revenue'!E:E,'Raw Revenue'!F:F,0)</f>
        <v>0</v>
      </c>
      <c r="Y244" s="11">
        <f t="array" ref="Y244">XLOOKUP(A:A,'Raw Revenue'!G:G,'Raw Revenue'!H:H,0)</f>
        <v>0</v>
      </c>
      <c r="Z244" s="11">
        <f t="array" ref="Z244">XLOOKUP(A:A,'Raw Revenue'!I:I,'Raw Revenue'!J:J,0)</f>
        <v>0</v>
      </c>
      <c r="AA244" s="11">
        <f t="array" ref="AA244">XLOOKUP(A:A,'Raw Revenue'!K:K,'Raw Revenue'!L:L,0)</f>
        <v>0</v>
      </c>
      <c r="AB244" s="11">
        <f t="array" ref="AB244">XLOOKUP(A:A,'Raw Revenue'!M:M,'Raw Revenue'!N:N,0)</f>
        <v>0</v>
      </c>
      <c r="AC244" s="3">
        <v>0.0</v>
      </c>
      <c r="AD244" s="3">
        <v>0.0</v>
      </c>
      <c r="AE244" s="3">
        <v>0.0</v>
      </c>
      <c r="AF244" s="3">
        <v>0.0</v>
      </c>
      <c r="AG244" s="3">
        <v>0.0</v>
      </c>
    </row>
    <row r="245">
      <c r="A245" s="3" t="s">
        <v>787</v>
      </c>
      <c r="B245" s="3" t="s">
        <v>788</v>
      </c>
      <c r="C245" s="3" t="str">
        <f t="shared" si="1"/>
        <v>PT. Bakti Indonesia</v>
      </c>
      <c r="D245" s="3" t="s">
        <v>130</v>
      </c>
      <c r="E245" s="3" t="s">
        <v>187</v>
      </c>
      <c r="F245" s="3" t="s">
        <v>188</v>
      </c>
      <c r="G245" s="3" t="s">
        <v>78</v>
      </c>
      <c r="H245" s="3" t="str">
        <f t="array" ref="H245">XLOOKUP(G:G,'Account Manager Data'!A:A,'Account Manager Data'!B:B,0)</f>
        <v>Ilham Saputra</v>
      </c>
      <c r="I245" s="11" t="str">
        <f t="array" ref="I245">XLOOKUP($G:$G,'Account Manager Data'!$A:$A,'Account Manager Data'!C:C)</f>
        <v>Jawa</v>
      </c>
      <c r="J245" s="17">
        <v>3125642.0</v>
      </c>
      <c r="K245" s="17">
        <v>8573985.0</v>
      </c>
      <c r="L245" s="17">
        <v>1280811.0</v>
      </c>
      <c r="M245" s="17">
        <v>2123458.0</v>
      </c>
      <c r="N245" s="17">
        <v>8005178.0</v>
      </c>
      <c r="O245" s="17">
        <v>2796683.0</v>
      </c>
      <c r="P245" s="17">
        <v>1.2123104E7</v>
      </c>
      <c r="Q245" s="17">
        <v>0.0</v>
      </c>
      <c r="R245" s="17">
        <v>1.5038038E7</v>
      </c>
      <c r="S245" s="17">
        <v>3170965.0</v>
      </c>
      <c r="T245" s="17">
        <v>9089125.0</v>
      </c>
      <c r="U245" s="17">
        <v>1.6916826E7</v>
      </c>
      <c r="V245" s="11">
        <f t="array" ref="V245">XLOOKUP(A:A,'Raw Revenue'!A:A,'Raw Revenue'!B:B,0)
</f>
        <v>0</v>
      </c>
      <c r="W245" s="11">
        <f t="array" ref="W245">XLOOKUP(A:A,'Raw Revenue'!C:C,'Raw Revenue'!D:D,0)</f>
        <v>0</v>
      </c>
      <c r="X245" s="11">
        <f t="array" ref="X245">XLOOKUP(A:A,'Raw Revenue'!E:E,'Raw Revenue'!F:F,0)</f>
        <v>0</v>
      </c>
      <c r="Y245" s="11">
        <f t="array" ref="Y245">XLOOKUP(A:A,'Raw Revenue'!G:G,'Raw Revenue'!H:H,0)</f>
        <v>0</v>
      </c>
      <c r="Z245" s="11">
        <f t="array" ref="Z245">XLOOKUP(A:A,'Raw Revenue'!I:I,'Raw Revenue'!J:J,0)</f>
        <v>0</v>
      </c>
      <c r="AA245" s="11">
        <f t="array" ref="AA245">XLOOKUP(A:A,'Raw Revenue'!K:K,'Raw Revenue'!L:L,0)</f>
        <v>0</v>
      </c>
      <c r="AB245" s="11">
        <f t="array" ref="AB245">XLOOKUP(A:A,'Raw Revenue'!M:M,'Raw Revenue'!N:N,0)</f>
        <v>0</v>
      </c>
      <c r="AC245" s="3">
        <v>0.0</v>
      </c>
      <c r="AD245" s="3">
        <v>0.0</v>
      </c>
      <c r="AE245" s="3">
        <v>0.0</v>
      </c>
      <c r="AF245" s="3">
        <v>0.0</v>
      </c>
      <c r="AG245" s="3">
        <v>0.0</v>
      </c>
    </row>
    <row r="246">
      <c r="A246" s="3" t="s">
        <v>789</v>
      </c>
      <c r="B246" s="3" t="s">
        <v>790</v>
      </c>
      <c r="C246" s="3" t="str">
        <f t="shared" si="1"/>
        <v>CV. Amanah Sejahtera</v>
      </c>
      <c r="D246" s="3" t="s">
        <v>130</v>
      </c>
      <c r="E246" s="3" t="s">
        <v>196</v>
      </c>
      <c r="F246" s="3" t="s">
        <v>260</v>
      </c>
      <c r="G246" s="3" t="s">
        <v>53</v>
      </c>
      <c r="H246" s="3" t="str">
        <f t="array" ref="H246">XLOOKUP(G:G,'Account Manager Data'!A:A,'Account Manager Data'!B:B,0)</f>
        <v>Fajar Ramadhan</v>
      </c>
      <c r="I246" s="11" t="str">
        <f t="array" ref="I246">XLOOKUP($G:$G,'Account Manager Data'!$A:$A,'Account Manager Data'!C:C)</f>
        <v>Sulawesi</v>
      </c>
      <c r="J246" s="17">
        <v>7025140.0</v>
      </c>
      <c r="K246" s="17">
        <v>2048951.0</v>
      </c>
      <c r="L246" s="17">
        <v>6120971.0</v>
      </c>
      <c r="M246" s="17">
        <v>581238.0</v>
      </c>
      <c r="N246" s="17">
        <v>851865.0</v>
      </c>
      <c r="O246" s="17">
        <v>0.0</v>
      </c>
      <c r="P246" s="17">
        <v>1.5771245E7</v>
      </c>
      <c r="Q246" s="17">
        <v>7296250.0</v>
      </c>
      <c r="R246" s="17">
        <v>7282035.0</v>
      </c>
      <c r="S246" s="17">
        <v>3054397.0</v>
      </c>
      <c r="T246" s="17">
        <v>1491491.0</v>
      </c>
      <c r="U246" s="17">
        <v>1.4320863E7</v>
      </c>
      <c r="V246" s="11">
        <f t="array" ref="V246">XLOOKUP(A:A,'Raw Revenue'!A:A,'Raw Revenue'!B:B,0)
</f>
        <v>0</v>
      </c>
      <c r="W246" s="11">
        <f t="array" ref="W246">XLOOKUP(A:A,'Raw Revenue'!C:C,'Raw Revenue'!D:D,0)</f>
        <v>0</v>
      </c>
      <c r="X246" s="11">
        <f t="array" ref="X246">XLOOKUP(A:A,'Raw Revenue'!E:E,'Raw Revenue'!F:F,0)</f>
        <v>0</v>
      </c>
      <c r="Y246" s="11">
        <f t="array" ref="Y246">XLOOKUP(A:A,'Raw Revenue'!G:G,'Raw Revenue'!H:H,0)</f>
        <v>0</v>
      </c>
      <c r="Z246" s="11">
        <f t="array" ref="Z246">XLOOKUP(A:A,'Raw Revenue'!I:I,'Raw Revenue'!J:J,0)</f>
        <v>0</v>
      </c>
      <c r="AA246" s="11">
        <f t="array" ref="AA246">XLOOKUP(A:A,'Raw Revenue'!K:K,'Raw Revenue'!L:L,0)</f>
        <v>0</v>
      </c>
      <c r="AB246" s="11">
        <f t="array" ref="AB246">XLOOKUP(A:A,'Raw Revenue'!M:M,'Raw Revenue'!N:N,0)</f>
        <v>0</v>
      </c>
      <c r="AC246" s="3">
        <v>0.0</v>
      </c>
      <c r="AD246" s="3">
        <v>0.0</v>
      </c>
      <c r="AE246" s="3">
        <v>0.0</v>
      </c>
      <c r="AF246" s="3">
        <v>0.0</v>
      </c>
      <c r="AG246" s="3">
        <v>0.0</v>
      </c>
    </row>
    <row r="247">
      <c r="A247" s="3" t="s">
        <v>791</v>
      </c>
      <c r="B247" s="3" t="s">
        <v>792</v>
      </c>
      <c r="C247" s="3" t="str">
        <f t="shared" si="1"/>
        <v>PT. Digital Solusi Pratama</v>
      </c>
      <c r="D247" s="3" t="s">
        <v>130</v>
      </c>
      <c r="E247" s="3" t="s">
        <v>85</v>
      </c>
      <c r="F247" s="3" t="s">
        <v>407</v>
      </c>
      <c r="G247" s="3" t="s">
        <v>63</v>
      </c>
      <c r="H247" s="3" t="str">
        <f t="array" ref="H247">XLOOKUP(G:G,'Account Manager Data'!A:A,'Account Manager Data'!B:B,0)</f>
        <v>Hendra Gunawan</v>
      </c>
      <c r="I247" s="11" t="str">
        <f t="array" ref="I247">XLOOKUP($G:$G,'Account Manager Data'!$A:$A,'Account Manager Data'!C:C)</f>
        <v>Kalimantan</v>
      </c>
      <c r="J247" s="17">
        <v>5963815.0</v>
      </c>
      <c r="K247" s="17">
        <v>2727487.0</v>
      </c>
      <c r="L247" s="17">
        <v>5659856.0</v>
      </c>
      <c r="M247" s="17">
        <v>5554956.0</v>
      </c>
      <c r="N247" s="17">
        <v>3734838.0</v>
      </c>
      <c r="O247" s="17">
        <v>1.2422548E7</v>
      </c>
      <c r="P247" s="17">
        <v>1.3876152E7</v>
      </c>
      <c r="Q247" s="17">
        <v>8448838.0</v>
      </c>
      <c r="R247" s="17">
        <v>9086523.0</v>
      </c>
      <c r="S247" s="17">
        <v>8652188.0</v>
      </c>
      <c r="T247" s="17">
        <v>1.0421588E7</v>
      </c>
      <c r="U247" s="17">
        <v>895571.0</v>
      </c>
      <c r="V247" s="11">
        <f t="array" ref="V247">XLOOKUP(A:A,'Raw Revenue'!A:A,'Raw Revenue'!B:B,0)
</f>
        <v>0</v>
      </c>
      <c r="W247" s="11">
        <f t="array" ref="W247">XLOOKUP(A:A,'Raw Revenue'!C:C,'Raw Revenue'!D:D,0)</f>
        <v>0</v>
      </c>
      <c r="X247" s="11">
        <f t="array" ref="X247">XLOOKUP(A:A,'Raw Revenue'!E:E,'Raw Revenue'!F:F,0)</f>
        <v>0</v>
      </c>
      <c r="Y247" s="11">
        <f t="array" ref="Y247">XLOOKUP(A:A,'Raw Revenue'!G:G,'Raw Revenue'!H:H,0)</f>
        <v>0</v>
      </c>
      <c r="Z247" s="11">
        <f t="array" ref="Z247">XLOOKUP(A:A,'Raw Revenue'!I:I,'Raw Revenue'!J:J,0)</f>
        <v>0</v>
      </c>
      <c r="AA247" s="11">
        <f t="array" ref="AA247">XLOOKUP(A:A,'Raw Revenue'!K:K,'Raw Revenue'!L:L,0)</f>
        <v>0</v>
      </c>
      <c r="AB247" s="11">
        <f t="array" ref="AB247">XLOOKUP(A:A,'Raw Revenue'!M:M,'Raw Revenue'!N:N,0)</f>
        <v>0</v>
      </c>
      <c r="AC247" s="3">
        <v>0.0</v>
      </c>
      <c r="AD247" s="3">
        <v>0.0</v>
      </c>
      <c r="AE247" s="3">
        <v>0.0</v>
      </c>
      <c r="AF247" s="3">
        <v>0.0</v>
      </c>
      <c r="AG247" s="3">
        <v>0.0</v>
      </c>
    </row>
    <row r="248">
      <c r="A248" s="3" t="s">
        <v>793</v>
      </c>
      <c r="B248" s="3" t="s">
        <v>794</v>
      </c>
      <c r="C248" s="3" t="str">
        <f t="shared" si="1"/>
        <v>PT. Global Niaga Abadi</v>
      </c>
      <c r="D248" s="3" t="s">
        <v>195</v>
      </c>
      <c r="E248" s="3" t="s">
        <v>187</v>
      </c>
      <c r="F248" s="3" t="s">
        <v>269</v>
      </c>
      <c r="G248" s="3" t="s">
        <v>35</v>
      </c>
      <c r="H248" s="3" t="str">
        <f t="array" ref="H248">XLOOKUP(G:G,'Account Manager Data'!A:A,'Account Manager Data'!B:B,0)</f>
        <v>Ahmad Fauzi</v>
      </c>
      <c r="I248" s="11" t="str">
        <f t="array" ref="I248">XLOOKUP($G:$G,'Account Manager Data'!$A:$A,'Account Manager Data'!C:C)</f>
        <v>Sumatera</v>
      </c>
      <c r="J248" s="17">
        <v>6645278.0</v>
      </c>
      <c r="K248" s="17">
        <v>3334565.0</v>
      </c>
      <c r="L248" s="17">
        <v>9618493.0</v>
      </c>
      <c r="M248" s="17">
        <v>1.0598727E7</v>
      </c>
      <c r="N248" s="17">
        <v>4440344.0</v>
      </c>
      <c r="O248" s="17">
        <v>2769043.0</v>
      </c>
      <c r="P248" s="17">
        <v>1.0863287E7</v>
      </c>
      <c r="Q248" s="17">
        <v>0.0</v>
      </c>
      <c r="R248" s="17">
        <v>1.0332835E7</v>
      </c>
      <c r="S248" s="17">
        <v>4802625.0</v>
      </c>
      <c r="T248" s="17">
        <v>218450.0</v>
      </c>
      <c r="U248" s="17">
        <v>2749220.0</v>
      </c>
      <c r="V248" s="11">
        <f t="array" ref="V248">XLOOKUP(A:A,'Raw Revenue'!A:A,'Raw Revenue'!B:B,0)
</f>
        <v>0</v>
      </c>
      <c r="W248" s="11">
        <f t="array" ref="W248">XLOOKUP(A:A,'Raw Revenue'!C:C,'Raw Revenue'!D:D,0)</f>
        <v>0</v>
      </c>
      <c r="X248" s="11">
        <f t="array" ref="X248">XLOOKUP(A:A,'Raw Revenue'!E:E,'Raw Revenue'!F:F,0)</f>
        <v>0</v>
      </c>
      <c r="Y248" s="11">
        <f t="array" ref="Y248">XLOOKUP(A:A,'Raw Revenue'!G:G,'Raw Revenue'!H:H,0)</f>
        <v>0</v>
      </c>
      <c r="Z248" s="11">
        <f t="array" ref="Z248">XLOOKUP(A:A,'Raw Revenue'!I:I,'Raw Revenue'!J:J,0)</f>
        <v>0</v>
      </c>
      <c r="AA248" s="11">
        <f t="array" ref="AA248">XLOOKUP(A:A,'Raw Revenue'!K:K,'Raw Revenue'!L:L,0)</f>
        <v>0</v>
      </c>
      <c r="AB248" s="11">
        <f t="array" ref="AB248">XLOOKUP(A:A,'Raw Revenue'!M:M,'Raw Revenue'!N:N,0)</f>
        <v>0</v>
      </c>
      <c r="AC248" s="3">
        <v>0.0</v>
      </c>
      <c r="AD248" s="3">
        <v>0.0</v>
      </c>
      <c r="AE248" s="3">
        <v>0.0</v>
      </c>
      <c r="AF248" s="3">
        <v>0.0</v>
      </c>
      <c r="AG248" s="3">
        <v>0.0</v>
      </c>
    </row>
    <row r="249">
      <c r="A249" s="3" t="s">
        <v>795</v>
      </c>
      <c r="B249" s="3" t="s">
        <v>796</v>
      </c>
      <c r="C249" s="3" t="str">
        <f t="shared" si="1"/>
        <v>PT. Indo Makmur Sentosa</v>
      </c>
      <c r="D249" s="3" t="s">
        <v>214</v>
      </c>
      <c r="E249" s="3" t="s">
        <v>196</v>
      </c>
      <c r="F249" s="3" t="s">
        <v>315</v>
      </c>
      <c r="G249" s="3" t="s">
        <v>74</v>
      </c>
      <c r="H249" s="3" t="str">
        <f t="array" ref="H249">XLOOKUP(G:G,'Account Manager Data'!A:A,'Account Manager Data'!B:B,0)</f>
        <v>Budi Santoso</v>
      </c>
      <c r="I249" s="11" t="str">
        <f t="array" ref="I249">XLOOKUP($G:$G,'Account Manager Data'!$A:$A,'Account Manager Data'!C:C)</f>
        <v>Papua</v>
      </c>
      <c r="J249" s="17">
        <v>6451209.0</v>
      </c>
      <c r="K249" s="17">
        <v>5981441.0</v>
      </c>
      <c r="L249" s="17">
        <v>8618889.0</v>
      </c>
      <c r="M249" s="17">
        <v>7555896.0</v>
      </c>
      <c r="N249" s="17">
        <v>9400444.0</v>
      </c>
      <c r="O249" s="17">
        <v>0.0</v>
      </c>
      <c r="P249" s="17">
        <v>444427.0</v>
      </c>
      <c r="Q249" s="17">
        <v>8976347.0</v>
      </c>
      <c r="R249" s="17">
        <v>1.2185106E7</v>
      </c>
      <c r="S249" s="17">
        <v>5097508.0</v>
      </c>
      <c r="T249" s="17">
        <v>1.3870572E7</v>
      </c>
      <c r="U249" s="17">
        <v>1.7748747E7</v>
      </c>
      <c r="V249" s="11">
        <f t="array" ref="V249">XLOOKUP(A:A,'Raw Revenue'!A:A,'Raw Revenue'!B:B,0)
</f>
        <v>0</v>
      </c>
      <c r="W249" s="11">
        <f t="array" ref="W249">XLOOKUP(A:A,'Raw Revenue'!C:C,'Raw Revenue'!D:D,0)</f>
        <v>0</v>
      </c>
      <c r="X249" s="11">
        <f t="array" ref="X249">XLOOKUP(A:A,'Raw Revenue'!E:E,'Raw Revenue'!F:F,0)</f>
        <v>0</v>
      </c>
      <c r="Y249" s="11">
        <f t="array" ref="Y249">XLOOKUP(A:A,'Raw Revenue'!G:G,'Raw Revenue'!H:H,0)</f>
        <v>0</v>
      </c>
      <c r="Z249" s="11">
        <f t="array" ref="Z249">XLOOKUP(A:A,'Raw Revenue'!I:I,'Raw Revenue'!J:J,0)</f>
        <v>0</v>
      </c>
      <c r="AA249" s="11">
        <f t="array" ref="AA249">XLOOKUP(A:A,'Raw Revenue'!K:K,'Raw Revenue'!L:L,0)</f>
        <v>0</v>
      </c>
      <c r="AB249" s="11">
        <f t="array" ref="AB249">XLOOKUP(A:A,'Raw Revenue'!M:M,'Raw Revenue'!N:N,0)</f>
        <v>0</v>
      </c>
      <c r="AC249" s="3">
        <v>0.0</v>
      </c>
      <c r="AD249" s="3">
        <v>0.0</v>
      </c>
      <c r="AE249" s="3">
        <v>0.0</v>
      </c>
      <c r="AF249" s="3">
        <v>0.0</v>
      </c>
      <c r="AG249" s="3">
        <v>0.0</v>
      </c>
    </row>
    <row r="250">
      <c r="A250" s="3" t="s">
        <v>797</v>
      </c>
      <c r="B250" s="3" t="s">
        <v>798</v>
      </c>
      <c r="C250" s="3" t="str">
        <f t="shared" si="1"/>
        <v>PT. Citra Mandiri Utama</v>
      </c>
      <c r="D250" s="3" t="s">
        <v>130</v>
      </c>
      <c r="E250" s="3" t="s">
        <v>104</v>
      </c>
      <c r="F250" s="3" t="s">
        <v>105</v>
      </c>
      <c r="G250" s="3" t="s">
        <v>43</v>
      </c>
      <c r="H250" s="3" t="str">
        <f t="array" ref="H250">XLOOKUP(G:G,'Account Manager Data'!A:A,'Account Manager Data'!B:B,0)</f>
        <v>Eko Prasetyo</v>
      </c>
      <c r="I250" s="11" t="str">
        <f t="array" ref="I250">XLOOKUP($G:$G,'Account Manager Data'!$A:$A,'Account Manager Data'!C:C)</f>
        <v>Papua</v>
      </c>
      <c r="J250" s="17">
        <v>113495.0</v>
      </c>
      <c r="K250" s="17">
        <v>3328183.0</v>
      </c>
      <c r="L250" s="17">
        <v>3412819.0</v>
      </c>
      <c r="M250" s="17">
        <v>197238.0</v>
      </c>
      <c r="N250" s="17">
        <v>1.1214583E7</v>
      </c>
      <c r="O250" s="17">
        <v>7887881.0</v>
      </c>
      <c r="P250" s="17">
        <v>1.4872127E7</v>
      </c>
      <c r="Q250" s="17">
        <v>4907269.0</v>
      </c>
      <c r="R250" s="17">
        <v>8692879.0</v>
      </c>
      <c r="S250" s="17">
        <v>1.5711876E7</v>
      </c>
      <c r="T250" s="17">
        <v>0.0</v>
      </c>
      <c r="U250" s="17">
        <v>1.4233386E7</v>
      </c>
      <c r="V250" s="11">
        <f t="array" ref="V250">XLOOKUP(A:A,'Raw Revenue'!A:A,'Raw Revenue'!B:B,0)
</f>
        <v>0</v>
      </c>
      <c r="W250" s="11">
        <f t="array" ref="W250">XLOOKUP(A:A,'Raw Revenue'!C:C,'Raw Revenue'!D:D,0)</f>
        <v>0</v>
      </c>
      <c r="X250" s="11">
        <f t="array" ref="X250">XLOOKUP(A:A,'Raw Revenue'!E:E,'Raw Revenue'!F:F,0)</f>
        <v>0</v>
      </c>
      <c r="Y250" s="11">
        <f t="array" ref="Y250">XLOOKUP(A:A,'Raw Revenue'!G:G,'Raw Revenue'!H:H,0)</f>
        <v>0</v>
      </c>
      <c r="Z250" s="11">
        <f t="array" ref="Z250">XLOOKUP(A:A,'Raw Revenue'!I:I,'Raw Revenue'!J:J,0)</f>
        <v>0</v>
      </c>
      <c r="AA250" s="11">
        <f t="array" ref="AA250">XLOOKUP(A:A,'Raw Revenue'!K:K,'Raw Revenue'!L:L,0)</f>
        <v>0</v>
      </c>
      <c r="AB250" s="11">
        <f t="array" ref="AB250">XLOOKUP(A:A,'Raw Revenue'!M:M,'Raw Revenue'!N:N,0)</f>
        <v>0</v>
      </c>
      <c r="AC250" s="3">
        <v>0.0</v>
      </c>
      <c r="AD250" s="3">
        <v>0.0</v>
      </c>
      <c r="AE250" s="3">
        <v>0.0</v>
      </c>
      <c r="AF250" s="3">
        <v>0.0</v>
      </c>
      <c r="AG250" s="3">
        <v>0.0</v>
      </c>
    </row>
    <row r="251">
      <c r="A251" s="3" t="s">
        <v>799</v>
      </c>
      <c r="B251" s="3" t="s">
        <v>800</v>
      </c>
      <c r="C251" s="3" t="str">
        <f t="shared" si="1"/>
        <v>PT. Sinar Dunia Baru</v>
      </c>
      <c r="D251" s="3" t="s">
        <v>195</v>
      </c>
      <c r="E251" s="3" t="s">
        <v>187</v>
      </c>
      <c r="F251" s="3" t="s">
        <v>188</v>
      </c>
      <c r="G251" s="3" t="s">
        <v>76</v>
      </c>
      <c r="H251" s="3" t="str">
        <f t="array" ref="H251">XLOOKUP(G:G,'Account Manager Data'!A:A,'Account Manager Data'!B:B,0)</f>
        <v>Teguh Wijaya</v>
      </c>
      <c r="I251" s="11" t="str">
        <f t="array" ref="I251">XLOOKUP($G:$G,'Account Manager Data'!$A:$A,'Account Manager Data'!C:C)</f>
        <v>Sulawesi</v>
      </c>
      <c r="J251" s="17">
        <v>7621258.0</v>
      </c>
      <c r="K251" s="17">
        <v>3506192.0</v>
      </c>
      <c r="L251" s="17">
        <v>2831405.0</v>
      </c>
      <c r="M251" s="17">
        <v>2279335.0</v>
      </c>
      <c r="N251" s="17">
        <v>1.2500916E7</v>
      </c>
      <c r="O251" s="17">
        <v>7535737.0</v>
      </c>
      <c r="P251" s="17">
        <v>1678196.0</v>
      </c>
      <c r="Q251" s="17">
        <v>1.4694307E7</v>
      </c>
      <c r="R251" s="17">
        <v>1388628.0</v>
      </c>
      <c r="S251" s="17">
        <v>4532980.0</v>
      </c>
      <c r="T251" s="17">
        <v>1.5982199E7</v>
      </c>
      <c r="U251" s="17">
        <v>1.545128E7</v>
      </c>
      <c r="V251" s="11">
        <f t="array" ref="V251">XLOOKUP(A:A,'Raw Revenue'!A:A,'Raw Revenue'!B:B,0)
</f>
        <v>0</v>
      </c>
      <c r="W251" s="11">
        <f t="array" ref="W251">XLOOKUP(A:A,'Raw Revenue'!C:C,'Raw Revenue'!D:D,0)</f>
        <v>0</v>
      </c>
      <c r="X251" s="11">
        <f t="array" ref="X251">XLOOKUP(A:A,'Raw Revenue'!E:E,'Raw Revenue'!F:F,0)</f>
        <v>0</v>
      </c>
      <c r="Y251" s="11">
        <f t="array" ref="Y251">XLOOKUP(A:A,'Raw Revenue'!G:G,'Raw Revenue'!H:H,0)</f>
        <v>0</v>
      </c>
      <c r="Z251" s="11">
        <f t="array" ref="Z251">XLOOKUP(A:A,'Raw Revenue'!I:I,'Raw Revenue'!J:J,0)</f>
        <v>0</v>
      </c>
      <c r="AA251" s="11">
        <f t="array" ref="AA251">XLOOKUP(A:A,'Raw Revenue'!K:K,'Raw Revenue'!L:L,0)</f>
        <v>0</v>
      </c>
      <c r="AB251" s="11">
        <f t="array" ref="AB251">XLOOKUP(A:A,'Raw Revenue'!M:M,'Raw Revenue'!N:N,0)</f>
        <v>0</v>
      </c>
      <c r="AC251" s="3">
        <v>0.0</v>
      </c>
      <c r="AD251" s="3">
        <v>0.0</v>
      </c>
      <c r="AE251" s="3">
        <v>0.0</v>
      </c>
      <c r="AF251" s="3">
        <v>0.0</v>
      </c>
      <c r="AG251" s="3">
        <v>0.0</v>
      </c>
    </row>
    <row r="252">
      <c r="A252" s="3" t="s">
        <v>801</v>
      </c>
      <c r="B252" s="3" t="s">
        <v>802</v>
      </c>
      <c r="C252" s="3" t="str">
        <f t="shared" si="1"/>
        <v>CV. Karya Utama Mandiri</v>
      </c>
      <c r="D252" s="3" t="s">
        <v>84</v>
      </c>
      <c r="E252" s="3" t="s">
        <v>104</v>
      </c>
      <c r="F252" s="3" t="s">
        <v>134</v>
      </c>
      <c r="G252" s="3" t="s">
        <v>70</v>
      </c>
      <c r="H252" s="3" t="str">
        <f t="array" ref="H252">XLOOKUP(G:G,'Account Manager Data'!A:A,'Account Manager Data'!B:B,0)</f>
        <v>Yusuf Hidayat</v>
      </c>
      <c r="I252" s="11" t="str">
        <f t="array" ref="I252">XLOOKUP($G:$G,'Account Manager Data'!$A:$A,'Account Manager Data'!C:C)</f>
        <v>Sumatera</v>
      </c>
      <c r="J252" s="17">
        <v>1914686.0</v>
      </c>
      <c r="K252" s="17">
        <v>424412.0</v>
      </c>
      <c r="L252" s="17">
        <v>2312573.0</v>
      </c>
      <c r="M252" s="17">
        <v>4511368.0</v>
      </c>
      <c r="N252" s="17">
        <v>1.0732184E7</v>
      </c>
      <c r="O252" s="17">
        <v>3789020.0</v>
      </c>
      <c r="P252" s="17">
        <v>1.2821468E7</v>
      </c>
      <c r="Q252" s="17">
        <v>1.0571046E7</v>
      </c>
      <c r="R252" s="17">
        <v>4111273.0</v>
      </c>
      <c r="S252" s="17">
        <v>982468.0</v>
      </c>
      <c r="T252" s="17">
        <v>1.619477E7</v>
      </c>
      <c r="U252" s="17">
        <v>6422796.0</v>
      </c>
      <c r="V252" s="11">
        <f t="array" ref="V252">XLOOKUP(A:A,'Raw Revenue'!A:A,'Raw Revenue'!B:B,0)
</f>
        <v>0</v>
      </c>
      <c r="W252" s="11">
        <f t="array" ref="W252">XLOOKUP(A:A,'Raw Revenue'!C:C,'Raw Revenue'!D:D,0)</f>
        <v>0</v>
      </c>
      <c r="X252" s="11">
        <f t="array" ref="X252">XLOOKUP(A:A,'Raw Revenue'!E:E,'Raw Revenue'!F:F,0)</f>
        <v>0</v>
      </c>
      <c r="Y252" s="11">
        <f t="array" ref="Y252">XLOOKUP(A:A,'Raw Revenue'!G:G,'Raw Revenue'!H:H,0)</f>
        <v>0</v>
      </c>
      <c r="Z252" s="11">
        <f t="array" ref="Z252">XLOOKUP(A:A,'Raw Revenue'!I:I,'Raw Revenue'!J:J,0)</f>
        <v>0</v>
      </c>
      <c r="AA252" s="11">
        <f t="array" ref="AA252">XLOOKUP(A:A,'Raw Revenue'!K:K,'Raw Revenue'!L:L,0)</f>
        <v>0</v>
      </c>
      <c r="AB252" s="11">
        <f t="array" ref="AB252">XLOOKUP(A:A,'Raw Revenue'!M:M,'Raw Revenue'!N:N,0)</f>
        <v>0</v>
      </c>
      <c r="AC252" s="3">
        <v>0.0</v>
      </c>
      <c r="AD252" s="3">
        <v>0.0</v>
      </c>
      <c r="AE252" s="3">
        <v>0.0</v>
      </c>
      <c r="AF252" s="3">
        <v>0.0</v>
      </c>
      <c r="AG252" s="3">
        <v>0.0</v>
      </c>
    </row>
    <row r="253">
      <c r="A253" s="3" t="s">
        <v>98</v>
      </c>
      <c r="B253" s="3" t="s">
        <v>803</v>
      </c>
      <c r="C253" s="3" t="str">
        <f t="shared" si="1"/>
        <v>PT. Pratama Jaya Sentosa</v>
      </c>
      <c r="D253" s="3" t="s">
        <v>103</v>
      </c>
      <c r="E253" s="3" t="s">
        <v>187</v>
      </c>
      <c r="F253" s="3" t="s">
        <v>295</v>
      </c>
      <c r="G253" s="3" t="s">
        <v>15</v>
      </c>
      <c r="H253" s="3" t="str">
        <f t="array" ref="H253">XLOOKUP(G:G,'Account Manager Data'!A:A,'Account Manager Data'!B:B,0)</f>
        <v>Rizky Maulana</v>
      </c>
      <c r="I253" s="11" t="str">
        <f t="array" ref="I253">XLOOKUP($G:$G,'Account Manager Data'!$A:$A,'Account Manager Data'!C:C)</f>
        <v>Jawa</v>
      </c>
      <c r="J253" s="17">
        <v>4410438.0</v>
      </c>
      <c r="K253" s="83">
        <v>5647059.0</v>
      </c>
      <c r="L253" s="84">
        <v>6072289.0</v>
      </c>
      <c r="M253" s="84">
        <v>5142857.0</v>
      </c>
      <c r="N253" s="84">
        <v>2563380.0</v>
      </c>
      <c r="O253" s="17">
        <v>1214584.0</v>
      </c>
      <c r="P253" s="84">
        <v>2.1551724E7</v>
      </c>
      <c r="Q253" s="84">
        <v>1.2745098E8</v>
      </c>
      <c r="R253" s="17">
        <v>8444803.0</v>
      </c>
      <c r="S253" s="17">
        <v>0.0</v>
      </c>
      <c r="T253" s="17">
        <v>1.4776259E7</v>
      </c>
      <c r="U253" s="17">
        <v>1.5157742E7</v>
      </c>
      <c r="V253" s="85">
        <f t="array" ref="V253">XLOOKUP(A:A,'Raw Revenue'!A:A,'Raw Revenue'!B:B,0)
</f>
        <v>700000</v>
      </c>
      <c r="W253" s="22">
        <f t="array" ref="W253">XLOOKUP(A:A,'Raw Revenue'!C:C,'Raw Revenue'!D:D,0)</f>
        <v>5647059</v>
      </c>
      <c r="X253" s="22">
        <f t="array" ref="X253">XLOOKUP(A:A,'Raw Revenue'!E:E,'Raw Revenue'!F:F,0)</f>
        <v>6072289</v>
      </c>
      <c r="Y253" s="22">
        <f t="array" ref="Y253">XLOOKUP(A:A,'Raw Revenue'!G:G,'Raw Revenue'!H:H,0)</f>
        <v>5142857</v>
      </c>
      <c r="Z253" s="22">
        <f t="array" ref="Z253">XLOOKUP(A:A,'Raw Revenue'!I:I,'Raw Revenue'!J:J,0)</f>
        <v>2563380</v>
      </c>
      <c r="AA253" s="22">
        <f t="array" ref="AA253">XLOOKUP(A:A,'Raw Revenue'!K:K,'Raw Revenue'!L:L,0)</f>
        <v>1214584</v>
      </c>
      <c r="AB253" s="22">
        <f t="array" ref="AB253">XLOOKUP(A:A,'Raw Revenue'!M:M,'Raw Revenue'!N:N,0)</f>
        <v>21551724</v>
      </c>
      <c r="AC253" s="3">
        <v>0.0</v>
      </c>
      <c r="AD253" s="3">
        <v>0.0</v>
      </c>
      <c r="AE253" s="3">
        <v>0.0</v>
      </c>
      <c r="AF253" s="3">
        <v>0.0</v>
      </c>
      <c r="AG253" s="3">
        <v>0.0</v>
      </c>
    </row>
    <row r="254">
      <c r="A254" s="3" t="s">
        <v>292</v>
      </c>
      <c r="B254" s="3" t="s">
        <v>804</v>
      </c>
      <c r="C254" s="3" t="str">
        <f t="shared" si="1"/>
        <v>PT. Abadi Selamanya Jaya</v>
      </c>
      <c r="D254" s="3" t="s">
        <v>103</v>
      </c>
      <c r="E254" s="3" t="s">
        <v>196</v>
      </c>
      <c r="F254" s="3" t="s">
        <v>260</v>
      </c>
      <c r="G254" s="3" t="s">
        <v>53</v>
      </c>
      <c r="H254" s="3" t="str">
        <f t="array" ref="H254">XLOOKUP(G:G,'Account Manager Data'!A:A,'Account Manager Data'!B:B,0)</f>
        <v>Fajar Ramadhan</v>
      </c>
      <c r="I254" s="11" t="str">
        <f t="array" ref="I254">XLOOKUP($G:$G,'Account Manager Data'!$A:$A,'Account Manager Data'!C:C)</f>
        <v>Sulawesi</v>
      </c>
      <c r="J254" s="17">
        <v>6939152.0</v>
      </c>
      <c r="K254" s="17">
        <v>3082939.0</v>
      </c>
      <c r="L254" s="17">
        <v>6752007.0</v>
      </c>
      <c r="M254" s="17">
        <v>6821915.0</v>
      </c>
      <c r="N254" s="17">
        <v>8665979.0</v>
      </c>
      <c r="O254" s="17">
        <v>1.5057417E7</v>
      </c>
      <c r="P254" s="17">
        <v>6794870.0</v>
      </c>
      <c r="Q254" s="17">
        <v>852239.0</v>
      </c>
      <c r="R254" s="17">
        <v>4033946.0</v>
      </c>
      <c r="S254" s="17">
        <v>1.3562334E7</v>
      </c>
      <c r="T254" s="17">
        <v>1.3852303E7</v>
      </c>
      <c r="U254" s="17">
        <v>1678450.0</v>
      </c>
      <c r="V254" s="11">
        <f t="array" ref="V254">XLOOKUP(A:A,'Raw Revenue'!A:A,'Raw Revenue'!B:B,0)
</f>
        <v>11139214.85</v>
      </c>
      <c r="W254" s="11">
        <f t="array" ref="W254">XLOOKUP(A:A,'Raw Revenue'!C:C,'Raw Revenue'!D:D,0)</f>
        <v>11139214.85</v>
      </c>
      <c r="X254" s="11">
        <f t="array" ref="X254">XLOOKUP(A:A,'Raw Revenue'!E:E,'Raw Revenue'!F:F,0)</f>
        <v>22278429.69</v>
      </c>
      <c r="Y254" s="11">
        <f t="array" ref="Y254">XLOOKUP(A:A,'Raw Revenue'!G:G,'Raw Revenue'!H:H,0)</f>
        <v>18194050.92</v>
      </c>
      <c r="Z254" s="11">
        <f t="array" ref="Z254">XLOOKUP(A:A,'Raw Revenue'!I:I,'Raw Revenue'!J:J,0)</f>
        <v>16337515.11</v>
      </c>
      <c r="AA254" s="11">
        <f t="array" ref="AA254">XLOOKUP(A:A,'Raw Revenue'!K:K,'Raw Revenue'!L:L,0)</f>
        <v>41772055.68</v>
      </c>
      <c r="AB254" s="11">
        <f t="array" ref="AB254">XLOOKUP(A:A,'Raw Revenue'!M:M,'Raw Revenue'!N:N,0)</f>
        <v>38430291.22</v>
      </c>
      <c r="AC254" s="3">
        <v>0.0</v>
      </c>
      <c r="AD254" s="3">
        <v>0.0</v>
      </c>
      <c r="AE254" s="3">
        <v>0.0</v>
      </c>
      <c r="AF254" s="3">
        <v>0.0</v>
      </c>
      <c r="AG254" s="3">
        <v>0.0</v>
      </c>
    </row>
    <row r="255">
      <c r="A255" s="3" t="s">
        <v>805</v>
      </c>
      <c r="B255" s="3" t="s">
        <v>806</v>
      </c>
      <c r="C255" s="3" t="str">
        <f t="shared" si="1"/>
        <v>PT. Mandiri Sejahtera Bersama</v>
      </c>
      <c r="D255" s="3" t="s">
        <v>195</v>
      </c>
      <c r="E255" s="3" t="s">
        <v>104</v>
      </c>
      <c r="F255" s="3" t="s">
        <v>134</v>
      </c>
      <c r="G255" s="3" t="s">
        <v>27</v>
      </c>
      <c r="H255" s="3" t="str">
        <f t="array" ref="H255">XLOOKUP(G:G,'Account Manager Data'!A:A,'Account Manager Data'!B:B,0)</f>
        <v>Dedi Kurniawan</v>
      </c>
      <c r="I255" s="11" t="str">
        <f t="array" ref="I255">XLOOKUP($G:$G,'Account Manager Data'!$A:$A,'Account Manager Data'!C:C)</f>
        <v>Kalimantan</v>
      </c>
      <c r="J255" s="17">
        <v>5689369.0</v>
      </c>
      <c r="K255" s="17">
        <v>7162307.0</v>
      </c>
      <c r="L255" s="17">
        <v>0.0</v>
      </c>
      <c r="M255" s="17">
        <v>8195628.0</v>
      </c>
      <c r="N255" s="17">
        <v>1.2860177E7</v>
      </c>
      <c r="O255" s="17">
        <v>5475915.0</v>
      </c>
      <c r="P255" s="17">
        <v>5243565.0</v>
      </c>
      <c r="Q255" s="17">
        <v>1.5413398E7</v>
      </c>
      <c r="R255" s="17">
        <v>7845930.0</v>
      </c>
      <c r="S255" s="17">
        <v>1787754.0</v>
      </c>
      <c r="T255" s="17">
        <v>59391.0</v>
      </c>
      <c r="U255" s="17">
        <v>5427974.0</v>
      </c>
      <c r="V255" s="11">
        <f t="array" ref="V255">XLOOKUP(A:A,'Raw Revenue'!A:A,'Raw Revenue'!B:B,0)
</f>
        <v>0</v>
      </c>
      <c r="W255" s="11">
        <f t="array" ref="W255">XLOOKUP(A:A,'Raw Revenue'!C:C,'Raw Revenue'!D:D,0)</f>
        <v>0</v>
      </c>
      <c r="X255" s="11">
        <f t="array" ref="X255">XLOOKUP(A:A,'Raw Revenue'!E:E,'Raw Revenue'!F:F,0)</f>
        <v>0</v>
      </c>
      <c r="Y255" s="11">
        <f t="array" ref="Y255">XLOOKUP(A:A,'Raw Revenue'!G:G,'Raw Revenue'!H:H,0)</f>
        <v>0</v>
      </c>
      <c r="Z255" s="11">
        <f t="array" ref="Z255">XLOOKUP(A:A,'Raw Revenue'!I:I,'Raw Revenue'!J:J,0)</f>
        <v>0</v>
      </c>
      <c r="AA255" s="11">
        <f t="array" ref="AA255">XLOOKUP(A:A,'Raw Revenue'!K:K,'Raw Revenue'!L:L,0)</f>
        <v>0</v>
      </c>
      <c r="AB255" s="11">
        <f t="array" ref="AB255">XLOOKUP(A:A,'Raw Revenue'!M:M,'Raw Revenue'!N:N,0)</f>
        <v>0</v>
      </c>
      <c r="AC255" s="3">
        <v>0.0</v>
      </c>
      <c r="AD255" s="3">
        <v>0.0</v>
      </c>
      <c r="AE255" s="3">
        <v>0.0</v>
      </c>
      <c r="AF255" s="3">
        <v>0.0</v>
      </c>
      <c r="AG255" s="3">
        <v>0.0</v>
      </c>
    </row>
    <row r="256">
      <c r="A256" s="3" t="s">
        <v>414</v>
      </c>
      <c r="B256" s="3" t="s">
        <v>807</v>
      </c>
      <c r="C256" s="3" t="str">
        <f t="shared" si="1"/>
        <v>PT. Sejahtera Alam Indonesia</v>
      </c>
      <c r="D256" s="3" t="s">
        <v>103</v>
      </c>
      <c r="E256" s="3" t="s">
        <v>85</v>
      </c>
      <c r="F256" s="3" t="s">
        <v>86</v>
      </c>
      <c r="G256" s="3" t="s">
        <v>78</v>
      </c>
      <c r="H256" s="3" t="str">
        <f t="array" ref="H256">XLOOKUP(G:G,'Account Manager Data'!A:A,'Account Manager Data'!B:B,0)</f>
        <v>Ilham Saputra</v>
      </c>
      <c r="I256" s="11" t="str">
        <f t="array" ref="I256">XLOOKUP($G:$G,'Account Manager Data'!$A:$A,'Account Manager Data'!C:C)</f>
        <v>Jawa</v>
      </c>
      <c r="J256" s="17">
        <v>2725305.0</v>
      </c>
      <c r="K256" s="17">
        <v>7786608.0</v>
      </c>
      <c r="L256" s="17">
        <v>5480248.0</v>
      </c>
      <c r="M256" s="17">
        <v>2530982.0</v>
      </c>
      <c r="N256" s="17">
        <v>1.1589733E7</v>
      </c>
      <c r="O256" s="17">
        <v>4386559.0</v>
      </c>
      <c r="P256" s="17">
        <v>0.0</v>
      </c>
      <c r="Q256" s="17">
        <v>1.3260423E7</v>
      </c>
      <c r="R256" s="17">
        <v>5246284.0</v>
      </c>
      <c r="S256" s="17">
        <v>1.1025811E7</v>
      </c>
      <c r="T256" s="17">
        <v>1183818.0</v>
      </c>
      <c r="U256" s="17">
        <v>1.5193626E7</v>
      </c>
      <c r="V256" s="11">
        <f t="array" ref="V256">XLOOKUP(A:A,'Raw Revenue'!A:A,'Raw Revenue'!B:B,0)
</f>
        <v>1606617.526</v>
      </c>
      <c r="W256" s="11">
        <f t="array" ref="W256">XLOOKUP(A:A,'Raw Revenue'!C:C,'Raw Revenue'!D:D,0)</f>
        <v>803308.763</v>
      </c>
      <c r="X256" s="11">
        <f t="array" ref="X256">XLOOKUP(A:A,'Raw Revenue'!E:E,'Raw Revenue'!F:F,0)</f>
        <v>481985.2578</v>
      </c>
      <c r="Y256" s="11">
        <f t="array" ref="Y256">XLOOKUP(A:A,'Raw Revenue'!G:G,'Raw Revenue'!H:H,0)</f>
        <v>5623161.341</v>
      </c>
      <c r="Z256" s="11">
        <f t="array" ref="Z256">XLOOKUP(A:A,'Raw Revenue'!I:I,'Raw Revenue'!J:J,0)</f>
        <v>1285294.021</v>
      </c>
      <c r="AA256" s="11">
        <f t="array" ref="AA256">XLOOKUP(A:A,'Raw Revenue'!K:K,'Raw Revenue'!L:L,0)</f>
        <v>36148.89434</v>
      </c>
      <c r="AB256" s="11">
        <f t="array" ref="AB256">XLOOKUP(A:A,'Raw Revenue'!M:M,'Raw Revenue'!N:N,0)</f>
        <v>4843951.841</v>
      </c>
      <c r="AC256" s="3">
        <v>0.0</v>
      </c>
      <c r="AD256" s="3">
        <v>0.0</v>
      </c>
      <c r="AE256" s="3">
        <v>0.0</v>
      </c>
      <c r="AF256" s="3">
        <v>0.0</v>
      </c>
      <c r="AG256" s="3">
        <v>0.0</v>
      </c>
    </row>
    <row r="257">
      <c r="A257" s="3" t="s">
        <v>808</v>
      </c>
      <c r="B257" s="3" t="s">
        <v>809</v>
      </c>
      <c r="C257" s="3" t="str">
        <f t="shared" si="1"/>
        <v>PT. Indah Kargo Logistik</v>
      </c>
      <c r="D257" s="3" t="s">
        <v>214</v>
      </c>
      <c r="E257" s="3" t="s">
        <v>104</v>
      </c>
      <c r="F257" s="3" t="s">
        <v>252</v>
      </c>
      <c r="G257" s="3" t="s">
        <v>63</v>
      </c>
      <c r="H257" s="3" t="str">
        <f t="array" ref="H257">XLOOKUP(G:G,'Account Manager Data'!A:A,'Account Manager Data'!B:B,0)</f>
        <v>Hendra Gunawan</v>
      </c>
      <c r="I257" s="11" t="str">
        <f t="array" ref="I257">XLOOKUP($G:$G,'Account Manager Data'!$A:$A,'Account Manager Data'!C:C)</f>
        <v>Kalimantan</v>
      </c>
      <c r="J257" s="17">
        <v>4778857.0</v>
      </c>
      <c r="K257" s="17">
        <v>4058707.0</v>
      </c>
      <c r="L257" s="17">
        <v>388378.0</v>
      </c>
      <c r="M257" s="17">
        <v>4917843.0</v>
      </c>
      <c r="N257" s="17">
        <v>8824517.0</v>
      </c>
      <c r="O257" s="17">
        <v>4699043.0</v>
      </c>
      <c r="P257" s="17">
        <v>1.0096287E7</v>
      </c>
      <c r="Q257" s="17">
        <v>5794630.0</v>
      </c>
      <c r="R257" s="17">
        <v>1.5793909E7</v>
      </c>
      <c r="S257" s="17">
        <v>1.0690895E7</v>
      </c>
      <c r="T257" s="17">
        <v>1.6442355E7</v>
      </c>
      <c r="U257" s="17">
        <v>3127723.0</v>
      </c>
      <c r="V257" s="11">
        <f t="array" ref="V257">XLOOKUP(A:A,'Raw Revenue'!A:A,'Raw Revenue'!B:B,0)
</f>
        <v>0</v>
      </c>
      <c r="W257" s="11">
        <f t="array" ref="W257">XLOOKUP(A:A,'Raw Revenue'!C:C,'Raw Revenue'!D:D,0)</f>
        <v>0</v>
      </c>
      <c r="X257" s="11">
        <f t="array" ref="X257">XLOOKUP(A:A,'Raw Revenue'!E:E,'Raw Revenue'!F:F,0)</f>
        <v>0</v>
      </c>
      <c r="Y257" s="11">
        <f t="array" ref="Y257">XLOOKUP(A:A,'Raw Revenue'!G:G,'Raw Revenue'!H:H,0)</f>
        <v>0</v>
      </c>
      <c r="Z257" s="11">
        <f t="array" ref="Z257">XLOOKUP(A:A,'Raw Revenue'!I:I,'Raw Revenue'!J:J,0)</f>
        <v>0</v>
      </c>
      <c r="AA257" s="11">
        <f t="array" ref="AA257">XLOOKUP(A:A,'Raw Revenue'!K:K,'Raw Revenue'!L:L,0)</f>
        <v>0</v>
      </c>
      <c r="AB257" s="11">
        <f t="array" ref="AB257">XLOOKUP(A:A,'Raw Revenue'!M:M,'Raw Revenue'!N:N,0)</f>
        <v>0</v>
      </c>
      <c r="AC257" s="3">
        <v>0.0</v>
      </c>
      <c r="AD257" s="3">
        <v>0.0</v>
      </c>
      <c r="AE257" s="3">
        <v>0.0</v>
      </c>
      <c r="AF257" s="3">
        <v>0.0</v>
      </c>
      <c r="AG257" s="3">
        <v>0.0</v>
      </c>
    </row>
    <row r="258">
      <c r="A258" s="3" t="s">
        <v>810</v>
      </c>
      <c r="B258" s="3" t="s">
        <v>811</v>
      </c>
      <c r="C258" s="3" t="str">
        <f t="shared" si="1"/>
        <v>PT. Berkah Alam Semesta</v>
      </c>
      <c r="D258" s="3" t="s">
        <v>130</v>
      </c>
      <c r="E258" s="3" t="s">
        <v>215</v>
      </c>
      <c r="F258" s="3" t="s">
        <v>216</v>
      </c>
      <c r="G258" s="3" t="s">
        <v>35</v>
      </c>
      <c r="H258" s="3" t="str">
        <f t="array" ref="H258">XLOOKUP(G:G,'Account Manager Data'!A:A,'Account Manager Data'!B:B,0)</f>
        <v>Ahmad Fauzi</v>
      </c>
      <c r="I258" s="11" t="str">
        <f t="array" ref="I258">XLOOKUP($G:$G,'Account Manager Data'!$A:$A,'Account Manager Data'!C:C)</f>
        <v>Sumatera</v>
      </c>
      <c r="J258" s="17">
        <v>4453507.0</v>
      </c>
      <c r="K258" s="17">
        <v>8212897.0</v>
      </c>
      <c r="L258" s="17">
        <v>3082815.0</v>
      </c>
      <c r="M258" s="17">
        <v>6936706.0</v>
      </c>
      <c r="N258" s="17">
        <v>9621172.0</v>
      </c>
      <c r="O258" s="17">
        <v>1.0756636E7</v>
      </c>
      <c r="P258" s="17">
        <v>4745667.0</v>
      </c>
      <c r="Q258" s="17">
        <v>1.1106632E7</v>
      </c>
      <c r="R258" s="17">
        <v>1.4507256E7</v>
      </c>
      <c r="S258" s="17">
        <v>5256786.0</v>
      </c>
      <c r="T258" s="17">
        <v>2772815.0</v>
      </c>
      <c r="U258" s="17">
        <v>4256100.0</v>
      </c>
      <c r="V258" s="11">
        <f t="array" ref="V258">XLOOKUP(A:A,'Raw Revenue'!A:A,'Raw Revenue'!B:B,0)
</f>
        <v>0</v>
      </c>
      <c r="W258" s="11">
        <f t="array" ref="W258">XLOOKUP(A:A,'Raw Revenue'!C:C,'Raw Revenue'!D:D,0)</f>
        <v>0</v>
      </c>
      <c r="X258" s="11">
        <f t="array" ref="X258">XLOOKUP(A:A,'Raw Revenue'!E:E,'Raw Revenue'!F:F,0)</f>
        <v>0</v>
      </c>
      <c r="Y258" s="11">
        <f t="array" ref="Y258">XLOOKUP(A:A,'Raw Revenue'!G:G,'Raw Revenue'!H:H,0)</f>
        <v>0</v>
      </c>
      <c r="Z258" s="11">
        <f t="array" ref="Z258">XLOOKUP(A:A,'Raw Revenue'!I:I,'Raw Revenue'!J:J,0)</f>
        <v>0</v>
      </c>
      <c r="AA258" s="11">
        <f t="array" ref="AA258">XLOOKUP(A:A,'Raw Revenue'!K:K,'Raw Revenue'!L:L,0)</f>
        <v>0</v>
      </c>
      <c r="AB258" s="11">
        <f t="array" ref="AB258">XLOOKUP(A:A,'Raw Revenue'!M:M,'Raw Revenue'!N:N,0)</f>
        <v>0</v>
      </c>
      <c r="AC258" s="3">
        <v>0.0</v>
      </c>
      <c r="AD258" s="3">
        <v>0.0</v>
      </c>
      <c r="AE258" s="3">
        <v>0.0</v>
      </c>
      <c r="AF258" s="3">
        <v>0.0</v>
      </c>
      <c r="AG258" s="3">
        <v>0.0</v>
      </c>
    </row>
    <row r="259">
      <c r="A259" s="3" t="s">
        <v>812</v>
      </c>
      <c r="B259" s="3" t="s">
        <v>813</v>
      </c>
      <c r="C259" s="3" t="str">
        <f t="shared" si="1"/>
        <v>PT. Cahaya Baru Indonesia</v>
      </c>
      <c r="D259" s="3" t="s">
        <v>84</v>
      </c>
      <c r="E259" s="3" t="s">
        <v>104</v>
      </c>
      <c r="F259" s="3" t="s">
        <v>134</v>
      </c>
      <c r="G259" s="3" t="s">
        <v>43</v>
      </c>
      <c r="H259" s="3" t="str">
        <f t="array" ref="H259">XLOOKUP(G:G,'Account Manager Data'!A:A,'Account Manager Data'!B:B,0)</f>
        <v>Eko Prasetyo</v>
      </c>
      <c r="I259" s="11" t="str">
        <f t="array" ref="I259">XLOOKUP($G:$G,'Account Manager Data'!$A:$A,'Account Manager Data'!C:C)</f>
        <v>Papua</v>
      </c>
      <c r="J259" s="17">
        <v>1664800.0</v>
      </c>
      <c r="K259" s="17">
        <v>1404654.0</v>
      </c>
      <c r="L259" s="17">
        <v>9811021.0</v>
      </c>
      <c r="M259" s="17">
        <v>5355970.0</v>
      </c>
      <c r="N259" s="17">
        <v>1.3552188E7</v>
      </c>
      <c r="O259" s="17">
        <v>1.1433853E7</v>
      </c>
      <c r="P259" s="17">
        <v>7161911.0</v>
      </c>
      <c r="Q259" s="17">
        <v>3431419.0</v>
      </c>
      <c r="R259" s="17">
        <v>0.0</v>
      </c>
      <c r="S259" s="17">
        <v>1.3737302E7</v>
      </c>
      <c r="T259" s="17">
        <v>3603713.0</v>
      </c>
      <c r="U259" s="17">
        <v>5277734.0</v>
      </c>
      <c r="V259" s="11">
        <f t="array" ref="V259">XLOOKUP(A:A,'Raw Revenue'!A:A,'Raw Revenue'!B:B,0)
</f>
        <v>0</v>
      </c>
      <c r="W259" s="11">
        <f t="array" ref="W259">XLOOKUP(A:A,'Raw Revenue'!C:C,'Raw Revenue'!D:D,0)</f>
        <v>0</v>
      </c>
      <c r="X259" s="11">
        <f t="array" ref="X259">XLOOKUP(A:A,'Raw Revenue'!E:E,'Raw Revenue'!F:F,0)</f>
        <v>0</v>
      </c>
      <c r="Y259" s="11">
        <f t="array" ref="Y259">XLOOKUP(A:A,'Raw Revenue'!G:G,'Raw Revenue'!H:H,0)</f>
        <v>0</v>
      </c>
      <c r="Z259" s="11">
        <f t="array" ref="Z259">XLOOKUP(A:A,'Raw Revenue'!I:I,'Raw Revenue'!J:J,0)</f>
        <v>0</v>
      </c>
      <c r="AA259" s="11">
        <f t="array" ref="AA259">XLOOKUP(A:A,'Raw Revenue'!K:K,'Raw Revenue'!L:L,0)</f>
        <v>0</v>
      </c>
      <c r="AB259" s="11">
        <f t="array" ref="AB259">XLOOKUP(A:A,'Raw Revenue'!M:M,'Raw Revenue'!N:N,0)</f>
        <v>0</v>
      </c>
      <c r="AC259" s="3">
        <v>0.0</v>
      </c>
      <c r="AD259" s="3">
        <v>0.0</v>
      </c>
      <c r="AE259" s="3">
        <v>0.0</v>
      </c>
      <c r="AF259" s="3">
        <v>0.0</v>
      </c>
      <c r="AG259" s="3">
        <v>0.0</v>
      </c>
    </row>
    <row r="260">
      <c r="A260" s="3" t="s">
        <v>814</v>
      </c>
      <c r="B260" s="3" t="s">
        <v>815</v>
      </c>
      <c r="C260" s="3" t="str">
        <f t="shared" si="1"/>
        <v>PT. Mentari Pagi Sejahtera</v>
      </c>
      <c r="D260" s="3" t="s">
        <v>84</v>
      </c>
      <c r="E260" s="3" t="s">
        <v>104</v>
      </c>
      <c r="F260" s="3" t="s">
        <v>105</v>
      </c>
      <c r="G260" s="3" t="s">
        <v>74</v>
      </c>
      <c r="H260" s="3" t="str">
        <f t="array" ref="H260">XLOOKUP(G:G,'Account Manager Data'!A:A,'Account Manager Data'!B:B,0)</f>
        <v>Budi Santoso</v>
      </c>
      <c r="I260" s="11" t="str">
        <f t="array" ref="I260">XLOOKUP($G:$G,'Account Manager Data'!$A:$A,'Account Manager Data'!C:C)</f>
        <v>Papua</v>
      </c>
      <c r="J260" s="17">
        <v>5784630.0</v>
      </c>
      <c r="K260" s="17">
        <v>6259811.0</v>
      </c>
      <c r="L260" s="17">
        <v>3477357.0</v>
      </c>
      <c r="M260" s="17">
        <v>8957882.0</v>
      </c>
      <c r="N260" s="17">
        <v>7992306.0</v>
      </c>
      <c r="O260" s="17">
        <v>6006415.0</v>
      </c>
      <c r="P260" s="17">
        <v>3544238.0</v>
      </c>
      <c r="Q260" s="17">
        <v>1.178151E7</v>
      </c>
      <c r="R260" s="17">
        <v>0.0</v>
      </c>
      <c r="S260" s="17">
        <v>1.3596202E7</v>
      </c>
      <c r="T260" s="17">
        <v>1.6092965E7</v>
      </c>
      <c r="U260" s="17">
        <v>1.7837687E7</v>
      </c>
      <c r="V260" s="11">
        <f t="array" ref="V260">XLOOKUP(A:A,'Raw Revenue'!A:A,'Raw Revenue'!B:B,0)
</f>
        <v>0</v>
      </c>
      <c r="W260" s="11">
        <f t="array" ref="W260">XLOOKUP(A:A,'Raw Revenue'!C:C,'Raw Revenue'!D:D,0)</f>
        <v>0</v>
      </c>
      <c r="X260" s="11">
        <f t="array" ref="X260">XLOOKUP(A:A,'Raw Revenue'!E:E,'Raw Revenue'!F:F,0)</f>
        <v>0</v>
      </c>
      <c r="Y260" s="11">
        <f t="array" ref="Y260">XLOOKUP(A:A,'Raw Revenue'!G:G,'Raw Revenue'!H:H,0)</f>
        <v>0</v>
      </c>
      <c r="Z260" s="11">
        <f t="array" ref="Z260">XLOOKUP(A:A,'Raw Revenue'!I:I,'Raw Revenue'!J:J,0)</f>
        <v>0</v>
      </c>
      <c r="AA260" s="11">
        <f t="array" ref="AA260">XLOOKUP(A:A,'Raw Revenue'!K:K,'Raw Revenue'!L:L,0)</f>
        <v>0</v>
      </c>
      <c r="AB260" s="11">
        <f t="array" ref="AB260">XLOOKUP(A:A,'Raw Revenue'!M:M,'Raw Revenue'!N:N,0)</f>
        <v>0</v>
      </c>
      <c r="AC260" s="3">
        <v>0.0</v>
      </c>
      <c r="AD260" s="3">
        <v>0.0</v>
      </c>
      <c r="AE260" s="3">
        <v>0.0</v>
      </c>
      <c r="AF260" s="3">
        <v>0.0</v>
      </c>
      <c r="AG260" s="3">
        <v>0.0</v>
      </c>
    </row>
    <row r="261">
      <c r="A261" s="3" t="s">
        <v>816</v>
      </c>
      <c r="B261" s="3" t="s">
        <v>817</v>
      </c>
      <c r="C261" s="3" t="str">
        <f t="shared" si="1"/>
        <v>PT. Bintang Kejora Nusantara</v>
      </c>
      <c r="D261" s="3" t="s">
        <v>84</v>
      </c>
      <c r="E261" s="3" t="s">
        <v>196</v>
      </c>
      <c r="F261" s="3" t="s">
        <v>315</v>
      </c>
      <c r="G261" s="3" t="s">
        <v>76</v>
      </c>
      <c r="H261" s="3" t="str">
        <f t="array" ref="H261">XLOOKUP(G:G,'Account Manager Data'!A:A,'Account Manager Data'!B:B,0)</f>
        <v>Teguh Wijaya</v>
      </c>
      <c r="I261" s="11" t="str">
        <f t="array" ref="I261">XLOOKUP($G:$G,'Account Manager Data'!$A:$A,'Account Manager Data'!C:C)</f>
        <v>Sulawesi</v>
      </c>
      <c r="J261" s="17">
        <v>1020361.0</v>
      </c>
      <c r="K261" s="17">
        <v>8328045.0</v>
      </c>
      <c r="L261" s="17">
        <v>1.0765395E7</v>
      </c>
      <c r="M261" s="17">
        <v>1.0995945E7</v>
      </c>
      <c r="N261" s="17">
        <v>753301.0</v>
      </c>
      <c r="O261" s="17">
        <v>1.0660585E7</v>
      </c>
      <c r="P261" s="17">
        <v>1.0142522E7</v>
      </c>
      <c r="Q261" s="17">
        <v>1.4378848E7</v>
      </c>
      <c r="R261" s="17">
        <v>8327141.0</v>
      </c>
      <c r="S261" s="17">
        <v>1.0758594E7</v>
      </c>
      <c r="T261" s="17">
        <v>530170.0</v>
      </c>
      <c r="U261" s="17">
        <v>0.0</v>
      </c>
      <c r="V261" s="11">
        <f t="array" ref="V261">XLOOKUP(A:A,'Raw Revenue'!A:A,'Raw Revenue'!B:B,0)
</f>
        <v>0</v>
      </c>
      <c r="W261" s="11">
        <f t="array" ref="W261">XLOOKUP(A:A,'Raw Revenue'!C:C,'Raw Revenue'!D:D,0)</f>
        <v>0</v>
      </c>
      <c r="X261" s="11">
        <f t="array" ref="X261">XLOOKUP(A:A,'Raw Revenue'!E:E,'Raw Revenue'!F:F,0)</f>
        <v>0</v>
      </c>
      <c r="Y261" s="11">
        <f t="array" ref="Y261">XLOOKUP(A:A,'Raw Revenue'!G:G,'Raw Revenue'!H:H,0)</f>
        <v>0</v>
      </c>
      <c r="Z261" s="11">
        <f t="array" ref="Z261">XLOOKUP(A:A,'Raw Revenue'!I:I,'Raw Revenue'!J:J,0)</f>
        <v>0</v>
      </c>
      <c r="AA261" s="11">
        <f t="array" ref="AA261">XLOOKUP(A:A,'Raw Revenue'!K:K,'Raw Revenue'!L:L,0)</f>
        <v>0</v>
      </c>
      <c r="AB261" s="11">
        <f t="array" ref="AB261">XLOOKUP(A:A,'Raw Revenue'!M:M,'Raw Revenue'!N:N,0)</f>
        <v>0</v>
      </c>
      <c r="AC261" s="3">
        <v>0.0</v>
      </c>
      <c r="AD261" s="3">
        <v>0.0</v>
      </c>
      <c r="AE261" s="3">
        <v>0.0</v>
      </c>
      <c r="AF261" s="3">
        <v>0.0</v>
      </c>
      <c r="AG261" s="3">
        <v>0.0</v>
      </c>
    </row>
    <row r="262">
      <c r="A262" s="3" t="s">
        <v>818</v>
      </c>
      <c r="B262" s="3" t="s">
        <v>819</v>
      </c>
      <c r="C262" s="3" t="str">
        <f t="shared" si="1"/>
        <v>PT. Maju Jaya</v>
      </c>
      <c r="D262" s="3" t="s">
        <v>214</v>
      </c>
      <c r="E262" s="3" t="s">
        <v>104</v>
      </c>
      <c r="F262" s="3" t="s">
        <v>134</v>
      </c>
      <c r="G262" s="3" t="s">
        <v>70</v>
      </c>
      <c r="H262" s="3" t="str">
        <f t="array" ref="H262">XLOOKUP(G:G,'Account Manager Data'!A:A,'Account Manager Data'!B:B,0)</f>
        <v>Yusuf Hidayat</v>
      </c>
      <c r="I262" s="11" t="str">
        <f t="array" ref="I262">XLOOKUP($G:$G,'Account Manager Data'!$A:$A,'Account Manager Data'!C:C)</f>
        <v>Sumatera</v>
      </c>
      <c r="J262" s="17">
        <v>6087433.0</v>
      </c>
      <c r="K262" s="17">
        <v>7952578.0</v>
      </c>
      <c r="L262" s="17">
        <v>1.0379407E7</v>
      </c>
      <c r="M262" s="17">
        <v>761721.0</v>
      </c>
      <c r="N262" s="17">
        <v>1.0298143E7</v>
      </c>
      <c r="O262" s="17">
        <v>1.027232E7</v>
      </c>
      <c r="P262" s="17">
        <v>7470358.0</v>
      </c>
      <c r="Q262" s="17">
        <v>1.3289307E7</v>
      </c>
      <c r="R262" s="17">
        <v>805880.0</v>
      </c>
      <c r="S262" s="17">
        <v>2508355.0</v>
      </c>
      <c r="T262" s="17">
        <v>3336976.0</v>
      </c>
      <c r="U262" s="17">
        <v>908832.0</v>
      </c>
      <c r="V262" s="11">
        <f t="array" ref="V262">XLOOKUP(A:A,'Raw Revenue'!A:A,'Raw Revenue'!B:B,0)
</f>
        <v>0</v>
      </c>
      <c r="W262" s="11">
        <f t="array" ref="W262">XLOOKUP(A:A,'Raw Revenue'!C:C,'Raw Revenue'!D:D,0)</f>
        <v>0</v>
      </c>
      <c r="X262" s="11">
        <f t="array" ref="X262">XLOOKUP(A:A,'Raw Revenue'!E:E,'Raw Revenue'!F:F,0)</f>
        <v>0</v>
      </c>
      <c r="Y262" s="11">
        <f t="array" ref="Y262">XLOOKUP(A:A,'Raw Revenue'!G:G,'Raw Revenue'!H:H,0)</f>
        <v>0</v>
      </c>
      <c r="Z262" s="11">
        <f t="array" ref="Z262">XLOOKUP(A:A,'Raw Revenue'!I:I,'Raw Revenue'!J:J,0)</f>
        <v>0</v>
      </c>
      <c r="AA262" s="11">
        <f t="array" ref="AA262">XLOOKUP(A:A,'Raw Revenue'!K:K,'Raw Revenue'!L:L,0)</f>
        <v>0</v>
      </c>
      <c r="AB262" s="11">
        <f t="array" ref="AB262">XLOOKUP(A:A,'Raw Revenue'!M:M,'Raw Revenue'!N:N,0)</f>
        <v>0</v>
      </c>
      <c r="AC262" s="3">
        <v>0.0</v>
      </c>
      <c r="AD262" s="3">
        <v>0.0</v>
      </c>
      <c r="AE262" s="3">
        <v>0.0</v>
      </c>
      <c r="AF262" s="3">
        <v>0.0</v>
      </c>
      <c r="AG262" s="3">
        <v>0.0</v>
      </c>
    </row>
    <row r="263">
      <c r="A263" s="3" t="s">
        <v>820</v>
      </c>
      <c r="B263" s="3" t="s">
        <v>821</v>
      </c>
      <c r="C263" s="3" t="str">
        <f t="shared" si="1"/>
        <v>CV. Sumber Makmur</v>
      </c>
      <c r="D263" s="3" t="s">
        <v>84</v>
      </c>
      <c r="E263" s="3" t="s">
        <v>196</v>
      </c>
      <c r="F263" s="3" t="s">
        <v>315</v>
      </c>
      <c r="G263" s="3" t="s">
        <v>15</v>
      </c>
      <c r="H263" s="3" t="str">
        <f t="array" ref="H263">XLOOKUP(G:G,'Account Manager Data'!A:A,'Account Manager Data'!B:B,0)</f>
        <v>Rizky Maulana</v>
      </c>
      <c r="I263" s="11" t="str">
        <f t="array" ref="I263">XLOOKUP($G:$G,'Account Manager Data'!$A:$A,'Account Manager Data'!C:C)</f>
        <v>Jawa</v>
      </c>
      <c r="J263" s="17">
        <v>5783134.0</v>
      </c>
      <c r="K263" s="17">
        <v>1897881.0</v>
      </c>
      <c r="L263" s="17">
        <v>171410.0</v>
      </c>
      <c r="M263" s="17">
        <v>2289777.0</v>
      </c>
      <c r="N263" s="17">
        <v>4461560.0</v>
      </c>
      <c r="O263" s="17">
        <v>1.2100569E7</v>
      </c>
      <c r="P263" s="17">
        <v>0.0</v>
      </c>
      <c r="Q263" s="17">
        <v>1076549.0</v>
      </c>
      <c r="R263" s="17">
        <v>71415.0</v>
      </c>
      <c r="S263" s="17">
        <v>1.0122863E7</v>
      </c>
      <c r="T263" s="17">
        <v>4355754.0</v>
      </c>
      <c r="U263" s="17">
        <v>1.5177145E7</v>
      </c>
      <c r="V263" s="11">
        <f t="array" ref="V263">XLOOKUP(A:A,'Raw Revenue'!A:A,'Raw Revenue'!B:B,0)
</f>
        <v>0</v>
      </c>
      <c r="W263" s="11">
        <f t="array" ref="W263">XLOOKUP(A:A,'Raw Revenue'!C:C,'Raw Revenue'!D:D,0)</f>
        <v>0</v>
      </c>
      <c r="X263" s="11">
        <f t="array" ref="X263">XLOOKUP(A:A,'Raw Revenue'!E:E,'Raw Revenue'!F:F,0)</f>
        <v>0</v>
      </c>
      <c r="Y263" s="11">
        <f t="array" ref="Y263">XLOOKUP(A:A,'Raw Revenue'!G:G,'Raw Revenue'!H:H,0)</f>
        <v>0</v>
      </c>
      <c r="Z263" s="11">
        <f t="array" ref="Z263">XLOOKUP(A:A,'Raw Revenue'!I:I,'Raw Revenue'!J:J,0)</f>
        <v>0</v>
      </c>
      <c r="AA263" s="11">
        <f t="array" ref="AA263">XLOOKUP(A:A,'Raw Revenue'!K:K,'Raw Revenue'!L:L,0)</f>
        <v>0</v>
      </c>
      <c r="AB263" s="11">
        <f t="array" ref="AB263">XLOOKUP(A:A,'Raw Revenue'!M:M,'Raw Revenue'!N:N,0)</f>
        <v>0</v>
      </c>
      <c r="AC263" s="3">
        <v>0.0</v>
      </c>
      <c r="AD263" s="3">
        <v>0.0</v>
      </c>
      <c r="AE263" s="3">
        <v>0.0</v>
      </c>
      <c r="AF263" s="3">
        <v>0.0</v>
      </c>
      <c r="AG263" s="3">
        <v>0.0</v>
      </c>
    </row>
    <row r="264">
      <c r="A264" s="3" t="s">
        <v>183</v>
      </c>
      <c r="B264" s="3" t="s">
        <v>822</v>
      </c>
      <c r="C264" s="3" t="str">
        <f t="shared" si="1"/>
        <v>PT. Teknologi Nusantara</v>
      </c>
      <c r="D264" s="3" t="s">
        <v>103</v>
      </c>
      <c r="E264" s="3" t="s">
        <v>104</v>
      </c>
      <c r="F264" s="3" t="s">
        <v>134</v>
      </c>
      <c r="G264" s="3" t="s">
        <v>27</v>
      </c>
      <c r="H264" s="3" t="str">
        <f t="array" ref="H264">XLOOKUP(G:G,'Account Manager Data'!A:A,'Account Manager Data'!B:B,0)</f>
        <v>Dedi Kurniawan</v>
      </c>
      <c r="I264" s="11" t="str">
        <f t="array" ref="I264">XLOOKUP($G:$G,'Account Manager Data'!$A:$A,'Account Manager Data'!C:C)</f>
        <v>Kalimantan</v>
      </c>
      <c r="J264" s="17">
        <v>4549506.0</v>
      </c>
      <c r="K264" s="17">
        <v>7965670.0</v>
      </c>
      <c r="L264" s="17">
        <v>2782144.0</v>
      </c>
      <c r="M264" s="17">
        <v>3990187.0</v>
      </c>
      <c r="N264" s="17">
        <v>0.0</v>
      </c>
      <c r="O264" s="17">
        <v>4076810.0</v>
      </c>
      <c r="P264" s="17">
        <v>7876036.0</v>
      </c>
      <c r="Q264" s="17">
        <v>1.0195687E7</v>
      </c>
      <c r="R264" s="17">
        <v>8325539.0</v>
      </c>
      <c r="S264" s="17">
        <v>1.2121235E7</v>
      </c>
      <c r="T264" s="17">
        <v>6131780.0</v>
      </c>
      <c r="U264" s="17">
        <v>1578882.0</v>
      </c>
      <c r="V264" s="11">
        <f t="array" ref="V264">XLOOKUP(A:A,'Raw Revenue'!A:A,'Raw Revenue'!B:B,0)
</f>
        <v>12531616.7</v>
      </c>
      <c r="W264" s="11">
        <f t="array" ref="W264">XLOOKUP(A:A,'Raw Revenue'!C:C,'Raw Revenue'!D:D,0)</f>
        <v>12531616.7</v>
      </c>
      <c r="X264" s="11">
        <f t="array" ref="X264">XLOOKUP(A:A,'Raw Revenue'!E:E,'Raw Revenue'!F:F,0)</f>
        <v>25063233.41</v>
      </c>
      <c r="Y264" s="11">
        <f t="array" ref="Y264">XLOOKUP(A:A,'Raw Revenue'!G:G,'Raw Revenue'!H:H,0)</f>
        <v>20468307.28</v>
      </c>
      <c r="Z264" s="11">
        <f t="array" ref="Z264">XLOOKUP(A:A,'Raw Revenue'!I:I,'Raw Revenue'!J:J,0)</f>
        <v>18379704.5</v>
      </c>
      <c r="AA264" s="11">
        <f t="array" ref="AA264">XLOOKUP(A:A,'Raw Revenue'!K:K,'Raw Revenue'!L:L,0)</f>
        <v>46993562.64</v>
      </c>
      <c r="AB264" s="11">
        <f t="array" ref="AB264">XLOOKUP(A:A,'Raw Revenue'!M:M,'Raw Revenue'!N:N,0)</f>
        <v>43234077.63</v>
      </c>
      <c r="AC264" s="3">
        <v>0.0</v>
      </c>
      <c r="AD264" s="3">
        <v>0.0</v>
      </c>
      <c r="AE264" s="3">
        <v>0.0</v>
      </c>
      <c r="AF264" s="3">
        <v>0.0</v>
      </c>
      <c r="AG264" s="3">
        <v>0.0</v>
      </c>
    </row>
    <row r="265">
      <c r="A265" s="3" t="s">
        <v>823</v>
      </c>
      <c r="B265" s="3" t="s">
        <v>824</v>
      </c>
      <c r="C265" s="3" t="str">
        <f t="shared" si="1"/>
        <v>PT. Bakti Indonesia</v>
      </c>
      <c r="D265" s="3" t="s">
        <v>214</v>
      </c>
      <c r="E265" s="3" t="s">
        <v>187</v>
      </c>
      <c r="F265" s="3" t="s">
        <v>188</v>
      </c>
      <c r="G265" s="3" t="s">
        <v>78</v>
      </c>
      <c r="H265" s="3" t="str">
        <f t="array" ref="H265">XLOOKUP(G:G,'Account Manager Data'!A:A,'Account Manager Data'!B:B,0)</f>
        <v>Ilham Saputra</v>
      </c>
      <c r="I265" s="11" t="str">
        <f t="array" ref="I265">XLOOKUP($G:$G,'Account Manager Data'!$A:$A,'Account Manager Data'!C:C)</f>
        <v>Jawa</v>
      </c>
      <c r="J265" s="17">
        <v>4582566.0</v>
      </c>
      <c r="K265" s="17">
        <v>4243144.0</v>
      </c>
      <c r="L265" s="17">
        <v>0.0</v>
      </c>
      <c r="M265" s="17">
        <v>7450551.0</v>
      </c>
      <c r="N265" s="17">
        <v>1.0294083E7</v>
      </c>
      <c r="O265" s="17">
        <v>8768571.0</v>
      </c>
      <c r="P265" s="17">
        <v>9836109.0</v>
      </c>
      <c r="Q265" s="17">
        <v>1.3829548E7</v>
      </c>
      <c r="R265" s="17">
        <v>0.0</v>
      </c>
      <c r="S265" s="17">
        <v>4637026.0</v>
      </c>
      <c r="T265" s="17">
        <v>1.8135058E7</v>
      </c>
      <c r="U265" s="17">
        <v>1.164149E7</v>
      </c>
      <c r="V265" s="11">
        <f t="array" ref="V265">XLOOKUP(A:A,'Raw Revenue'!A:A,'Raw Revenue'!B:B,0)
</f>
        <v>0</v>
      </c>
      <c r="W265" s="11">
        <f t="array" ref="W265">XLOOKUP(A:A,'Raw Revenue'!C:C,'Raw Revenue'!D:D,0)</f>
        <v>0</v>
      </c>
      <c r="X265" s="11">
        <f t="array" ref="X265">XLOOKUP(A:A,'Raw Revenue'!E:E,'Raw Revenue'!F:F,0)</f>
        <v>0</v>
      </c>
      <c r="Y265" s="11">
        <f t="array" ref="Y265">XLOOKUP(A:A,'Raw Revenue'!G:G,'Raw Revenue'!H:H,0)</f>
        <v>0</v>
      </c>
      <c r="Z265" s="11">
        <f t="array" ref="Z265">XLOOKUP(A:A,'Raw Revenue'!I:I,'Raw Revenue'!J:J,0)</f>
        <v>0</v>
      </c>
      <c r="AA265" s="11">
        <f t="array" ref="AA265">XLOOKUP(A:A,'Raw Revenue'!K:K,'Raw Revenue'!L:L,0)</f>
        <v>0</v>
      </c>
      <c r="AB265" s="11">
        <f t="array" ref="AB265">XLOOKUP(A:A,'Raw Revenue'!M:M,'Raw Revenue'!N:N,0)</f>
        <v>0</v>
      </c>
      <c r="AC265" s="3">
        <v>0.0</v>
      </c>
      <c r="AD265" s="3">
        <v>0.0</v>
      </c>
      <c r="AE265" s="3">
        <v>0.0</v>
      </c>
      <c r="AF265" s="3">
        <v>0.0</v>
      </c>
      <c r="AG265" s="3">
        <v>0.0</v>
      </c>
    </row>
    <row r="266">
      <c r="A266" s="3" t="s">
        <v>825</v>
      </c>
      <c r="B266" s="3" t="s">
        <v>826</v>
      </c>
      <c r="C266" s="3" t="str">
        <f t="shared" si="1"/>
        <v>CV. Amanah Sejahtera</v>
      </c>
      <c r="D266" s="3" t="s">
        <v>214</v>
      </c>
      <c r="E266" s="3" t="s">
        <v>85</v>
      </c>
      <c r="F266" s="3" t="s">
        <v>407</v>
      </c>
      <c r="G266" s="3" t="s">
        <v>53</v>
      </c>
      <c r="H266" s="3" t="str">
        <f t="array" ref="H266">XLOOKUP(G:G,'Account Manager Data'!A:A,'Account Manager Data'!B:B,0)</f>
        <v>Fajar Ramadhan</v>
      </c>
      <c r="I266" s="11" t="str">
        <f t="array" ref="I266">XLOOKUP($G:$G,'Account Manager Data'!$A:$A,'Account Manager Data'!C:C)</f>
        <v>Sulawesi</v>
      </c>
      <c r="J266" s="17">
        <v>7382329.0</v>
      </c>
      <c r="K266" s="17">
        <v>4709136.0</v>
      </c>
      <c r="L266" s="17">
        <v>1.0482891E7</v>
      </c>
      <c r="M266" s="17">
        <v>2096851.0</v>
      </c>
      <c r="N266" s="17">
        <v>3999591.0</v>
      </c>
      <c r="O266" s="17">
        <v>8418642.0</v>
      </c>
      <c r="P266" s="17">
        <v>7021886.0</v>
      </c>
      <c r="Q266" s="17">
        <v>7245095.0</v>
      </c>
      <c r="R266" s="17">
        <v>517683.0</v>
      </c>
      <c r="S266" s="17">
        <v>7350293.0</v>
      </c>
      <c r="T266" s="17">
        <v>1.4862307E7</v>
      </c>
      <c r="U266" s="17">
        <v>1.5282136E7</v>
      </c>
      <c r="V266" s="11">
        <f t="array" ref="V266">XLOOKUP(A:A,'Raw Revenue'!A:A,'Raw Revenue'!B:B,0)
</f>
        <v>0</v>
      </c>
      <c r="W266" s="11">
        <f t="array" ref="W266">XLOOKUP(A:A,'Raw Revenue'!C:C,'Raw Revenue'!D:D,0)</f>
        <v>0</v>
      </c>
      <c r="X266" s="11">
        <f t="array" ref="X266">XLOOKUP(A:A,'Raw Revenue'!E:E,'Raw Revenue'!F:F,0)</f>
        <v>0</v>
      </c>
      <c r="Y266" s="11">
        <f t="array" ref="Y266">XLOOKUP(A:A,'Raw Revenue'!G:G,'Raw Revenue'!H:H,0)</f>
        <v>0</v>
      </c>
      <c r="Z266" s="11">
        <f t="array" ref="Z266">XLOOKUP(A:A,'Raw Revenue'!I:I,'Raw Revenue'!J:J,0)</f>
        <v>0</v>
      </c>
      <c r="AA266" s="11">
        <f t="array" ref="AA266">XLOOKUP(A:A,'Raw Revenue'!K:K,'Raw Revenue'!L:L,0)</f>
        <v>0</v>
      </c>
      <c r="AB266" s="11">
        <f t="array" ref="AB266">XLOOKUP(A:A,'Raw Revenue'!M:M,'Raw Revenue'!N:N,0)</f>
        <v>0</v>
      </c>
      <c r="AC266" s="3">
        <v>0.0</v>
      </c>
      <c r="AD266" s="3">
        <v>0.0</v>
      </c>
      <c r="AE266" s="3">
        <v>0.0</v>
      </c>
      <c r="AF266" s="3">
        <v>0.0</v>
      </c>
      <c r="AG266" s="3">
        <v>0.0</v>
      </c>
    </row>
    <row r="267">
      <c r="A267" s="3" t="s">
        <v>444</v>
      </c>
      <c r="B267" s="3" t="s">
        <v>827</v>
      </c>
      <c r="C267" s="3" t="str">
        <f t="shared" si="1"/>
        <v>PT. Digital Solusi Pratama</v>
      </c>
      <c r="D267" s="3" t="s">
        <v>103</v>
      </c>
      <c r="E267" s="3" t="s">
        <v>104</v>
      </c>
      <c r="F267" s="3" t="s">
        <v>252</v>
      </c>
      <c r="G267" s="3" t="s">
        <v>63</v>
      </c>
      <c r="H267" s="3" t="str">
        <f t="array" ref="H267">XLOOKUP(G:G,'Account Manager Data'!A:A,'Account Manager Data'!B:B,0)</f>
        <v>Hendra Gunawan</v>
      </c>
      <c r="I267" s="11" t="str">
        <f t="array" ref="I267">XLOOKUP($G:$G,'Account Manager Data'!$A:$A,'Account Manager Data'!C:C)</f>
        <v>Kalimantan</v>
      </c>
      <c r="J267" s="17">
        <v>523643.0</v>
      </c>
      <c r="K267" s="17">
        <v>4217995.0</v>
      </c>
      <c r="L267" s="17">
        <v>9143306.0</v>
      </c>
      <c r="M267" s="17">
        <v>4995716.0</v>
      </c>
      <c r="N267" s="17">
        <v>0.0</v>
      </c>
      <c r="O267" s="17">
        <v>0.0</v>
      </c>
      <c r="P267" s="17">
        <v>1303762.0</v>
      </c>
      <c r="Q267" s="17">
        <v>2447102.0</v>
      </c>
      <c r="R267" s="17">
        <v>7724881.0</v>
      </c>
      <c r="S267" s="17">
        <v>0.0</v>
      </c>
      <c r="T267" s="17">
        <v>1.3501028E7</v>
      </c>
      <c r="U267" s="17">
        <v>2549752.0</v>
      </c>
      <c r="V267" s="11">
        <f t="array" ref="V267">XLOOKUP(A:A,'Raw Revenue'!A:A,'Raw Revenue'!B:B,0)
</f>
        <v>5304388.022</v>
      </c>
      <c r="W267" s="11">
        <f t="array" ref="W267">XLOOKUP(A:A,'Raw Revenue'!C:C,'Raw Revenue'!D:D,0)</f>
        <v>5304388.022</v>
      </c>
      <c r="X267" s="11">
        <f t="array" ref="X267">XLOOKUP(A:A,'Raw Revenue'!E:E,'Raw Revenue'!F:F,0)</f>
        <v>10608776.04</v>
      </c>
      <c r="Y267" s="11">
        <f t="array" ref="Y267">XLOOKUP(A:A,'Raw Revenue'!G:G,'Raw Revenue'!H:H,0)</f>
        <v>8663833.77</v>
      </c>
      <c r="Z267" s="11">
        <f t="array" ref="Z267">XLOOKUP(A:A,'Raw Revenue'!I:I,'Raw Revenue'!J:J,0)</f>
        <v>7779769.1</v>
      </c>
      <c r="AA267" s="11">
        <f t="array" ref="AA267">XLOOKUP(A:A,'Raw Revenue'!K:K,'Raw Revenue'!L:L,0)</f>
        <v>19891455.08</v>
      </c>
      <c r="AB267" s="11">
        <f t="array" ref="AB267">XLOOKUP(A:A,'Raw Revenue'!M:M,'Raw Revenue'!N:N,0)</f>
        <v>18300138.68</v>
      </c>
      <c r="AC267" s="3">
        <v>0.0</v>
      </c>
      <c r="AD267" s="3">
        <v>0.0</v>
      </c>
      <c r="AE267" s="3">
        <v>0.0</v>
      </c>
      <c r="AF267" s="3">
        <v>0.0</v>
      </c>
      <c r="AG267" s="3">
        <v>0.0</v>
      </c>
    </row>
    <row r="268">
      <c r="A268" s="3" t="s">
        <v>828</v>
      </c>
      <c r="B268" s="3" t="s">
        <v>829</v>
      </c>
      <c r="C268" s="3" t="str">
        <f t="shared" si="1"/>
        <v>PT. Global Niaga Abadi</v>
      </c>
      <c r="D268" s="3" t="s">
        <v>84</v>
      </c>
      <c r="E268" s="3" t="s">
        <v>85</v>
      </c>
      <c r="F268" s="3" t="s">
        <v>248</v>
      </c>
      <c r="G268" s="3" t="s">
        <v>35</v>
      </c>
      <c r="H268" s="3" t="str">
        <f t="array" ref="H268">XLOOKUP(G:G,'Account Manager Data'!A:A,'Account Manager Data'!B:B,0)</f>
        <v>Ahmad Fauzi</v>
      </c>
      <c r="I268" s="11" t="str">
        <f t="array" ref="I268">XLOOKUP($G:$G,'Account Manager Data'!$A:$A,'Account Manager Data'!C:C)</f>
        <v>Sumatera</v>
      </c>
      <c r="J268" s="17">
        <v>6424503.0</v>
      </c>
      <c r="K268" s="17">
        <v>5894018.0</v>
      </c>
      <c r="L268" s="17">
        <v>6484950.0</v>
      </c>
      <c r="M268" s="17">
        <v>6007880.0</v>
      </c>
      <c r="N268" s="17">
        <v>9854556.0</v>
      </c>
      <c r="O268" s="17">
        <v>1.2658509E7</v>
      </c>
      <c r="P268" s="17">
        <v>8149896.0</v>
      </c>
      <c r="Q268" s="17">
        <v>1.2589051E7</v>
      </c>
      <c r="R268" s="17">
        <v>1463923.0</v>
      </c>
      <c r="S268" s="17">
        <v>1.6517482E7</v>
      </c>
      <c r="T268" s="17">
        <v>1.3137302E7</v>
      </c>
      <c r="U268" s="17">
        <v>791011.0</v>
      </c>
      <c r="V268" s="11">
        <f t="array" ref="V268">XLOOKUP(A:A,'Raw Revenue'!A:A,'Raw Revenue'!B:B,0)
</f>
        <v>0</v>
      </c>
      <c r="W268" s="11">
        <f t="array" ref="W268">XLOOKUP(A:A,'Raw Revenue'!C:C,'Raw Revenue'!D:D,0)</f>
        <v>0</v>
      </c>
      <c r="X268" s="11">
        <f t="array" ref="X268">XLOOKUP(A:A,'Raw Revenue'!E:E,'Raw Revenue'!F:F,0)</f>
        <v>0</v>
      </c>
      <c r="Y268" s="11">
        <f t="array" ref="Y268">XLOOKUP(A:A,'Raw Revenue'!G:G,'Raw Revenue'!H:H,0)</f>
        <v>0</v>
      </c>
      <c r="Z268" s="11">
        <f t="array" ref="Z268">XLOOKUP(A:A,'Raw Revenue'!I:I,'Raw Revenue'!J:J,0)</f>
        <v>0</v>
      </c>
      <c r="AA268" s="11">
        <f t="array" ref="AA268">XLOOKUP(A:A,'Raw Revenue'!K:K,'Raw Revenue'!L:L,0)</f>
        <v>0</v>
      </c>
      <c r="AB268" s="11">
        <f t="array" ref="AB268">XLOOKUP(A:A,'Raw Revenue'!M:M,'Raw Revenue'!N:N,0)</f>
        <v>0</v>
      </c>
      <c r="AC268" s="3">
        <v>0.0</v>
      </c>
      <c r="AD268" s="3">
        <v>0.0</v>
      </c>
      <c r="AE268" s="3">
        <v>0.0</v>
      </c>
      <c r="AF268" s="3">
        <v>0.0</v>
      </c>
      <c r="AG268" s="3">
        <v>0.0</v>
      </c>
    </row>
    <row r="269">
      <c r="A269" s="3" t="s">
        <v>830</v>
      </c>
      <c r="B269" s="3" t="s">
        <v>831</v>
      </c>
      <c r="C269" s="3" t="str">
        <f t="shared" si="1"/>
        <v>PT. Indo Makmur Sentosa</v>
      </c>
      <c r="D269" s="3" t="s">
        <v>84</v>
      </c>
      <c r="E269" s="3" t="s">
        <v>187</v>
      </c>
      <c r="F269" s="3" t="s">
        <v>295</v>
      </c>
      <c r="G269" s="3" t="s">
        <v>74</v>
      </c>
      <c r="H269" s="3" t="str">
        <f t="array" ref="H269">XLOOKUP(G:G,'Account Manager Data'!A:A,'Account Manager Data'!B:B,0)</f>
        <v>Budi Santoso</v>
      </c>
      <c r="I269" s="11" t="str">
        <f t="array" ref="I269">XLOOKUP($G:$G,'Account Manager Data'!$A:$A,'Account Manager Data'!C:C)</f>
        <v>Papua</v>
      </c>
      <c r="J269" s="17">
        <v>3808983.0</v>
      </c>
      <c r="K269" s="17">
        <v>7813034.0</v>
      </c>
      <c r="L269" s="17">
        <v>0.0</v>
      </c>
      <c r="M269" s="17">
        <v>8151214.0</v>
      </c>
      <c r="N269" s="17">
        <v>1.0657385E7</v>
      </c>
      <c r="O269" s="17">
        <v>6517512.0</v>
      </c>
      <c r="P269" s="17">
        <v>2928834.0</v>
      </c>
      <c r="Q269" s="17">
        <v>3787376.0</v>
      </c>
      <c r="R269" s="17">
        <v>527210.0</v>
      </c>
      <c r="S269" s="17">
        <v>7047597.0</v>
      </c>
      <c r="T269" s="17">
        <v>0.0</v>
      </c>
      <c r="U269" s="17">
        <v>1.8323977E7</v>
      </c>
      <c r="V269" s="11">
        <f t="array" ref="V269">XLOOKUP(A:A,'Raw Revenue'!A:A,'Raw Revenue'!B:B,0)
</f>
        <v>0</v>
      </c>
      <c r="W269" s="11">
        <f t="array" ref="W269">XLOOKUP(A:A,'Raw Revenue'!C:C,'Raw Revenue'!D:D,0)</f>
        <v>0</v>
      </c>
      <c r="X269" s="11">
        <f t="array" ref="X269">XLOOKUP(A:A,'Raw Revenue'!E:E,'Raw Revenue'!F:F,0)</f>
        <v>0</v>
      </c>
      <c r="Y269" s="11">
        <f t="array" ref="Y269">XLOOKUP(A:A,'Raw Revenue'!G:G,'Raw Revenue'!H:H,0)</f>
        <v>0</v>
      </c>
      <c r="Z269" s="11">
        <f t="array" ref="Z269">XLOOKUP(A:A,'Raw Revenue'!I:I,'Raw Revenue'!J:J,0)</f>
        <v>0</v>
      </c>
      <c r="AA269" s="11">
        <f t="array" ref="AA269">XLOOKUP(A:A,'Raw Revenue'!K:K,'Raw Revenue'!L:L,0)</f>
        <v>0</v>
      </c>
      <c r="AB269" s="11">
        <f t="array" ref="AB269">XLOOKUP(A:A,'Raw Revenue'!M:M,'Raw Revenue'!N:N,0)</f>
        <v>0</v>
      </c>
      <c r="AC269" s="3">
        <v>0.0</v>
      </c>
      <c r="AD269" s="3">
        <v>0.0</v>
      </c>
      <c r="AE269" s="3">
        <v>0.0</v>
      </c>
      <c r="AF269" s="3">
        <v>0.0</v>
      </c>
      <c r="AG269" s="3">
        <v>0.0</v>
      </c>
    </row>
    <row r="270">
      <c r="A270" s="3" t="s">
        <v>245</v>
      </c>
      <c r="B270" s="3" t="s">
        <v>832</v>
      </c>
      <c r="C270" s="3" t="str">
        <f t="shared" si="1"/>
        <v>PT. Citra Mandiri Utama</v>
      </c>
      <c r="D270" s="3" t="s">
        <v>103</v>
      </c>
      <c r="E270" s="3" t="s">
        <v>215</v>
      </c>
      <c r="F270" s="3" t="s">
        <v>216</v>
      </c>
      <c r="G270" s="3" t="s">
        <v>43</v>
      </c>
      <c r="H270" s="3" t="str">
        <f t="array" ref="H270">XLOOKUP(G:G,'Account Manager Data'!A:A,'Account Manager Data'!B:B,0)</f>
        <v>Eko Prasetyo</v>
      </c>
      <c r="I270" s="11" t="str">
        <f t="array" ref="I270">XLOOKUP($G:$G,'Account Manager Data'!$A:$A,'Account Manager Data'!C:C)</f>
        <v>Papua</v>
      </c>
      <c r="J270" s="17">
        <v>4897723.0</v>
      </c>
      <c r="K270" s="17">
        <v>2616785.0</v>
      </c>
      <c r="L270" s="17">
        <v>6834985.0</v>
      </c>
      <c r="M270" s="17">
        <v>9069678.0</v>
      </c>
      <c r="N270" s="17">
        <v>3570350.0</v>
      </c>
      <c r="O270" s="17">
        <v>1464310.0</v>
      </c>
      <c r="P270" s="17">
        <v>1.4484854E7</v>
      </c>
      <c r="Q270" s="17">
        <v>3921209.0</v>
      </c>
      <c r="R270" s="17">
        <v>1.403343E7</v>
      </c>
      <c r="S270" s="17">
        <v>1.6524864E7</v>
      </c>
      <c r="T270" s="17">
        <v>5465910.0</v>
      </c>
      <c r="U270" s="17">
        <v>0.0</v>
      </c>
      <c r="V270" s="11">
        <f t="array" ref="V270">XLOOKUP(A:A,'Raw Revenue'!A:A,'Raw Revenue'!B:B,0)
</f>
        <v>8011079.171</v>
      </c>
      <c r="W270" s="11">
        <f t="array" ref="W270">XLOOKUP(A:A,'Raw Revenue'!C:C,'Raw Revenue'!D:D,0)</f>
        <v>8011079.171</v>
      </c>
      <c r="X270" s="11">
        <f t="array" ref="X270">XLOOKUP(A:A,'Raw Revenue'!E:E,'Raw Revenue'!F:F,0)</f>
        <v>16022158.34</v>
      </c>
      <c r="Y270" s="11">
        <f t="array" ref="Y270">XLOOKUP(A:A,'Raw Revenue'!G:G,'Raw Revenue'!H:H,0)</f>
        <v>13084762.65</v>
      </c>
      <c r="Z270" s="11">
        <f t="array" ref="Z270">XLOOKUP(A:A,'Raw Revenue'!I:I,'Raw Revenue'!J:J,0)</f>
        <v>11749582.78</v>
      </c>
      <c r="AA270" s="11">
        <f t="array" ref="AA270">XLOOKUP(A:A,'Raw Revenue'!K:K,'Raw Revenue'!L:L,0)</f>
        <v>30041546.89</v>
      </c>
      <c r="AB270" s="11">
        <f t="array" ref="AB270">XLOOKUP(A:A,'Raw Revenue'!M:M,'Raw Revenue'!N:N,0)</f>
        <v>27638223.14</v>
      </c>
      <c r="AC270" s="3">
        <v>0.0</v>
      </c>
      <c r="AD270" s="3">
        <v>0.0</v>
      </c>
      <c r="AE270" s="3">
        <v>0.0</v>
      </c>
      <c r="AF270" s="3">
        <v>0.0</v>
      </c>
      <c r="AG270" s="3">
        <v>0.0</v>
      </c>
    </row>
    <row r="271">
      <c r="A271" s="3" t="s">
        <v>833</v>
      </c>
      <c r="B271" s="3" t="s">
        <v>834</v>
      </c>
      <c r="C271" s="3" t="str">
        <f t="shared" si="1"/>
        <v>PT. Sinar Dunia Baru</v>
      </c>
      <c r="D271" s="3" t="s">
        <v>130</v>
      </c>
      <c r="E271" s="3" t="s">
        <v>85</v>
      </c>
      <c r="F271" s="3" t="s">
        <v>86</v>
      </c>
      <c r="G271" s="3" t="s">
        <v>76</v>
      </c>
      <c r="H271" s="3" t="str">
        <f t="array" ref="H271">XLOOKUP(G:G,'Account Manager Data'!A:A,'Account Manager Data'!B:B,0)</f>
        <v>Teguh Wijaya</v>
      </c>
      <c r="I271" s="11" t="str">
        <f t="array" ref="I271">XLOOKUP($G:$G,'Account Manager Data'!$A:$A,'Account Manager Data'!C:C)</f>
        <v>Sulawesi</v>
      </c>
      <c r="J271" s="17">
        <v>3259543.0</v>
      </c>
      <c r="K271" s="17">
        <v>8365297.0</v>
      </c>
      <c r="L271" s="17">
        <v>4348316.0</v>
      </c>
      <c r="M271" s="17">
        <v>2285396.0</v>
      </c>
      <c r="N271" s="17">
        <v>9104432.0</v>
      </c>
      <c r="O271" s="17">
        <v>1.3679832E7</v>
      </c>
      <c r="P271" s="17">
        <v>1.1181397E7</v>
      </c>
      <c r="Q271" s="17">
        <v>739346.0</v>
      </c>
      <c r="R271" s="17">
        <v>1590792.0</v>
      </c>
      <c r="S271" s="17">
        <v>1.2468854E7</v>
      </c>
      <c r="T271" s="17">
        <v>8819732.0</v>
      </c>
      <c r="U271" s="17">
        <v>1.2577416E7</v>
      </c>
      <c r="V271" s="11">
        <f t="array" ref="V271">XLOOKUP(A:A,'Raw Revenue'!A:A,'Raw Revenue'!B:B,0)
</f>
        <v>0</v>
      </c>
      <c r="W271" s="11">
        <f t="array" ref="W271">XLOOKUP(A:A,'Raw Revenue'!C:C,'Raw Revenue'!D:D,0)</f>
        <v>0</v>
      </c>
      <c r="X271" s="11">
        <f t="array" ref="X271">XLOOKUP(A:A,'Raw Revenue'!E:E,'Raw Revenue'!F:F,0)</f>
        <v>0</v>
      </c>
      <c r="Y271" s="11">
        <f t="array" ref="Y271">XLOOKUP(A:A,'Raw Revenue'!G:G,'Raw Revenue'!H:H,0)</f>
        <v>0</v>
      </c>
      <c r="Z271" s="11">
        <f t="array" ref="Z271">XLOOKUP(A:A,'Raw Revenue'!I:I,'Raw Revenue'!J:J,0)</f>
        <v>0</v>
      </c>
      <c r="AA271" s="11">
        <f t="array" ref="AA271">XLOOKUP(A:A,'Raw Revenue'!K:K,'Raw Revenue'!L:L,0)</f>
        <v>0</v>
      </c>
      <c r="AB271" s="11">
        <f t="array" ref="AB271">XLOOKUP(A:A,'Raw Revenue'!M:M,'Raw Revenue'!N:N,0)</f>
        <v>0</v>
      </c>
      <c r="AC271" s="3">
        <v>0.0</v>
      </c>
      <c r="AD271" s="3">
        <v>0.0</v>
      </c>
      <c r="AE271" s="3">
        <v>0.0</v>
      </c>
      <c r="AF271" s="3">
        <v>0.0</v>
      </c>
      <c r="AG271" s="3">
        <v>0.0</v>
      </c>
    </row>
    <row r="272">
      <c r="A272" s="3" t="s">
        <v>835</v>
      </c>
      <c r="B272" s="3" t="s">
        <v>836</v>
      </c>
      <c r="C272" s="3" t="str">
        <f t="shared" si="1"/>
        <v>CV. Karya Utama Mandiri</v>
      </c>
      <c r="D272" s="3" t="s">
        <v>130</v>
      </c>
      <c r="E272" s="3" t="s">
        <v>215</v>
      </c>
      <c r="F272" s="3" t="s">
        <v>227</v>
      </c>
      <c r="G272" s="3" t="s">
        <v>70</v>
      </c>
      <c r="H272" s="3" t="str">
        <f t="array" ref="H272">XLOOKUP(G:G,'Account Manager Data'!A:A,'Account Manager Data'!B:B,0)</f>
        <v>Yusuf Hidayat</v>
      </c>
      <c r="I272" s="11" t="str">
        <f t="array" ref="I272">XLOOKUP($G:$G,'Account Manager Data'!$A:$A,'Account Manager Data'!C:C)</f>
        <v>Sumatera</v>
      </c>
      <c r="J272" s="17">
        <v>7245153.0</v>
      </c>
      <c r="K272" s="17">
        <v>8287396.0</v>
      </c>
      <c r="L272" s="17">
        <v>8269980.0</v>
      </c>
      <c r="M272" s="17">
        <v>3798735.0</v>
      </c>
      <c r="N272" s="17">
        <v>1.4225841E7</v>
      </c>
      <c r="O272" s="17">
        <v>8895665.0</v>
      </c>
      <c r="P272" s="17">
        <v>1.1054605E7</v>
      </c>
      <c r="Q272" s="17">
        <v>4433098.0</v>
      </c>
      <c r="R272" s="17">
        <v>2391155.0</v>
      </c>
      <c r="S272" s="17">
        <v>1.5289615E7</v>
      </c>
      <c r="T272" s="17">
        <v>8995264.0</v>
      </c>
      <c r="U272" s="17">
        <v>0.0</v>
      </c>
      <c r="V272" s="11">
        <f t="array" ref="V272">XLOOKUP(A:A,'Raw Revenue'!A:A,'Raw Revenue'!B:B,0)
</f>
        <v>0</v>
      </c>
      <c r="W272" s="11">
        <f t="array" ref="W272">XLOOKUP(A:A,'Raw Revenue'!C:C,'Raw Revenue'!D:D,0)</f>
        <v>0</v>
      </c>
      <c r="X272" s="11">
        <f t="array" ref="X272">XLOOKUP(A:A,'Raw Revenue'!E:E,'Raw Revenue'!F:F,0)</f>
        <v>0</v>
      </c>
      <c r="Y272" s="11">
        <f t="array" ref="Y272">XLOOKUP(A:A,'Raw Revenue'!G:G,'Raw Revenue'!H:H,0)</f>
        <v>0</v>
      </c>
      <c r="Z272" s="11">
        <f t="array" ref="Z272">XLOOKUP(A:A,'Raw Revenue'!I:I,'Raw Revenue'!J:J,0)</f>
        <v>0</v>
      </c>
      <c r="AA272" s="11">
        <f t="array" ref="AA272">XLOOKUP(A:A,'Raw Revenue'!K:K,'Raw Revenue'!L:L,0)</f>
        <v>0</v>
      </c>
      <c r="AB272" s="11">
        <f t="array" ref="AB272">XLOOKUP(A:A,'Raw Revenue'!M:M,'Raw Revenue'!N:N,0)</f>
        <v>0</v>
      </c>
      <c r="AC272" s="3">
        <v>0.0</v>
      </c>
      <c r="AD272" s="3">
        <v>0.0</v>
      </c>
      <c r="AE272" s="3">
        <v>0.0</v>
      </c>
      <c r="AF272" s="3">
        <v>0.0</v>
      </c>
      <c r="AG272" s="3">
        <v>0.0</v>
      </c>
    </row>
    <row r="273">
      <c r="A273" s="3" t="s">
        <v>837</v>
      </c>
      <c r="B273" s="3" t="s">
        <v>838</v>
      </c>
      <c r="C273" s="3" t="str">
        <f t="shared" si="1"/>
        <v>PT. Pratama Jaya Sentosa</v>
      </c>
      <c r="D273" s="3" t="s">
        <v>186</v>
      </c>
      <c r="E273" s="3" t="s">
        <v>104</v>
      </c>
      <c r="F273" s="3" t="s">
        <v>134</v>
      </c>
      <c r="G273" s="3" t="s">
        <v>15</v>
      </c>
      <c r="H273" s="3" t="str">
        <f t="array" ref="H273">XLOOKUP(G:G,'Account Manager Data'!A:A,'Account Manager Data'!B:B,0)</f>
        <v>Rizky Maulana</v>
      </c>
      <c r="I273" s="11" t="str">
        <f t="array" ref="I273">XLOOKUP($G:$G,'Account Manager Data'!$A:$A,'Account Manager Data'!C:C)</f>
        <v>Jawa</v>
      </c>
      <c r="J273" s="17">
        <v>5239675.0</v>
      </c>
      <c r="K273" s="17">
        <v>4733982.0</v>
      </c>
      <c r="L273" s="17">
        <v>208909.0</v>
      </c>
      <c r="M273" s="17">
        <v>3888580.0</v>
      </c>
      <c r="N273" s="17">
        <v>6840113.0</v>
      </c>
      <c r="O273" s="17">
        <v>2325193.0</v>
      </c>
      <c r="P273" s="17">
        <v>1313350.0</v>
      </c>
      <c r="Q273" s="17">
        <v>1842051.0</v>
      </c>
      <c r="R273" s="17">
        <v>1.6590997E7</v>
      </c>
      <c r="S273" s="17">
        <v>3981275.0</v>
      </c>
      <c r="T273" s="17">
        <v>1.582259E7</v>
      </c>
      <c r="U273" s="17">
        <v>1.7649808E7</v>
      </c>
      <c r="V273" s="11">
        <f t="array" ref="V273">XLOOKUP(A:A,'Raw Revenue'!A:A,'Raw Revenue'!B:B,0)
</f>
        <v>0</v>
      </c>
      <c r="W273" s="11">
        <f t="array" ref="W273">XLOOKUP(A:A,'Raw Revenue'!C:C,'Raw Revenue'!D:D,0)</f>
        <v>0</v>
      </c>
      <c r="X273" s="11">
        <f t="array" ref="X273">XLOOKUP(A:A,'Raw Revenue'!E:E,'Raw Revenue'!F:F,0)</f>
        <v>0</v>
      </c>
      <c r="Y273" s="11">
        <f t="array" ref="Y273">XLOOKUP(A:A,'Raw Revenue'!G:G,'Raw Revenue'!H:H,0)</f>
        <v>0</v>
      </c>
      <c r="Z273" s="11">
        <f t="array" ref="Z273">XLOOKUP(A:A,'Raw Revenue'!I:I,'Raw Revenue'!J:J,0)</f>
        <v>0</v>
      </c>
      <c r="AA273" s="11">
        <f t="array" ref="AA273">XLOOKUP(A:A,'Raw Revenue'!K:K,'Raw Revenue'!L:L,0)</f>
        <v>0</v>
      </c>
      <c r="AB273" s="11">
        <f t="array" ref="AB273">XLOOKUP(A:A,'Raw Revenue'!M:M,'Raw Revenue'!N:N,0)</f>
        <v>0</v>
      </c>
      <c r="AC273" s="3">
        <v>0.0</v>
      </c>
      <c r="AD273" s="3">
        <v>0.0</v>
      </c>
      <c r="AE273" s="3">
        <v>0.0</v>
      </c>
      <c r="AF273" s="3">
        <v>0.0</v>
      </c>
      <c r="AG273" s="3">
        <v>0.0</v>
      </c>
    </row>
    <row r="274">
      <c r="A274" s="3" t="s">
        <v>839</v>
      </c>
      <c r="B274" s="3" t="s">
        <v>840</v>
      </c>
      <c r="C274" s="3" t="str">
        <f t="shared" si="1"/>
        <v>PT. Abadi Selamanya Jaya</v>
      </c>
      <c r="D274" s="3" t="s">
        <v>84</v>
      </c>
      <c r="E274" s="3" t="s">
        <v>85</v>
      </c>
      <c r="F274" s="3" t="s">
        <v>248</v>
      </c>
      <c r="G274" s="3" t="s">
        <v>53</v>
      </c>
      <c r="H274" s="3" t="str">
        <f t="array" ref="H274">XLOOKUP(G:G,'Account Manager Data'!A:A,'Account Manager Data'!B:B,0)</f>
        <v>Fajar Ramadhan</v>
      </c>
      <c r="I274" s="11" t="str">
        <f t="array" ref="I274">XLOOKUP($G:$G,'Account Manager Data'!$A:$A,'Account Manager Data'!C:C)</f>
        <v>Sulawesi</v>
      </c>
      <c r="J274" s="17">
        <v>1820202.0</v>
      </c>
      <c r="K274" s="17">
        <v>8802307.0</v>
      </c>
      <c r="L274" s="17">
        <v>9288960.0</v>
      </c>
      <c r="M274" s="17">
        <v>3252213.0</v>
      </c>
      <c r="N274" s="17">
        <v>0.0</v>
      </c>
      <c r="O274" s="17">
        <v>4731069.0</v>
      </c>
      <c r="P274" s="17">
        <v>1.1798876E7</v>
      </c>
      <c r="Q274" s="17">
        <v>304896.0</v>
      </c>
      <c r="R274" s="17">
        <v>391304.0</v>
      </c>
      <c r="S274" s="17">
        <v>1156866.0</v>
      </c>
      <c r="T274" s="17">
        <v>1717697.0</v>
      </c>
      <c r="U274" s="17">
        <v>1.4207183E7</v>
      </c>
      <c r="V274" s="11">
        <f t="array" ref="V274">XLOOKUP(A:A,'Raw Revenue'!A:A,'Raw Revenue'!B:B,0)
</f>
        <v>0</v>
      </c>
      <c r="W274" s="11">
        <f t="array" ref="W274">XLOOKUP(A:A,'Raw Revenue'!C:C,'Raw Revenue'!D:D,0)</f>
        <v>0</v>
      </c>
      <c r="X274" s="11">
        <f t="array" ref="X274">XLOOKUP(A:A,'Raw Revenue'!E:E,'Raw Revenue'!F:F,0)</f>
        <v>0</v>
      </c>
      <c r="Y274" s="11">
        <f t="array" ref="Y274">XLOOKUP(A:A,'Raw Revenue'!G:G,'Raw Revenue'!H:H,0)</f>
        <v>0</v>
      </c>
      <c r="Z274" s="11">
        <f t="array" ref="Z274">XLOOKUP(A:A,'Raw Revenue'!I:I,'Raw Revenue'!J:J,0)</f>
        <v>0</v>
      </c>
      <c r="AA274" s="11">
        <f t="array" ref="AA274">XLOOKUP(A:A,'Raw Revenue'!K:K,'Raw Revenue'!L:L,0)</f>
        <v>0</v>
      </c>
      <c r="AB274" s="11">
        <f t="array" ref="AB274">XLOOKUP(A:A,'Raw Revenue'!M:M,'Raw Revenue'!N:N,0)</f>
        <v>0</v>
      </c>
      <c r="AC274" s="3">
        <v>0.0</v>
      </c>
      <c r="AD274" s="3">
        <v>0.0</v>
      </c>
      <c r="AE274" s="3">
        <v>0.0</v>
      </c>
      <c r="AF274" s="3">
        <v>0.0</v>
      </c>
      <c r="AG274" s="3">
        <v>0.0</v>
      </c>
    </row>
    <row r="275">
      <c r="A275" s="3" t="s">
        <v>841</v>
      </c>
      <c r="B275" s="3" t="s">
        <v>842</v>
      </c>
      <c r="C275" s="3" t="str">
        <f t="shared" si="1"/>
        <v>PT. Mandiri Sejahtera Bersama</v>
      </c>
      <c r="D275" s="3" t="s">
        <v>195</v>
      </c>
      <c r="E275" s="3" t="s">
        <v>196</v>
      </c>
      <c r="F275" s="3" t="s">
        <v>197</v>
      </c>
      <c r="G275" s="3" t="s">
        <v>27</v>
      </c>
      <c r="H275" s="3" t="str">
        <f t="array" ref="H275">XLOOKUP(G:G,'Account Manager Data'!A:A,'Account Manager Data'!B:B,0)</f>
        <v>Dedi Kurniawan</v>
      </c>
      <c r="I275" s="11" t="str">
        <f t="array" ref="I275">XLOOKUP($G:$G,'Account Manager Data'!$A:$A,'Account Manager Data'!C:C)</f>
        <v>Kalimantan</v>
      </c>
      <c r="J275" s="17">
        <v>5254021.0</v>
      </c>
      <c r="K275" s="17">
        <v>0.0</v>
      </c>
      <c r="L275" s="17">
        <v>6146172.0</v>
      </c>
      <c r="M275" s="17">
        <v>2873180.0</v>
      </c>
      <c r="N275" s="17">
        <v>1.1104208E7</v>
      </c>
      <c r="O275" s="17">
        <v>1.351413E7</v>
      </c>
      <c r="P275" s="17">
        <v>2213443.0</v>
      </c>
      <c r="Q275" s="17">
        <v>1.4511344E7</v>
      </c>
      <c r="R275" s="17">
        <v>1882900.0</v>
      </c>
      <c r="S275" s="17">
        <v>6596696.0</v>
      </c>
      <c r="T275" s="17">
        <v>1.6908587E7</v>
      </c>
      <c r="U275" s="17">
        <v>8346820.0</v>
      </c>
      <c r="V275" s="11">
        <f t="array" ref="V275">XLOOKUP(A:A,'Raw Revenue'!A:A,'Raw Revenue'!B:B,0)
</f>
        <v>0</v>
      </c>
      <c r="W275" s="11">
        <f t="array" ref="W275">XLOOKUP(A:A,'Raw Revenue'!C:C,'Raw Revenue'!D:D,0)</f>
        <v>0</v>
      </c>
      <c r="X275" s="11">
        <f t="array" ref="X275">XLOOKUP(A:A,'Raw Revenue'!E:E,'Raw Revenue'!F:F,0)</f>
        <v>0</v>
      </c>
      <c r="Y275" s="11">
        <f t="array" ref="Y275">XLOOKUP(A:A,'Raw Revenue'!G:G,'Raw Revenue'!H:H,0)</f>
        <v>0</v>
      </c>
      <c r="Z275" s="11">
        <f t="array" ref="Z275">XLOOKUP(A:A,'Raw Revenue'!I:I,'Raw Revenue'!J:J,0)</f>
        <v>0</v>
      </c>
      <c r="AA275" s="11">
        <f t="array" ref="AA275">XLOOKUP(A:A,'Raw Revenue'!K:K,'Raw Revenue'!L:L,0)</f>
        <v>0</v>
      </c>
      <c r="AB275" s="11">
        <f t="array" ref="AB275">XLOOKUP(A:A,'Raw Revenue'!M:M,'Raw Revenue'!N:N,0)</f>
        <v>0</v>
      </c>
      <c r="AC275" s="3">
        <v>0.0</v>
      </c>
      <c r="AD275" s="3">
        <v>0.0</v>
      </c>
      <c r="AE275" s="3">
        <v>0.0</v>
      </c>
      <c r="AF275" s="3">
        <v>0.0</v>
      </c>
      <c r="AG275" s="3">
        <v>0.0</v>
      </c>
    </row>
    <row r="276">
      <c r="A276" s="3" t="s">
        <v>417</v>
      </c>
      <c r="B276" s="3" t="s">
        <v>843</v>
      </c>
      <c r="C276" s="3" t="str">
        <f t="shared" si="1"/>
        <v>PT. Sejahtera Alam Indonesia</v>
      </c>
      <c r="D276" s="3" t="s">
        <v>103</v>
      </c>
      <c r="E276" s="3" t="s">
        <v>85</v>
      </c>
      <c r="F276" s="3" t="s">
        <v>86</v>
      </c>
      <c r="G276" s="3" t="s">
        <v>78</v>
      </c>
      <c r="H276" s="3" t="str">
        <f t="array" ref="H276">XLOOKUP(G:G,'Account Manager Data'!A:A,'Account Manager Data'!B:B,0)</f>
        <v>Ilham Saputra</v>
      </c>
      <c r="I276" s="11" t="str">
        <f t="array" ref="I276">XLOOKUP($G:$G,'Account Manager Data'!$A:$A,'Account Manager Data'!C:C)</f>
        <v>Jawa</v>
      </c>
      <c r="J276" s="17">
        <v>4838126.0</v>
      </c>
      <c r="K276" s="17">
        <v>2326682.0</v>
      </c>
      <c r="L276" s="17">
        <v>2073817.0</v>
      </c>
      <c r="M276" s="17">
        <v>1998915.0</v>
      </c>
      <c r="N276" s="17">
        <v>1.0814923E7</v>
      </c>
      <c r="O276" s="17">
        <v>1.4986107E7</v>
      </c>
      <c r="P276" s="17">
        <v>0.0</v>
      </c>
      <c r="Q276" s="17">
        <v>1752827.0</v>
      </c>
      <c r="R276" s="17">
        <v>5222804.0</v>
      </c>
      <c r="S276" s="17">
        <v>6273814.0</v>
      </c>
      <c r="T276" s="17">
        <v>5507699.0</v>
      </c>
      <c r="U276" s="17">
        <v>1.5658584E7</v>
      </c>
      <c r="V276" s="11">
        <f t="array" ref="V276">XLOOKUP(A:A,'Raw Revenue'!A:A,'Raw Revenue'!B:B,0)
</f>
        <v>714052.2338</v>
      </c>
      <c r="W276" s="11">
        <f t="array" ref="W276">XLOOKUP(A:A,'Raw Revenue'!C:C,'Raw Revenue'!D:D,0)</f>
        <v>357026.1169</v>
      </c>
      <c r="X276" s="11">
        <f t="array" ref="X276">XLOOKUP(A:A,'Raw Revenue'!E:E,'Raw Revenue'!F:F,0)</f>
        <v>214215.6701</v>
      </c>
      <c r="Y276" s="11">
        <f t="array" ref="Y276">XLOOKUP(A:A,'Raw Revenue'!G:G,'Raw Revenue'!H:H,0)</f>
        <v>2499182.818</v>
      </c>
      <c r="Z276" s="11">
        <f t="array" ref="Z276">XLOOKUP(A:A,'Raw Revenue'!I:I,'Raw Revenue'!J:J,0)</f>
        <v>571241.787</v>
      </c>
      <c r="AA276" s="11">
        <f t="array" ref="AA276">XLOOKUP(A:A,'Raw Revenue'!K:K,'Raw Revenue'!L:L,0)</f>
        <v>16066.17526</v>
      </c>
      <c r="AB276" s="11">
        <f t="array" ref="AB276">XLOOKUP(A:A,'Raw Revenue'!M:M,'Raw Revenue'!N:N,0)</f>
        <v>2152867.485</v>
      </c>
      <c r="AC276" s="3">
        <v>0.0</v>
      </c>
      <c r="AD276" s="3">
        <v>0.0</v>
      </c>
      <c r="AE276" s="3">
        <v>0.0</v>
      </c>
      <c r="AF276" s="3">
        <v>0.0</v>
      </c>
      <c r="AG276" s="3">
        <v>0.0</v>
      </c>
    </row>
    <row r="277">
      <c r="A277" s="3" t="s">
        <v>844</v>
      </c>
      <c r="B277" s="3" t="s">
        <v>845</v>
      </c>
      <c r="C277" s="3" t="str">
        <f t="shared" si="1"/>
        <v>PT. Indah Kargo Logistik</v>
      </c>
      <c r="D277" s="3" t="s">
        <v>214</v>
      </c>
      <c r="E277" s="3" t="s">
        <v>85</v>
      </c>
      <c r="F277" s="3" t="s">
        <v>248</v>
      </c>
      <c r="G277" s="3" t="s">
        <v>63</v>
      </c>
      <c r="H277" s="3" t="str">
        <f t="array" ref="H277">XLOOKUP(G:G,'Account Manager Data'!A:A,'Account Manager Data'!B:B,0)</f>
        <v>Hendra Gunawan</v>
      </c>
      <c r="I277" s="11" t="str">
        <f t="array" ref="I277">XLOOKUP($G:$G,'Account Manager Data'!$A:$A,'Account Manager Data'!C:C)</f>
        <v>Kalimantan</v>
      </c>
      <c r="J277" s="17">
        <v>4908831.0</v>
      </c>
      <c r="K277" s="17">
        <v>31104.0</v>
      </c>
      <c r="L277" s="17">
        <v>6102508.0</v>
      </c>
      <c r="M277" s="17">
        <v>8329781.0</v>
      </c>
      <c r="N277" s="17">
        <v>1.2293328E7</v>
      </c>
      <c r="O277" s="17">
        <v>465893.0</v>
      </c>
      <c r="P277" s="17">
        <v>3224480.0</v>
      </c>
      <c r="Q277" s="17">
        <v>337371.0</v>
      </c>
      <c r="R277" s="17">
        <v>6000600.0</v>
      </c>
      <c r="S277" s="17">
        <v>0.0</v>
      </c>
      <c r="T277" s="17">
        <v>0.0</v>
      </c>
      <c r="U277" s="17">
        <v>1.7177559E7</v>
      </c>
      <c r="V277" s="11">
        <f t="array" ref="V277">XLOOKUP(A:A,'Raw Revenue'!A:A,'Raw Revenue'!B:B,0)
</f>
        <v>0</v>
      </c>
      <c r="W277" s="11">
        <f t="array" ref="W277">XLOOKUP(A:A,'Raw Revenue'!C:C,'Raw Revenue'!D:D,0)</f>
        <v>0</v>
      </c>
      <c r="X277" s="11">
        <f t="array" ref="X277">XLOOKUP(A:A,'Raw Revenue'!E:E,'Raw Revenue'!F:F,0)</f>
        <v>0</v>
      </c>
      <c r="Y277" s="11">
        <f t="array" ref="Y277">XLOOKUP(A:A,'Raw Revenue'!G:G,'Raw Revenue'!H:H,0)</f>
        <v>0</v>
      </c>
      <c r="Z277" s="11">
        <f t="array" ref="Z277">XLOOKUP(A:A,'Raw Revenue'!I:I,'Raw Revenue'!J:J,0)</f>
        <v>0</v>
      </c>
      <c r="AA277" s="11">
        <f t="array" ref="AA277">XLOOKUP(A:A,'Raw Revenue'!K:K,'Raw Revenue'!L:L,0)</f>
        <v>0</v>
      </c>
      <c r="AB277" s="11">
        <f t="array" ref="AB277">XLOOKUP(A:A,'Raw Revenue'!M:M,'Raw Revenue'!N:N,0)</f>
        <v>0</v>
      </c>
      <c r="AC277" s="3">
        <v>0.0</v>
      </c>
      <c r="AD277" s="3">
        <v>0.0</v>
      </c>
      <c r="AE277" s="3">
        <v>0.0</v>
      </c>
      <c r="AF277" s="3">
        <v>0.0</v>
      </c>
      <c r="AG277" s="3">
        <v>0.0</v>
      </c>
    </row>
    <row r="278">
      <c r="A278" s="3" t="s">
        <v>846</v>
      </c>
      <c r="B278" s="3" t="s">
        <v>847</v>
      </c>
      <c r="C278" s="3" t="str">
        <f t="shared" si="1"/>
        <v>PT. Berkah Alam Semesta</v>
      </c>
      <c r="D278" s="3" t="s">
        <v>195</v>
      </c>
      <c r="E278" s="3" t="s">
        <v>85</v>
      </c>
      <c r="F278" s="3" t="s">
        <v>86</v>
      </c>
      <c r="G278" s="3" t="s">
        <v>35</v>
      </c>
      <c r="H278" s="3" t="str">
        <f t="array" ref="H278">XLOOKUP(G:G,'Account Manager Data'!A:A,'Account Manager Data'!B:B,0)</f>
        <v>Ahmad Fauzi</v>
      </c>
      <c r="I278" s="11" t="str">
        <f t="array" ref="I278">XLOOKUP($G:$G,'Account Manager Data'!$A:$A,'Account Manager Data'!C:C)</f>
        <v>Sumatera</v>
      </c>
      <c r="J278" s="17">
        <v>5535111.0</v>
      </c>
      <c r="K278" s="17">
        <v>1593888.0</v>
      </c>
      <c r="L278" s="17">
        <v>9312669.0</v>
      </c>
      <c r="M278" s="17">
        <v>1905720.0</v>
      </c>
      <c r="N278" s="17">
        <v>1.3516706E7</v>
      </c>
      <c r="O278" s="17">
        <v>1.3239236E7</v>
      </c>
      <c r="P278" s="17">
        <v>5799388.0</v>
      </c>
      <c r="Q278" s="17">
        <v>3576849.0</v>
      </c>
      <c r="R278" s="17">
        <v>1.4744544E7</v>
      </c>
      <c r="S278" s="17">
        <v>0.0</v>
      </c>
      <c r="T278" s="17">
        <v>1.340961E7</v>
      </c>
      <c r="U278" s="17">
        <v>1.7094624E7</v>
      </c>
      <c r="V278" s="11">
        <f t="array" ref="V278">XLOOKUP(A:A,'Raw Revenue'!A:A,'Raw Revenue'!B:B,0)
</f>
        <v>0</v>
      </c>
      <c r="W278" s="11">
        <f t="array" ref="W278">XLOOKUP(A:A,'Raw Revenue'!C:C,'Raw Revenue'!D:D,0)</f>
        <v>0</v>
      </c>
      <c r="X278" s="11">
        <f t="array" ref="X278">XLOOKUP(A:A,'Raw Revenue'!E:E,'Raw Revenue'!F:F,0)</f>
        <v>0</v>
      </c>
      <c r="Y278" s="11">
        <f t="array" ref="Y278">XLOOKUP(A:A,'Raw Revenue'!G:G,'Raw Revenue'!H:H,0)</f>
        <v>0</v>
      </c>
      <c r="Z278" s="11">
        <f t="array" ref="Z278">XLOOKUP(A:A,'Raw Revenue'!I:I,'Raw Revenue'!J:J,0)</f>
        <v>0</v>
      </c>
      <c r="AA278" s="11">
        <f t="array" ref="AA278">XLOOKUP(A:A,'Raw Revenue'!K:K,'Raw Revenue'!L:L,0)</f>
        <v>0</v>
      </c>
      <c r="AB278" s="11">
        <f t="array" ref="AB278">XLOOKUP(A:A,'Raw Revenue'!M:M,'Raw Revenue'!N:N,0)</f>
        <v>0</v>
      </c>
      <c r="AC278" s="3">
        <v>0.0</v>
      </c>
      <c r="AD278" s="3">
        <v>0.0</v>
      </c>
      <c r="AE278" s="3">
        <v>0.0</v>
      </c>
      <c r="AF278" s="3">
        <v>0.0</v>
      </c>
      <c r="AG278" s="3">
        <v>0.0</v>
      </c>
    </row>
    <row r="279">
      <c r="A279" s="3" t="s">
        <v>848</v>
      </c>
      <c r="B279" s="3" t="s">
        <v>849</v>
      </c>
      <c r="C279" s="3" t="str">
        <f t="shared" si="1"/>
        <v>PT. Cahaya Baru Indonesia</v>
      </c>
      <c r="D279" s="3" t="s">
        <v>195</v>
      </c>
      <c r="E279" s="3" t="s">
        <v>187</v>
      </c>
      <c r="F279" s="3" t="s">
        <v>269</v>
      </c>
      <c r="G279" s="3" t="s">
        <v>43</v>
      </c>
      <c r="H279" s="3" t="str">
        <f t="array" ref="H279">XLOOKUP(G:G,'Account Manager Data'!A:A,'Account Manager Data'!B:B,0)</f>
        <v>Eko Prasetyo</v>
      </c>
      <c r="I279" s="11" t="str">
        <f t="array" ref="I279">XLOOKUP($G:$G,'Account Manager Data'!$A:$A,'Account Manager Data'!C:C)</f>
        <v>Papua</v>
      </c>
      <c r="J279" s="17">
        <v>7059416.0</v>
      </c>
      <c r="K279" s="17">
        <v>1267617.0</v>
      </c>
      <c r="L279" s="17">
        <v>5923140.0</v>
      </c>
      <c r="M279" s="17">
        <v>9984946.0</v>
      </c>
      <c r="N279" s="17">
        <v>0.0</v>
      </c>
      <c r="O279" s="17">
        <v>2406239.0</v>
      </c>
      <c r="P279" s="17">
        <v>9496736.0</v>
      </c>
      <c r="Q279" s="17">
        <v>2726544.0</v>
      </c>
      <c r="R279" s="17">
        <v>1.3489933E7</v>
      </c>
      <c r="S279" s="17">
        <v>4779600.0</v>
      </c>
      <c r="T279" s="17">
        <v>4044416.0</v>
      </c>
      <c r="U279" s="17">
        <v>1.5070563E7</v>
      </c>
      <c r="V279" s="11">
        <f t="array" ref="V279">XLOOKUP(A:A,'Raw Revenue'!A:A,'Raw Revenue'!B:B,0)
</f>
        <v>0</v>
      </c>
      <c r="W279" s="11">
        <f t="array" ref="W279">XLOOKUP(A:A,'Raw Revenue'!C:C,'Raw Revenue'!D:D,0)</f>
        <v>0</v>
      </c>
      <c r="X279" s="11">
        <f t="array" ref="X279">XLOOKUP(A:A,'Raw Revenue'!E:E,'Raw Revenue'!F:F,0)</f>
        <v>0</v>
      </c>
      <c r="Y279" s="11">
        <f t="array" ref="Y279">XLOOKUP(A:A,'Raw Revenue'!G:G,'Raw Revenue'!H:H,0)</f>
        <v>0</v>
      </c>
      <c r="Z279" s="11">
        <f t="array" ref="Z279">XLOOKUP(A:A,'Raw Revenue'!I:I,'Raw Revenue'!J:J,0)</f>
        <v>0</v>
      </c>
      <c r="AA279" s="11">
        <f t="array" ref="AA279">XLOOKUP(A:A,'Raw Revenue'!K:K,'Raw Revenue'!L:L,0)</f>
        <v>0</v>
      </c>
      <c r="AB279" s="11">
        <f t="array" ref="AB279">XLOOKUP(A:A,'Raw Revenue'!M:M,'Raw Revenue'!N:N,0)</f>
        <v>0</v>
      </c>
      <c r="AC279" s="3">
        <v>0.0</v>
      </c>
      <c r="AD279" s="3">
        <v>0.0</v>
      </c>
      <c r="AE279" s="3">
        <v>0.0</v>
      </c>
      <c r="AF279" s="3">
        <v>0.0</v>
      </c>
      <c r="AG279" s="3">
        <v>0.0</v>
      </c>
    </row>
    <row r="280">
      <c r="A280" s="3" t="s">
        <v>850</v>
      </c>
      <c r="B280" s="3" t="s">
        <v>851</v>
      </c>
      <c r="C280" s="3" t="str">
        <f t="shared" si="1"/>
        <v>PT. Mentari Pagi Sejahtera</v>
      </c>
      <c r="D280" s="3" t="s">
        <v>130</v>
      </c>
      <c r="E280" s="3" t="s">
        <v>85</v>
      </c>
      <c r="F280" s="3" t="s">
        <v>86</v>
      </c>
      <c r="G280" s="3" t="s">
        <v>74</v>
      </c>
      <c r="H280" s="3" t="str">
        <f t="array" ref="H280">XLOOKUP(G:G,'Account Manager Data'!A:A,'Account Manager Data'!B:B,0)</f>
        <v>Budi Santoso</v>
      </c>
      <c r="I280" s="11" t="str">
        <f t="array" ref="I280">XLOOKUP($G:$G,'Account Manager Data'!$A:$A,'Account Manager Data'!C:C)</f>
        <v>Papua</v>
      </c>
      <c r="J280" s="17">
        <v>4879028.0</v>
      </c>
      <c r="K280" s="17">
        <v>76565.0</v>
      </c>
      <c r="L280" s="17">
        <v>9025869.0</v>
      </c>
      <c r="M280" s="17">
        <v>9777804.0</v>
      </c>
      <c r="N280" s="17">
        <v>8111953.0</v>
      </c>
      <c r="O280" s="17">
        <v>1.4297466E7</v>
      </c>
      <c r="P280" s="17">
        <v>6817490.0</v>
      </c>
      <c r="Q280" s="17">
        <v>1.4364925E7</v>
      </c>
      <c r="R280" s="17">
        <v>1.2406608E7</v>
      </c>
      <c r="S280" s="17">
        <v>6550004.0</v>
      </c>
      <c r="T280" s="17">
        <v>1.7405911E7</v>
      </c>
      <c r="U280" s="17">
        <v>8929572.0</v>
      </c>
      <c r="V280" s="11">
        <f t="array" ref="V280">XLOOKUP(A:A,'Raw Revenue'!A:A,'Raw Revenue'!B:B,0)
</f>
        <v>0</v>
      </c>
      <c r="W280" s="11">
        <f t="array" ref="W280">XLOOKUP(A:A,'Raw Revenue'!C:C,'Raw Revenue'!D:D,0)</f>
        <v>0</v>
      </c>
      <c r="X280" s="11">
        <f t="array" ref="X280">XLOOKUP(A:A,'Raw Revenue'!E:E,'Raw Revenue'!F:F,0)</f>
        <v>0</v>
      </c>
      <c r="Y280" s="11">
        <f t="array" ref="Y280">XLOOKUP(A:A,'Raw Revenue'!G:G,'Raw Revenue'!H:H,0)</f>
        <v>0</v>
      </c>
      <c r="Z280" s="11">
        <f t="array" ref="Z280">XLOOKUP(A:A,'Raw Revenue'!I:I,'Raw Revenue'!J:J,0)</f>
        <v>0</v>
      </c>
      <c r="AA280" s="11">
        <f t="array" ref="AA280">XLOOKUP(A:A,'Raw Revenue'!K:K,'Raw Revenue'!L:L,0)</f>
        <v>0</v>
      </c>
      <c r="AB280" s="11">
        <f t="array" ref="AB280">XLOOKUP(A:A,'Raw Revenue'!M:M,'Raw Revenue'!N:N,0)</f>
        <v>0</v>
      </c>
      <c r="AC280" s="3">
        <v>0.0</v>
      </c>
      <c r="AD280" s="3">
        <v>0.0</v>
      </c>
      <c r="AE280" s="3">
        <v>0.0</v>
      </c>
      <c r="AF280" s="3">
        <v>0.0</v>
      </c>
      <c r="AG280" s="3">
        <v>0.0</v>
      </c>
    </row>
    <row r="281">
      <c r="A281" s="3" t="s">
        <v>852</v>
      </c>
      <c r="B281" s="3" t="s">
        <v>853</v>
      </c>
      <c r="C281" s="3" t="str">
        <f t="shared" si="1"/>
        <v>PT. Bintang Kejora Nusantara</v>
      </c>
      <c r="D281" s="3" t="s">
        <v>214</v>
      </c>
      <c r="E281" s="3" t="s">
        <v>215</v>
      </c>
      <c r="F281" s="3" t="s">
        <v>227</v>
      </c>
      <c r="G281" s="3" t="s">
        <v>76</v>
      </c>
      <c r="H281" s="3" t="str">
        <f t="array" ref="H281">XLOOKUP(G:G,'Account Manager Data'!A:A,'Account Manager Data'!B:B,0)</f>
        <v>Teguh Wijaya</v>
      </c>
      <c r="I281" s="11" t="str">
        <f t="array" ref="I281">XLOOKUP($G:$G,'Account Manager Data'!$A:$A,'Account Manager Data'!C:C)</f>
        <v>Sulawesi</v>
      </c>
      <c r="J281" s="17">
        <v>512970.0</v>
      </c>
      <c r="K281" s="17">
        <v>3737197.0</v>
      </c>
      <c r="L281" s="17">
        <v>971051.0</v>
      </c>
      <c r="M281" s="17">
        <v>0.0</v>
      </c>
      <c r="N281" s="17">
        <v>5037557.0</v>
      </c>
      <c r="O281" s="17">
        <v>5548282.0</v>
      </c>
      <c r="P281" s="17">
        <v>298807.0</v>
      </c>
      <c r="Q281" s="17">
        <v>3668388.0</v>
      </c>
      <c r="R281" s="17">
        <v>0.0</v>
      </c>
      <c r="S281" s="17">
        <v>4369573.0</v>
      </c>
      <c r="T281" s="17">
        <v>1.6320143E7</v>
      </c>
      <c r="U281" s="17">
        <v>0.0</v>
      </c>
      <c r="V281" s="11">
        <f t="array" ref="V281">XLOOKUP(A:A,'Raw Revenue'!A:A,'Raw Revenue'!B:B,0)
</f>
        <v>0</v>
      </c>
      <c r="W281" s="11">
        <f t="array" ref="W281">XLOOKUP(A:A,'Raw Revenue'!C:C,'Raw Revenue'!D:D,0)</f>
        <v>0</v>
      </c>
      <c r="X281" s="11">
        <f t="array" ref="X281">XLOOKUP(A:A,'Raw Revenue'!E:E,'Raw Revenue'!F:F,0)</f>
        <v>0</v>
      </c>
      <c r="Y281" s="11">
        <f t="array" ref="Y281">XLOOKUP(A:A,'Raw Revenue'!G:G,'Raw Revenue'!H:H,0)</f>
        <v>0</v>
      </c>
      <c r="Z281" s="11">
        <f t="array" ref="Z281">XLOOKUP(A:A,'Raw Revenue'!I:I,'Raw Revenue'!J:J,0)</f>
        <v>0</v>
      </c>
      <c r="AA281" s="11">
        <f t="array" ref="AA281">XLOOKUP(A:A,'Raw Revenue'!K:K,'Raw Revenue'!L:L,0)</f>
        <v>0</v>
      </c>
      <c r="AB281" s="11">
        <f t="array" ref="AB281">XLOOKUP(A:A,'Raw Revenue'!M:M,'Raw Revenue'!N:N,0)</f>
        <v>0</v>
      </c>
      <c r="AC281" s="3">
        <v>0.0</v>
      </c>
      <c r="AD281" s="3">
        <v>0.0</v>
      </c>
      <c r="AE281" s="3">
        <v>0.0</v>
      </c>
      <c r="AF281" s="3">
        <v>0.0</v>
      </c>
      <c r="AG281" s="3">
        <v>0.0</v>
      </c>
    </row>
    <row r="282">
      <c r="A282" s="3" t="s">
        <v>854</v>
      </c>
      <c r="B282" s="3" t="s">
        <v>855</v>
      </c>
      <c r="C282" s="3" t="str">
        <f t="shared" si="1"/>
        <v>PT. Maju Jaya</v>
      </c>
      <c r="D282" s="3" t="s">
        <v>186</v>
      </c>
      <c r="E282" s="3" t="s">
        <v>196</v>
      </c>
      <c r="F282" s="3" t="s">
        <v>197</v>
      </c>
      <c r="G282" s="3" t="s">
        <v>70</v>
      </c>
      <c r="H282" s="3" t="str">
        <f t="array" ref="H282">XLOOKUP(G:G,'Account Manager Data'!A:A,'Account Manager Data'!B:B,0)</f>
        <v>Yusuf Hidayat</v>
      </c>
      <c r="I282" s="11" t="str">
        <f t="array" ref="I282">XLOOKUP($G:$G,'Account Manager Data'!$A:$A,'Account Manager Data'!C:C)</f>
        <v>Sumatera</v>
      </c>
      <c r="J282" s="17">
        <v>8136834.0</v>
      </c>
      <c r="K282" s="17">
        <v>178967.0</v>
      </c>
      <c r="L282" s="17">
        <v>922704.0</v>
      </c>
      <c r="M282" s="17">
        <v>1935546.0</v>
      </c>
      <c r="N282" s="17">
        <v>2267399.0</v>
      </c>
      <c r="O282" s="17">
        <v>1.4561826E7</v>
      </c>
      <c r="P282" s="17">
        <v>0.0</v>
      </c>
      <c r="Q282" s="17">
        <v>9526864.0</v>
      </c>
      <c r="R282" s="17">
        <v>3572999.0</v>
      </c>
      <c r="S282" s="17">
        <v>3531712.0</v>
      </c>
      <c r="T282" s="17">
        <v>1.8253479E7</v>
      </c>
      <c r="U282" s="17">
        <v>4759176.0</v>
      </c>
      <c r="V282" s="11">
        <f t="array" ref="V282">XLOOKUP(A:A,'Raw Revenue'!A:A,'Raw Revenue'!B:B,0)
</f>
        <v>0</v>
      </c>
      <c r="W282" s="11">
        <f t="array" ref="W282">XLOOKUP(A:A,'Raw Revenue'!C:C,'Raw Revenue'!D:D,0)</f>
        <v>0</v>
      </c>
      <c r="X282" s="11">
        <f t="array" ref="X282">XLOOKUP(A:A,'Raw Revenue'!E:E,'Raw Revenue'!F:F,0)</f>
        <v>0</v>
      </c>
      <c r="Y282" s="11">
        <f t="array" ref="Y282">XLOOKUP(A:A,'Raw Revenue'!G:G,'Raw Revenue'!H:H,0)</f>
        <v>0</v>
      </c>
      <c r="Z282" s="11">
        <f t="array" ref="Z282">XLOOKUP(A:A,'Raw Revenue'!I:I,'Raw Revenue'!J:J,0)</f>
        <v>0</v>
      </c>
      <c r="AA282" s="11">
        <f t="array" ref="AA282">XLOOKUP(A:A,'Raw Revenue'!K:K,'Raw Revenue'!L:L,0)</f>
        <v>0</v>
      </c>
      <c r="AB282" s="11">
        <f t="array" ref="AB282">XLOOKUP(A:A,'Raw Revenue'!M:M,'Raw Revenue'!N:N,0)</f>
        <v>0</v>
      </c>
      <c r="AC282" s="3">
        <v>0.0</v>
      </c>
      <c r="AD282" s="3">
        <v>0.0</v>
      </c>
      <c r="AE282" s="3">
        <v>0.0</v>
      </c>
      <c r="AF282" s="3">
        <v>0.0</v>
      </c>
      <c r="AG282" s="3">
        <v>0.0</v>
      </c>
    </row>
    <row r="283">
      <c r="A283" s="3" t="s">
        <v>856</v>
      </c>
      <c r="B283" s="3" t="s">
        <v>857</v>
      </c>
      <c r="C283" s="3" t="str">
        <f t="shared" si="1"/>
        <v>CV. Sumber Makmur</v>
      </c>
      <c r="D283" s="3" t="s">
        <v>130</v>
      </c>
      <c r="E283" s="3" t="s">
        <v>85</v>
      </c>
      <c r="F283" s="3" t="s">
        <v>407</v>
      </c>
      <c r="G283" s="3" t="s">
        <v>15</v>
      </c>
      <c r="H283" s="3" t="str">
        <f t="array" ref="H283">XLOOKUP(G:G,'Account Manager Data'!A:A,'Account Manager Data'!B:B,0)</f>
        <v>Rizky Maulana</v>
      </c>
      <c r="I283" s="11" t="str">
        <f t="array" ref="I283">XLOOKUP($G:$G,'Account Manager Data'!$A:$A,'Account Manager Data'!C:C)</f>
        <v>Jawa</v>
      </c>
      <c r="J283" s="17">
        <v>5070843.0</v>
      </c>
      <c r="K283" s="17">
        <v>912363.0</v>
      </c>
      <c r="L283" s="17">
        <v>5662478.0</v>
      </c>
      <c r="M283" s="17">
        <v>0.0</v>
      </c>
      <c r="N283" s="17">
        <v>0.0</v>
      </c>
      <c r="O283" s="17">
        <v>1084674.0</v>
      </c>
      <c r="P283" s="17">
        <v>2406885.0</v>
      </c>
      <c r="Q283" s="17">
        <v>312774.0</v>
      </c>
      <c r="R283" s="17">
        <v>1629555.0</v>
      </c>
      <c r="S283" s="17">
        <v>0.0</v>
      </c>
      <c r="T283" s="17">
        <v>1.9109546E7</v>
      </c>
      <c r="U283" s="17">
        <v>1.0712011E7</v>
      </c>
      <c r="V283" s="11">
        <f t="array" ref="V283">XLOOKUP(A:A,'Raw Revenue'!A:A,'Raw Revenue'!B:B,0)
</f>
        <v>0</v>
      </c>
      <c r="W283" s="11">
        <f t="array" ref="W283">XLOOKUP(A:A,'Raw Revenue'!C:C,'Raw Revenue'!D:D,0)</f>
        <v>0</v>
      </c>
      <c r="X283" s="11">
        <f t="array" ref="X283">XLOOKUP(A:A,'Raw Revenue'!E:E,'Raw Revenue'!F:F,0)</f>
        <v>0</v>
      </c>
      <c r="Y283" s="11">
        <f t="array" ref="Y283">XLOOKUP(A:A,'Raw Revenue'!G:G,'Raw Revenue'!H:H,0)</f>
        <v>0</v>
      </c>
      <c r="Z283" s="11">
        <f t="array" ref="Z283">XLOOKUP(A:A,'Raw Revenue'!I:I,'Raw Revenue'!J:J,0)</f>
        <v>0</v>
      </c>
      <c r="AA283" s="11">
        <f t="array" ref="AA283">XLOOKUP(A:A,'Raw Revenue'!K:K,'Raw Revenue'!L:L,0)</f>
        <v>0</v>
      </c>
      <c r="AB283" s="11">
        <f t="array" ref="AB283">XLOOKUP(A:A,'Raw Revenue'!M:M,'Raw Revenue'!N:N,0)</f>
        <v>0</v>
      </c>
      <c r="AC283" s="3">
        <v>0.0</v>
      </c>
      <c r="AD283" s="3">
        <v>0.0</v>
      </c>
      <c r="AE283" s="3">
        <v>0.0</v>
      </c>
      <c r="AF283" s="3">
        <v>0.0</v>
      </c>
      <c r="AG283" s="3">
        <v>0.0</v>
      </c>
    </row>
    <row r="284">
      <c r="A284" s="3" t="s">
        <v>858</v>
      </c>
      <c r="B284" s="3" t="s">
        <v>859</v>
      </c>
      <c r="C284" s="3" t="str">
        <f t="shared" si="1"/>
        <v>PT. Teknologi Nusantara</v>
      </c>
      <c r="D284" s="3" t="s">
        <v>186</v>
      </c>
      <c r="E284" s="3" t="s">
        <v>85</v>
      </c>
      <c r="F284" s="3" t="s">
        <v>248</v>
      </c>
      <c r="G284" s="3" t="s">
        <v>27</v>
      </c>
      <c r="H284" s="3" t="str">
        <f t="array" ref="H284">XLOOKUP(G:G,'Account Manager Data'!A:A,'Account Manager Data'!B:B,0)</f>
        <v>Dedi Kurniawan</v>
      </c>
      <c r="I284" s="11" t="str">
        <f t="array" ref="I284">XLOOKUP($G:$G,'Account Manager Data'!$A:$A,'Account Manager Data'!C:C)</f>
        <v>Kalimantan</v>
      </c>
      <c r="J284" s="17">
        <v>6962350.0</v>
      </c>
      <c r="K284" s="17">
        <v>6502237.0</v>
      </c>
      <c r="L284" s="17">
        <v>3392507.0</v>
      </c>
      <c r="M284" s="17">
        <v>609929.0</v>
      </c>
      <c r="N284" s="17">
        <v>2102649.0</v>
      </c>
      <c r="O284" s="17">
        <v>9539918.0</v>
      </c>
      <c r="P284" s="17">
        <v>1225468.0</v>
      </c>
      <c r="Q284" s="17">
        <v>529804.0</v>
      </c>
      <c r="R284" s="17">
        <v>4388443.0</v>
      </c>
      <c r="S284" s="17">
        <v>1950268.0</v>
      </c>
      <c r="T284" s="17">
        <v>0.0</v>
      </c>
      <c r="U284" s="17">
        <v>8091883.0</v>
      </c>
      <c r="V284" s="11">
        <f t="array" ref="V284">XLOOKUP(A:A,'Raw Revenue'!A:A,'Raw Revenue'!B:B,0)
</f>
        <v>0</v>
      </c>
      <c r="W284" s="11">
        <f t="array" ref="W284">XLOOKUP(A:A,'Raw Revenue'!C:C,'Raw Revenue'!D:D,0)</f>
        <v>0</v>
      </c>
      <c r="X284" s="11">
        <f t="array" ref="X284">XLOOKUP(A:A,'Raw Revenue'!E:E,'Raw Revenue'!F:F,0)</f>
        <v>0</v>
      </c>
      <c r="Y284" s="11">
        <f t="array" ref="Y284">XLOOKUP(A:A,'Raw Revenue'!G:G,'Raw Revenue'!H:H,0)</f>
        <v>0</v>
      </c>
      <c r="Z284" s="11">
        <f t="array" ref="Z284">XLOOKUP(A:A,'Raw Revenue'!I:I,'Raw Revenue'!J:J,0)</f>
        <v>0</v>
      </c>
      <c r="AA284" s="11">
        <f t="array" ref="AA284">XLOOKUP(A:A,'Raw Revenue'!K:K,'Raw Revenue'!L:L,0)</f>
        <v>0</v>
      </c>
      <c r="AB284" s="11">
        <f t="array" ref="AB284">XLOOKUP(A:A,'Raw Revenue'!M:M,'Raw Revenue'!N:N,0)</f>
        <v>0</v>
      </c>
      <c r="AC284" s="3">
        <v>0.0</v>
      </c>
      <c r="AD284" s="3">
        <v>0.0</v>
      </c>
      <c r="AE284" s="3">
        <v>0.0</v>
      </c>
      <c r="AF284" s="3">
        <v>0.0</v>
      </c>
      <c r="AG284" s="3">
        <v>0.0</v>
      </c>
    </row>
    <row r="285">
      <c r="A285" s="3" t="s">
        <v>860</v>
      </c>
      <c r="B285" s="3" t="s">
        <v>861</v>
      </c>
      <c r="C285" s="3" t="str">
        <f t="shared" si="1"/>
        <v>PT. Bakti Indonesia</v>
      </c>
      <c r="D285" s="3" t="s">
        <v>195</v>
      </c>
      <c r="E285" s="3" t="s">
        <v>85</v>
      </c>
      <c r="F285" s="3" t="s">
        <v>248</v>
      </c>
      <c r="G285" s="3" t="s">
        <v>78</v>
      </c>
      <c r="H285" s="3" t="str">
        <f t="array" ref="H285">XLOOKUP(G:G,'Account Manager Data'!A:A,'Account Manager Data'!B:B,0)</f>
        <v>Ilham Saputra</v>
      </c>
      <c r="I285" s="11" t="str">
        <f t="array" ref="I285">XLOOKUP($G:$G,'Account Manager Data'!$A:$A,'Account Manager Data'!C:C)</f>
        <v>Jawa</v>
      </c>
      <c r="J285" s="17">
        <v>2262288.0</v>
      </c>
      <c r="K285" s="17">
        <v>3498631.0</v>
      </c>
      <c r="L285" s="17">
        <v>5885844.0</v>
      </c>
      <c r="M285" s="17">
        <v>7931767.0</v>
      </c>
      <c r="N285" s="17">
        <v>9316410.0</v>
      </c>
      <c r="O285" s="17">
        <v>9231120.0</v>
      </c>
      <c r="P285" s="17">
        <v>0.0</v>
      </c>
      <c r="Q285" s="17">
        <v>1455049.0</v>
      </c>
      <c r="R285" s="17">
        <v>4130969.0</v>
      </c>
      <c r="S285" s="17">
        <v>1.117204E7</v>
      </c>
      <c r="T285" s="17">
        <v>1.2015378E7</v>
      </c>
      <c r="U285" s="17">
        <v>1.7768854E7</v>
      </c>
      <c r="V285" s="11">
        <f t="array" ref="V285">XLOOKUP(A:A,'Raw Revenue'!A:A,'Raw Revenue'!B:B,0)
</f>
        <v>0</v>
      </c>
      <c r="W285" s="11">
        <f t="array" ref="W285">XLOOKUP(A:A,'Raw Revenue'!C:C,'Raw Revenue'!D:D,0)</f>
        <v>0</v>
      </c>
      <c r="X285" s="11">
        <f t="array" ref="X285">XLOOKUP(A:A,'Raw Revenue'!E:E,'Raw Revenue'!F:F,0)</f>
        <v>0</v>
      </c>
      <c r="Y285" s="11">
        <f t="array" ref="Y285">XLOOKUP(A:A,'Raw Revenue'!G:G,'Raw Revenue'!H:H,0)</f>
        <v>0</v>
      </c>
      <c r="Z285" s="11">
        <f t="array" ref="Z285">XLOOKUP(A:A,'Raw Revenue'!I:I,'Raw Revenue'!J:J,0)</f>
        <v>0</v>
      </c>
      <c r="AA285" s="11">
        <f t="array" ref="AA285">XLOOKUP(A:A,'Raw Revenue'!K:K,'Raw Revenue'!L:L,0)</f>
        <v>0</v>
      </c>
      <c r="AB285" s="11">
        <f t="array" ref="AB285">XLOOKUP(A:A,'Raw Revenue'!M:M,'Raw Revenue'!N:N,0)</f>
        <v>0</v>
      </c>
      <c r="AC285" s="3">
        <v>0.0</v>
      </c>
      <c r="AD285" s="3">
        <v>0.0</v>
      </c>
      <c r="AE285" s="3">
        <v>0.0</v>
      </c>
      <c r="AF285" s="3">
        <v>0.0</v>
      </c>
      <c r="AG285" s="3">
        <v>0.0</v>
      </c>
    </row>
    <row r="286">
      <c r="A286" s="3" t="s">
        <v>862</v>
      </c>
      <c r="B286" s="3" t="s">
        <v>863</v>
      </c>
      <c r="C286" s="3" t="str">
        <f t="shared" si="1"/>
        <v>CV. Amanah Sejahtera</v>
      </c>
      <c r="D286" s="3" t="s">
        <v>214</v>
      </c>
      <c r="E286" s="3" t="s">
        <v>85</v>
      </c>
      <c r="F286" s="3" t="s">
        <v>86</v>
      </c>
      <c r="G286" s="3" t="s">
        <v>53</v>
      </c>
      <c r="H286" s="3" t="str">
        <f t="array" ref="H286">XLOOKUP(G:G,'Account Manager Data'!A:A,'Account Manager Data'!B:B,0)</f>
        <v>Fajar Ramadhan</v>
      </c>
      <c r="I286" s="11" t="str">
        <f t="array" ref="I286">XLOOKUP($G:$G,'Account Manager Data'!$A:$A,'Account Manager Data'!C:C)</f>
        <v>Sulawesi</v>
      </c>
      <c r="J286" s="17">
        <v>37048.0</v>
      </c>
      <c r="K286" s="17">
        <v>5859600.0</v>
      </c>
      <c r="L286" s="17">
        <v>8293479.0</v>
      </c>
      <c r="M286" s="17">
        <v>5332008.0</v>
      </c>
      <c r="N286" s="17">
        <v>1.0947383E7</v>
      </c>
      <c r="O286" s="17">
        <v>1.0648395E7</v>
      </c>
      <c r="P286" s="17">
        <v>9170923.0</v>
      </c>
      <c r="Q286" s="17">
        <v>6494399.0</v>
      </c>
      <c r="R286" s="17">
        <v>72691.0</v>
      </c>
      <c r="S286" s="17">
        <v>6679006.0</v>
      </c>
      <c r="T286" s="17">
        <v>1.7168877E7</v>
      </c>
      <c r="U286" s="17">
        <v>1.1012346E7</v>
      </c>
      <c r="V286" s="11">
        <f t="array" ref="V286">XLOOKUP(A:A,'Raw Revenue'!A:A,'Raw Revenue'!B:B,0)
</f>
        <v>0</v>
      </c>
      <c r="W286" s="11">
        <f t="array" ref="W286">XLOOKUP(A:A,'Raw Revenue'!C:C,'Raw Revenue'!D:D,0)</f>
        <v>0</v>
      </c>
      <c r="X286" s="11">
        <f t="array" ref="X286">XLOOKUP(A:A,'Raw Revenue'!E:E,'Raw Revenue'!F:F,0)</f>
        <v>0</v>
      </c>
      <c r="Y286" s="11">
        <f t="array" ref="Y286">XLOOKUP(A:A,'Raw Revenue'!G:G,'Raw Revenue'!H:H,0)</f>
        <v>0</v>
      </c>
      <c r="Z286" s="11">
        <f t="array" ref="Z286">XLOOKUP(A:A,'Raw Revenue'!I:I,'Raw Revenue'!J:J,0)</f>
        <v>0</v>
      </c>
      <c r="AA286" s="11">
        <f t="array" ref="AA286">XLOOKUP(A:A,'Raw Revenue'!K:K,'Raw Revenue'!L:L,0)</f>
        <v>0</v>
      </c>
      <c r="AB286" s="11">
        <f t="array" ref="AB286">XLOOKUP(A:A,'Raw Revenue'!M:M,'Raw Revenue'!N:N,0)</f>
        <v>0</v>
      </c>
      <c r="AC286" s="3">
        <v>0.0</v>
      </c>
      <c r="AD286" s="3">
        <v>0.0</v>
      </c>
      <c r="AE286" s="3">
        <v>0.0</v>
      </c>
      <c r="AF286" s="3">
        <v>0.0</v>
      </c>
      <c r="AG286" s="3">
        <v>0.0</v>
      </c>
    </row>
    <row r="287">
      <c r="A287" s="3" t="s">
        <v>864</v>
      </c>
      <c r="B287" s="3" t="s">
        <v>865</v>
      </c>
      <c r="C287" s="3" t="str">
        <f t="shared" si="1"/>
        <v>PT. Digital Solusi Pratama</v>
      </c>
      <c r="D287" s="3" t="s">
        <v>214</v>
      </c>
      <c r="E287" s="3" t="s">
        <v>85</v>
      </c>
      <c r="F287" s="3" t="s">
        <v>86</v>
      </c>
      <c r="G287" s="3" t="s">
        <v>63</v>
      </c>
      <c r="H287" s="3" t="str">
        <f t="array" ref="H287">XLOOKUP(G:G,'Account Manager Data'!A:A,'Account Manager Data'!B:B,0)</f>
        <v>Hendra Gunawan</v>
      </c>
      <c r="I287" s="11" t="str">
        <f t="array" ref="I287">XLOOKUP($G:$G,'Account Manager Data'!$A:$A,'Account Manager Data'!C:C)</f>
        <v>Kalimantan</v>
      </c>
      <c r="J287" s="17">
        <v>6434500.0</v>
      </c>
      <c r="K287" s="17">
        <v>398405.0</v>
      </c>
      <c r="L287" s="17">
        <v>9846871.0</v>
      </c>
      <c r="M287" s="17">
        <v>4908362.0</v>
      </c>
      <c r="N287" s="17">
        <v>1.1487962E7</v>
      </c>
      <c r="O287" s="17">
        <v>1.1779708E7</v>
      </c>
      <c r="P287" s="17">
        <v>4460974.0</v>
      </c>
      <c r="Q287" s="17">
        <v>1.5431739E7</v>
      </c>
      <c r="R287" s="17">
        <v>49645.0</v>
      </c>
      <c r="S287" s="17">
        <v>9859252.0</v>
      </c>
      <c r="T287" s="17">
        <v>7530695.0</v>
      </c>
      <c r="U287" s="17">
        <v>1.540343E7</v>
      </c>
      <c r="V287" s="11">
        <f t="array" ref="V287">XLOOKUP(A:A,'Raw Revenue'!A:A,'Raw Revenue'!B:B,0)
</f>
        <v>0</v>
      </c>
      <c r="W287" s="11">
        <f t="array" ref="W287">XLOOKUP(A:A,'Raw Revenue'!C:C,'Raw Revenue'!D:D,0)</f>
        <v>0</v>
      </c>
      <c r="X287" s="11">
        <f t="array" ref="X287">XLOOKUP(A:A,'Raw Revenue'!E:E,'Raw Revenue'!F:F,0)</f>
        <v>0</v>
      </c>
      <c r="Y287" s="11">
        <f t="array" ref="Y287">XLOOKUP(A:A,'Raw Revenue'!G:G,'Raw Revenue'!H:H,0)</f>
        <v>0</v>
      </c>
      <c r="Z287" s="11">
        <f t="array" ref="Z287">XLOOKUP(A:A,'Raw Revenue'!I:I,'Raw Revenue'!J:J,0)</f>
        <v>0</v>
      </c>
      <c r="AA287" s="11">
        <f t="array" ref="AA287">XLOOKUP(A:A,'Raw Revenue'!K:K,'Raw Revenue'!L:L,0)</f>
        <v>0</v>
      </c>
      <c r="AB287" s="11">
        <f t="array" ref="AB287">XLOOKUP(A:A,'Raw Revenue'!M:M,'Raw Revenue'!N:N,0)</f>
        <v>0</v>
      </c>
      <c r="AC287" s="3">
        <v>0.0</v>
      </c>
      <c r="AD287" s="3">
        <v>0.0</v>
      </c>
      <c r="AE287" s="3">
        <v>0.0</v>
      </c>
      <c r="AF287" s="3">
        <v>0.0</v>
      </c>
      <c r="AG287" s="3">
        <v>0.0</v>
      </c>
    </row>
    <row r="288">
      <c r="A288" s="3" t="s">
        <v>207</v>
      </c>
      <c r="B288" s="3" t="s">
        <v>866</v>
      </c>
      <c r="C288" s="3" t="str">
        <f t="shared" si="1"/>
        <v>PT. Global Niaga Abadi</v>
      </c>
      <c r="D288" s="3" t="s">
        <v>103</v>
      </c>
      <c r="E288" s="3" t="s">
        <v>215</v>
      </c>
      <c r="F288" s="3" t="s">
        <v>216</v>
      </c>
      <c r="G288" s="3" t="s">
        <v>35</v>
      </c>
      <c r="H288" s="3" t="str">
        <f t="array" ref="H288">XLOOKUP(G:G,'Account Manager Data'!A:A,'Account Manager Data'!B:B,0)</f>
        <v>Ahmad Fauzi</v>
      </c>
      <c r="I288" s="11" t="str">
        <f t="array" ref="I288">XLOOKUP($G:$G,'Account Manager Data'!$A:$A,'Account Manager Data'!C:C)</f>
        <v>Sumatera</v>
      </c>
      <c r="J288" s="17">
        <v>1655252.0</v>
      </c>
      <c r="K288" s="17">
        <v>5000168.0</v>
      </c>
      <c r="L288" s="17">
        <v>991770.0</v>
      </c>
      <c r="M288" s="17">
        <v>3276581.0</v>
      </c>
      <c r="N288" s="17">
        <v>8147236.0</v>
      </c>
      <c r="O288" s="17">
        <v>6697761.0</v>
      </c>
      <c r="P288" s="17">
        <v>1.2493257E7</v>
      </c>
      <c r="Q288" s="17">
        <v>7928775.0</v>
      </c>
      <c r="R288" s="17">
        <v>1.7049544E7</v>
      </c>
      <c r="S288" s="17">
        <v>1.2392216E7</v>
      </c>
      <c r="T288" s="17">
        <v>2525852.0</v>
      </c>
      <c r="U288" s="17">
        <v>305229.0</v>
      </c>
      <c r="V288" s="11">
        <f t="array" ref="V288">XLOOKUP(A:A,'Raw Revenue'!A:A,'Raw Revenue'!B:B,0)
</f>
        <v>7711764.125</v>
      </c>
      <c r="W288" s="11">
        <f t="array" ref="W288">XLOOKUP(A:A,'Raw Revenue'!C:C,'Raw Revenue'!D:D,0)</f>
        <v>7711764.125</v>
      </c>
      <c r="X288" s="11">
        <f t="array" ref="X288">XLOOKUP(A:A,'Raw Revenue'!E:E,'Raw Revenue'!F:F,0)</f>
        <v>15423528.25</v>
      </c>
      <c r="Y288" s="11">
        <f t="array" ref="Y288">XLOOKUP(A:A,'Raw Revenue'!G:G,'Raw Revenue'!H:H,0)</f>
        <v>12595881.4</v>
      </c>
      <c r="Z288" s="11">
        <f t="array" ref="Z288">XLOOKUP(A:A,'Raw Revenue'!I:I,'Raw Revenue'!J:J,0)</f>
        <v>11310587.38</v>
      </c>
      <c r="AA288" s="11">
        <f t="array" ref="AA288">XLOOKUP(A:A,'Raw Revenue'!K:K,'Raw Revenue'!L:L,0)</f>
        <v>28919115.47</v>
      </c>
      <c r="AB288" s="11">
        <f t="array" ref="AB288">XLOOKUP(A:A,'Raw Revenue'!M:M,'Raw Revenue'!N:N,0)</f>
        <v>26605586.23</v>
      </c>
      <c r="AC288" s="3">
        <v>0.0</v>
      </c>
      <c r="AD288" s="3">
        <v>0.0</v>
      </c>
      <c r="AE288" s="3">
        <v>0.0</v>
      </c>
      <c r="AF288" s="3">
        <v>0.0</v>
      </c>
      <c r="AG288" s="3">
        <v>0.0</v>
      </c>
    </row>
    <row r="289">
      <c r="A289" s="3" t="s">
        <v>867</v>
      </c>
      <c r="B289" s="3" t="s">
        <v>868</v>
      </c>
      <c r="C289" s="3" t="str">
        <f t="shared" si="1"/>
        <v>PT. Indo Makmur Sentosa</v>
      </c>
      <c r="D289" s="3" t="s">
        <v>214</v>
      </c>
      <c r="E289" s="3" t="s">
        <v>85</v>
      </c>
      <c r="F289" s="3" t="s">
        <v>248</v>
      </c>
      <c r="G289" s="3" t="s">
        <v>74</v>
      </c>
      <c r="H289" s="3" t="str">
        <f t="array" ref="H289">XLOOKUP(G:G,'Account Manager Data'!A:A,'Account Manager Data'!B:B,0)</f>
        <v>Budi Santoso</v>
      </c>
      <c r="I289" s="11" t="str">
        <f t="array" ref="I289">XLOOKUP($G:$G,'Account Manager Data'!$A:$A,'Account Manager Data'!C:C)</f>
        <v>Papua</v>
      </c>
      <c r="J289" s="17">
        <v>2268445.0</v>
      </c>
      <c r="K289" s="17">
        <v>4351119.0</v>
      </c>
      <c r="L289" s="17">
        <v>5367797.0</v>
      </c>
      <c r="M289" s="17">
        <v>3875859.0</v>
      </c>
      <c r="N289" s="17">
        <v>7365528.0</v>
      </c>
      <c r="O289" s="17">
        <v>5998525.0</v>
      </c>
      <c r="P289" s="17">
        <v>8186550.0</v>
      </c>
      <c r="Q289" s="17">
        <v>1.2706326E7</v>
      </c>
      <c r="R289" s="17">
        <v>3974993.0</v>
      </c>
      <c r="S289" s="17">
        <v>1.5456399E7</v>
      </c>
      <c r="T289" s="17">
        <v>6267578.0</v>
      </c>
      <c r="U289" s="17">
        <v>1.8289097E7</v>
      </c>
      <c r="V289" s="11">
        <f t="array" ref="V289">XLOOKUP(A:A,'Raw Revenue'!A:A,'Raw Revenue'!B:B,0)
</f>
        <v>0</v>
      </c>
      <c r="W289" s="11">
        <f t="array" ref="W289">XLOOKUP(A:A,'Raw Revenue'!C:C,'Raw Revenue'!D:D,0)</f>
        <v>0</v>
      </c>
      <c r="X289" s="11">
        <f t="array" ref="X289">XLOOKUP(A:A,'Raw Revenue'!E:E,'Raw Revenue'!F:F,0)</f>
        <v>0</v>
      </c>
      <c r="Y289" s="11">
        <f t="array" ref="Y289">XLOOKUP(A:A,'Raw Revenue'!G:G,'Raw Revenue'!H:H,0)</f>
        <v>0</v>
      </c>
      <c r="Z289" s="11">
        <f t="array" ref="Z289">XLOOKUP(A:A,'Raw Revenue'!I:I,'Raw Revenue'!J:J,0)</f>
        <v>0</v>
      </c>
      <c r="AA289" s="11">
        <f t="array" ref="AA289">XLOOKUP(A:A,'Raw Revenue'!K:K,'Raw Revenue'!L:L,0)</f>
        <v>0</v>
      </c>
      <c r="AB289" s="11">
        <f t="array" ref="AB289">XLOOKUP(A:A,'Raw Revenue'!M:M,'Raw Revenue'!N:N,0)</f>
        <v>0</v>
      </c>
      <c r="AC289" s="3">
        <v>0.0</v>
      </c>
      <c r="AD289" s="3">
        <v>0.0</v>
      </c>
      <c r="AE289" s="3">
        <v>0.0</v>
      </c>
      <c r="AF289" s="3">
        <v>0.0</v>
      </c>
      <c r="AG289" s="3">
        <v>0.0</v>
      </c>
    </row>
    <row r="290">
      <c r="A290" s="3" t="s">
        <v>869</v>
      </c>
      <c r="B290" s="3" t="s">
        <v>870</v>
      </c>
      <c r="C290" s="3" t="str">
        <f t="shared" si="1"/>
        <v>PT. Citra Mandiri Utama</v>
      </c>
      <c r="D290" s="3" t="s">
        <v>84</v>
      </c>
      <c r="E290" s="3" t="s">
        <v>187</v>
      </c>
      <c r="F290" s="3" t="s">
        <v>295</v>
      </c>
      <c r="G290" s="3" t="s">
        <v>43</v>
      </c>
      <c r="H290" s="3" t="str">
        <f t="array" ref="H290">XLOOKUP(G:G,'Account Manager Data'!A:A,'Account Manager Data'!B:B,0)</f>
        <v>Eko Prasetyo</v>
      </c>
      <c r="I290" s="11" t="str">
        <f t="array" ref="I290">XLOOKUP($G:$G,'Account Manager Data'!$A:$A,'Account Manager Data'!C:C)</f>
        <v>Papua</v>
      </c>
      <c r="J290" s="17">
        <v>3565115.0</v>
      </c>
      <c r="K290" s="17">
        <v>6592213.0</v>
      </c>
      <c r="L290" s="17">
        <v>1.0757524E7</v>
      </c>
      <c r="M290" s="17">
        <v>7776550.0</v>
      </c>
      <c r="N290" s="17">
        <v>7705103.0</v>
      </c>
      <c r="O290" s="17">
        <v>3769056.0</v>
      </c>
      <c r="P290" s="17">
        <v>2482826.0</v>
      </c>
      <c r="Q290" s="17">
        <v>1.5285887E7</v>
      </c>
      <c r="R290" s="17">
        <v>3047632.0</v>
      </c>
      <c r="S290" s="17">
        <v>1.42837E7</v>
      </c>
      <c r="T290" s="17">
        <v>1.118542E7</v>
      </c>
      <c r="U290" s="17">
        <v>6303978.0</v>
      </c>
      <c r="V290" s="11">
        <f t="array" ref="V290">XLOOKUP(A:A,'Raw Revenue'!A:A,'Raw Revenue'!B:B,0)
</f>
        <v>0</v>
      </c>
      <c r="W290" s="11">
        <f t="array" ref="W290">XLOOKUP(A:A,'Raw Revenue'!C:C,'Raw Revenue'!D:D,0)</f>
        <v>0</v>
      </c>
      <c r="X290" s="11">
        <f t="array" ref="X290">XLOOKUP(A:A,'Raw Revenue'!E:E,'Raw Revenue'!F:F,0)</f>
        <v>0</v>
      </c>
      <c r="Y290" s="11">
        <f t="array" ref="Y290">XLOOKUP(A:A,'Raw Revenue'!G:G,'Raw Revenue'!H:H,0)</f>
        <v>0</v>
      </c>
      <c r="Z290" s="11">
        <f t="array" ref="Z290">XLOOKUP(A:A,'Raw Revenue'!I:I,'Raw Revenue'!J:J,0)</f>
        <v>0</v>
      </c>
      <c r="AA290" s="11">
        <f t="array" ref="AA290">XLOOKUP(A:A,'Raw Revenue'!K:K,'Raw Revenue'!L:L,0)</f>
        <v>0</v>
      </c>
      <c r="AB290" s="11">
        <f t="array" ref="AB290">XLOOKUP(A:A,'Raw Revenue'!M:M,'Raw Revenue'!N:N,0)</f>
        <v>0</v>
      </c>
      <c r="AC290" s="3">
        <v>0.0</v>
      </c>
      <c r="AD290" s="3">
        <v>0.0</v>
      </c>
      <c r="AE290" s="3">
        <v>0.0</v>
      </c>
      <c r="AF290" s="3">
        <v>0.0</v>
      </c>
      <c r="AG290" s="3">
        <v>0.0</v>
      </c>
    </row>
    <row r="291">
      <c r="A291" s="3" t="s">
        <v>871</v>
      </c>
      <c r="B291" s="3" t="s">
        <v>872</v>
      </c>
      <c r="C291" s="3" t="str">
        <f t="shared" si="1"/>
        <v>PT. Sinar Dunia Baru</v>
      </c>
      <c r="D291" s="3" t="s">
        <v>186</v>
      </c>
      <c r="E291" s="3" t="s">
        <v>196</v>
      </c>
      <c r="F291" s="3" t="s">
        <v>260</v>
      </c>
      <c r="G291" s="3" t="s">
        <v>76</v>
      </c>
      <c r="H291" s="3" t="str">
        <f t="array" ref="H291">XLOOKUP(G:G,'Account Manager Data'!A:A,'Account Manager Data'!B:B,0)</f>
        <v>Teguh Wijaya</v>
      </c>
      <c r="I291" s="11" t="str">
        <f t="array" ref="I291">XLOOKUP($G:$G,'Account Manager Data'!$A:$A,'Account Manager Data'!C:C)</f>
        <v>Sulawesi</v>
      </c>
      <c r="J291" s="17">
        <v>4612971.0</v>
      </c>
      <c r="K291" s="17">
        <v>1765855.0</v>
      </c>
      <c r="L291" s="17">
        <v>9086287.0</v>
      </c>
      <c r="M291" s="17">
        <v>1949553.0</v>
      </c>
      <c r="N291" s="17">
        <v>7391100.0</v>
      </c>
      <c r="O291" s="17">
        <v>3294655.0</v>
      </c>
      <c r="P291" s="17">
        <v>8288764.0</v>
      </c>
      <c r="Q291" s="17">
        <v>1.2086555E7</v>
      </c>
      <c r="R291" s="17">
        <v>8630466.0</v>
      </c>
      <c r="S291" s="17">
        <v>1.0242272E7</v>
      </c>
      <c r="T291" s="17">
        <v>67208.0</v>
      </c>
      <c r="U291" s="17">
        <v>2004486.0</v>
      </c>
      <c r="V291" s="11">
        <f t="array" ref="V291">XLOOKUP(A:A,'Raw Revenue'!A:A,'Raw Revenue'!B:B,0)
</f>
        <v>0</v>
      </c>
      <c r="W291" s="11">
        <f t="array" ref="W291">XLOOKUP(A:A,'Raw Revenue'!C:C,'Raw Revenue'!D:D,0)</f>
        <v>0</v>
      </c>
      <c r="X291" s="11">
        <f t="array" ref="X291">XLOOKUP(A:A,'Raw Revenue'!E:E,'Raw Revenue'!F:F,0)</f>
        <v>0</v>
      </c>
      <c r="Y291" s="11">
        <f t="array" ref="Y291">XLOOKUP(A:A,'Raw Revenue'!G:G,'Raw Revenue'!H:H,0)</f>
        <v>0</v>
      </c>
      <c r="Z291" s="11">
        <f t="array" ref="Z291">XLOOKUP(A:A,'Raw Revenue'!I:I,'Raw Revenue'!J:J,0)</f>
        <v>0</v>
      </c>
      <c r="AA291" s="11">
        <f t="array" ref="AA291">XLOOKUP(A:A,'Raw Revenue'!K:K,'Raw Revenue'!L:L,0)</f>
        <v>0</v>
      </c>
      <c r="AB291" s="11">
        <f t="array" ref="AB291">XLOOKUP(A:A,'Raw Revenue'!M:M,'Raw Revenue'!N:N,0)</f>
        <v>0</v>
      </c>
      <c r="AC291" s="3">
        <v>0.0</v>
      </c>
      <c r="AD291" s="3">
        <v>0.0</v>
      </c>
      <c r="AE291" s="3">
        <v>0.0</v>
      </c>
      <c r="AF291" s="3">
        <v>0.0</v>
      </c>
      <c r="AG291" s="3">
        <v>0.0</v>
      </c>
    </row>
    <row r="292">
      <c r="A292" s="3" t="s">
        <v>456</v>
      </c>
      <c r="B292" s="3" t="s">
        <v>873</v>
      </c>
      <c r="C292" s="3" t="str">
        <f t="shared" si="1"/>
        <v>CV. Karya Utama Mandiri</v>
      </c>
      <c r="D292" s="3" t="s">
        <v>103</v>
      </c>
      <c r="E292" s="3" t="s">
        <v>85</v>
      </c>
      <c r="F292" s="3" t="s">
        <v>248</v>
      </c>
      <c r="G292" s="3" t="s">
        <v>70</v>
      </c>
      <c r="H292" s="3" t="str">
        <f t="array" ref="H292">XLOOKUP(G:G,'Account Manager Data'!A:A,'Account Manager Data'!B:B,0)</f>
        <v>Yusuf Hidayat</v>
      </c>
      <c r="I292" s="11" t="str">
        <f t="array" ref="I292">XLOOKUP($G:$G,'Account Manager Data'!$A:$A,'Account Manager Data'!C:C)</f>
        <v>Sumatera</v>
      </c>
      <c r="J292" s="17">
        <v>3184417.0</v>
      </c>
      <c r="K292" s="17">
        <v>3734774.0</v>
      </c>
      <c r="L292" s="17">
        <v>7859793.0</v>
      </c>
      <c r="M292" s="17">
        <v>2557660.0</v>
      </c>
      <c r="N292" s="17">
        <v>8213029.0</v>
      </c>
      <c r="O292" s="17">
        <v>1.0036133E7</v>
      </c>
      <c r="P292" s="17">
        <v>5176489.0</v>
      </c>
      <c r="Q292" s="17">
        <v>2634471.0</v>
      </c>
      <c r="R292" s="17">
        <v>4855799.0</v>
      </c>
      <c r="S292" s="17">
        <v>1.5423644E7</v>
      </c>
      <c r="T292" s="17">
        <v>9809119.0</v>
      </c>
      <c r="U292" s="17">
        <v>4976259.0</v>
      </c>
      <c r="V292" s="11">
        <f t="array" ref="V292">XLOOKUP(A:A,'Raw Revenue'!A:A,'Raw Revenue'!B:B,0)
</f>
        <v>1547113.173</v>
      </c>
      <c r="W292" s="11">
        <f t="array" ref="W292">XLOOKUP(A:A,'Raw Revenue'!C:C,'Raw Revenue'!D:D,0)</f>
        <v>773556.5866</v>
      </c>
      <c r="X292" s="11">
        <f t="array" ref="X292">XLOOKUP(A:A,'Raw Revenue'!E:E,'Raw Revenue'!F:F,0)</f>
        <v>464133.952</v>
      </c>
      <c r="Y292" s="11">
        <f t="array" ref="Y292">XLOOKUP(A:A,'Raw Revenue'!G:G,'Raw Revenue'!H:H,0)</f>
        <v>5414896.106</v>
      </c>
      <c r="Z292" s="11">
        <f t="array" ref="Z292">XLOOKUP(A:A,'Raw Revenue'!I:I,'Raw Revenue'!J:J,0)</f>
        <v>1237690.539</v>
      </c>
      <c r="AA292" s="11">
        <f t="array" ref="AA292">XLOOKUP(A:A,'Raw Revenue'!K:K,'Raw Revenue'!L:L,0)</f>
        <v>34810.0464</v>
      </c>
      <c r="AB292" s="11">
        <f t="array" ref="AB292">XLOOKUP(A:A,'Raw Revenue'!M:M,'Raw Revenue'!N:N,0)</f>
        <v>4664546.217</v>
      </c>
      <c r="AC292" s="3">
        <v>0.0</v>
      </c>
      <c r="AD292" s="3">
        <v>0.0</v>
      </c>
      <c r="AE292" s="3">
        <v>0.0</v>
      </c>
      <c r="AF292" s="3">
        <v>0.0</v>
      </c>
      <c r="AG292" s="3">
        <v>0.0</v>
      </c>
    </row>
    <row r="293">
      <c r="A293" s="3" t="s">
        <v>874</v>
      </c>
      <c r="B293" s="3" t="s">
        <v>875</v>
      </c>
      <c r="C293" s="3" t="str">
        <f t="shared" si="1"/>
        <v>PT. Pratama Jaya Sentosa</v>
      </c>
      <c r="D293" s="3" t="s">
        <v>195</v>
      </c>
      <c r="E293" s="3" t="s">
        <v>85</v>
      </c>
      <c r="F293" s="3" t="s">
        <v>248</v>
      </c>
      <c r="G293" s="3" t="s">
        <v>15</v>
      </c>
      <c r="H293" s="3" t="str">
        <f t="array" ref="H293">XLOOKUP(G:G,'Account Manager Data'!A:A,'Account Manager Data'!B:B,0)</f>
        <v>Rizky Maulana</v>
      </c>
      <c r="I293" s="11" t="str">
        <f t="array" ref="I293">XLOOKUP($G:$G,'Account Manager Data'!$A:$A,'Account Manager Data'!C:C)</f>
        <v>Jawa</v>
      </c>
      <c r="J293" s="17">
        <v>3138463.0</v>
      </c>
      <c r="K293" s="17">
        <v>6927684.0</v>
      </c>
      <c r="L293" s="17">
        <v>1836203.0</v>
      </c>
      <c r="M293" s="17">
        <v>1590075.0</v>
      </c>
      <c r="N293" s="17">
        <v>5303024.0</v>
      </c>
      <c r="O293" s="17">
        <v>3057256.0</v>
      </c>
      <c r="P293" s="17">
        <v>4671779.0</v>
      </c>
      <c r="Q293" s="17">
        <v>1.5818571E7</v>
      </c>
      <c r="R293" s="17">
        <v>1.5085218E7</v>
      </c>
      <c r="S293" s="17">
        <v>1.3471792E7</v>
      </c>
      <c r="T293" s="17">
        <v>2927816.0</v>
      </c>
      <c r="U293" s="17">
        <v>1.6348666E7</v>
      </c>
      <c r="V293" s="11">
        <f t="array" ref="V293">XLOOKUP(A:A,'Raw Revenue'!A:A,'Raw Revenue'!B:B,0)
</f>
        <v>0</v>
      </c>
      <c r="W293" s="11">
        <f t="array" ref="W293">XLOOKUP(A:A,'Raw Revenue'!C:C,'Raw Revenue'!D:D,0)</f>
        <v>0</v>
      </c>
      <c r="X293" s="11">
        <f t="array" ref="X293">XLOOKUP(A:A,'Raw Revenue'!E:E,'Raw Revenue'!F:F,0)</f>
        <v>0</v>
      </c>
      <c r="Y293" s="11">
        <f t="array" ref="Y293">XLOOKUP(A:A,'Raw Revenue'!G:G,'Raw Revenue'!H:H,0)</f>
        <v>0</v>
      </c>
      <c r="Z293" s="11">
        <f t="array" ref="Z293">XLOOKUP(A:A,'Raw Revenue'!I:I,'Raw Revenue'!J:J,0)</f>
        <v>0</v>
      </c>
      <c r="AA293" s="11">
        <f t="array" ref="AA293">XLOOKUP(A:A,'Raw Revenue'!K:K,'Raw Revenue'!L:L,0)</f>
        <v>0</v>
      </c>
      <c r="AB293" s="11">
        <f t="array" ref="AB293">XLOOKUP(A:A,'Raw Revenue'!M:M,'Raw Revenue'!N:N,0)</f>
        <v>0</v>
      </c>
      <c r="AC293" s="3">
        <v>0.0</v>
      </c>
      <c r="AD293" s="3">
        <v>0.0</v>
      </c>
      <c r="AE293" s="3">
        <v>0.0</v>
      </c>
      <c r="AF293" s="3">
        <v>0.0</v>
      </c>
      <c r="AG293" s="3">
        <v>0.0</v>
      </c>
    </row>
    <row r="294">
      <c r="A294" s="3" t="s">
        <v>876</v>
      </c>
      <c r="B294" s="3" t="s">
        <v>877</v>
      </c>
      <c r="C294" s="3" t="str">
        <f t="shared" si="1"/>
        <v>PT. Abadi Selamanya Jaya</v>
      </c>
      <c r="D294" s="3" t="s">
        <v>84</v>
      </c>
      <c r="E294" s="3" t="s">
        <v>187</v>
      </c>
      <c r="F294" s="3" t="s">
        <v>295</v>
      </c>
      <c r="G294" s="3" t="s">
        <v>53</v>
      </c>
      <c r="H294" s="3" t="str">
        <f t="array" ref="H294">XLOOKUP(G:G,'Account Manager Data'!A:A,'Account Manager Data'!B:B,0)</f>
        <v>Fajar Ramadhan</v>
      </c>
      <c r="I294" s="11" t="str">
        <f t="array" ref="I294">XLOOKUP($G:$G,'Account Manager Data'!$A:$A,'Account Manager Data'!C:C)</f>
        <v>Sulawesi</v>
      </c>
      <c r="J294" s="17">
        <v>1209839.0</v>
      </c>
      <c r="K294" s="17">
        <v>3501028.0</v>
      </c>
      <c r="L294" s="17">
        <v>410438.0</v>
      </c>
      <c r="M294" s="17">
        <v>9415618.0</v>
      </c>
      <c r="N294" s="17">
        <v>5876594.0</v>
      </c>
      <c r="O294" s="17">
        <v>2431447.0</v>
      </c>
      <c r="P294" s="17">
        <v>0.0</v>
      </c>
      <c r="Q294" s="17">
        <v>1196349.0</v>
      </c>
      <c r="R294" s="17">
        <v>1.5467004E7</v>
      </c>
      <c r="S294" s="17">
        <v>1.4665817E7</v>
      </c>
      <c r="T294" s="17">
        <v>1.3780383E7</v>
      </c>
      <c r="U294" s="17">
        <v>4421387.0</v>
      </c>
      <c r="V294" s="11">
        <f t="array" ref="V294">XLOOKUP(A:A,'Raw Revenue'!A:A,'Raw Revenue'!B:B,0)
</f>
        <v>0</v>
      </c>
      <c r="W294" s="11">
        <f t="array" ref="W294">XLOOKUP(A:A,'Raw Revenue'!C:C,'Raw Revenue'!D:D,0)</f>
        <v>0</v>
      </c>
      <c r="X294" s="11">
        <f t="array" ref="X294">XLOOKUP(A:A,'Raw Revenue'!E:E,'Raw Revenue'!F:F,0)</f>
        <v>0</v>
      </c>
      <c r="Y294" s="11">
        <f t="array" ref="Y294">XLOOKUP(A:A,'Raw Revenue'!G:G,'Raw Revenue'!H:H,0)</f>
        <v>0</v>
      </c>
      <c r="Z294" s="11">
        <f t="array" ref="Z294">XLOOKUP(A:A,'Raw Revenue'!I:I,'Raw Revenue'!J:J,0)</f>
        <v>0</v>
      </c>
      <c r="AA294" s="11">
        <f t="array" ref="AA294">XLOOKUP(A:A,'Raw Revenue'!K:K,'Raw Revenue'!L:L,0)</f>
        <v>0</v>
      </c>
      <c r="AB294" s="11">
        <f t="array" ref="AB294">XLOOKUP(A:A,'Raw Revenue'!M:M,'Raw Revenue'!N:N,0)</f>
        <v>0</v>
      </c>
      <c r="AC294" s="3">
        <v>0.0</v>
      </c>
      <c r="AD294" s="3">
        <v>0.0</v>
      </c>
      <c r="AE294" s="3">
        <v>0.0</v>
      </c>
      <c r="AF294" s="3">
        <v>0.0</v>
      </c>
      <c r="AG294" s="3">
        <v>0.0</v>
      </c>
    </row>
    <row r="295">
      <c r="A295" s="3" t="s">
        <v>878</v>
      </c>
      <c r="B295" s="3" t="s">
        <v>879</v>
      </c>
      <c r="C295" s="3" t="str">
        <f t="shared" si="1"/>
        <v>PT. Mandiri Sejahtera Bersama</v>
      </c>
      <c r="D295" s="3" t="s">
        <v>130</v>
      </c>
      <c r="E295" s="3" t="s">
        <v>104</v>
      </c>
      <c r="F295" s="3" t="s">
        <v>134</v>
      </c>
      <c r="G295" s="3" t="s">
        <v>27</v>
      </c>
      <c r="H295" s="3" t="str">
        <f t="array" ref="H295">XLOOKUP(G:G,'Account Manager Data'!A:A,'Account Manager Data'!B:B,0)</f>
        <v>Dedi Kurniawan</v>
      </c>
      <c r="I295" s="11" t="str">
        <f t="array" ref="I295">XLOOKUP($G:$G,'Account Manager Data'!$A:$A,'Account Manager Data'!C:C)</f>
        <v>Kalimantan</v>
      </c>
      <c r="J295" s="17">
        <v>5052665.0</v>
      </c>
      <c r="K295" s="17">
        <v>3879435.0</v>
      </c>
      <c r="L295" s="17">
        <v>6369503.0</v>
      </c>
      <c r="M295" s="17">
        <v>1.1110577E7</v>
      </c>
      <c r="N295" s="17">
        <v>9863642.0</v>
      </c>
      <c r="O295" s="17">
        <v>3624007.0</v>
      </c>
      <c r="P295" s="17">
        <v>1.527008E7</v>
      </c>
      <c r="Q295" s="17">
        <v>1.3857009E7</v>
      </c>
      <c r="R295" s="17">
        <v>1.3022866E7</v>
      </c>
      <c r="S295" s="17">
        <v>5841066.0</v>
      </c>
      <c r="T295" s="17">
        <v>1.0269398E7</v>
      </c>
      <c r="U295" s="17">
        <v>4172763.0</v>
      </c>
      <c r="V295" s="11">
        <f t="array" ref="V295">XLOOKUP(A:A,'Raw Revenue'!A:A,'Raw Revenue'!B:B,0)
</f>
        <v>0</v>
      </c>
      <c r="W295" s="11">
        <f t="array" ref="W295">XLOOKUP(A:A,'Raw Revenue'!C:C,'Raw Revenue'!D:D,0)</f>
        <v>0</v>
      </c>
      <c r="X295" s="11">
        <f t="array" ref="X295">XLOOKUP(A:A,'Raw Revenue'!E:E,'Raw Revenue'!F:F,0)</f>
        <v>0</v>
      </c>
      <c r="Y295" s="11">
        <f t="array" ref="Y295">XLOOKUP(A:A,'Raw Revenue'!G:G,'Raw Revenue'!H:H,0)</f>
        <v>0</v>
      </c>
      <c r="Z295" s="11">
        <f t="array" ref="Z295">XLOOKUP(A:A,'Raw Revenue'!I:I,'Raw Revenue'!J:J,0)</f>
        <v>0</v>
      </c>
      <c r="AA295" s="11">
        <f t="array" ref="AA295">XLOOKUP(A:A,'Raw Revenue'!K:K,'Raw Revenue'!L:L,0)</f>
        <v>0</v>
      </c>
      <c r="AB295" s="11">
        <f t="array" ref="AB295">XLOOKUP(A:A,'Raw Revenue'!M:M,'Raw Revenue'!N:N,0)</f>
        <v>0</v>
      </c>
      <c r="AC295" s="3">
        <v>0.0</v>
      </c>
      <c r="AD295" s="3">
        <v>0.0</v>
      </c>
      <c r="AE295" s="3">
        <v>0.0</v>
      </c>
      <c r="AF295" s="3">
        <v>0.0</v>
      </c>
      <c r="AG295" s="3">
        <v>0.0</v>
      </c>
    </row>
    <row r="296">
      <c r="A296" s="3" t="s">
        <v>880</v>
      </c>
      <c r="B296" s="3" t="s">
        <v>881</v>
      </c>
      <c r="C296" s="3" t="str">
        <f t="shared" si="1"/>
        <v>PT. Sejahtera Alam Indonesia</v>
      </c>
      <c r="D296" s="3" t="s">
        <v>130</v>
      </c>
      <c r="E296" s="3" t="s">
        <v>85</v>
      </c>
      <c r="F296" s="3" t="s">
        <v>248</v>
      </c>
      <c r="G296" s="3" t="s">
        <v>78</v>
      </c>
      <c r="H296" s="3" t="str">
        <f t="array" ref="H296">XLOOKUP(G:G,'Account Manager Data'!A:A,'Account Manager Data'!B:B,0)</f>
        <v>Ilham Saputra</v>
      </c>
      <c r="I296" s="11" t="str">
        <f t="array" ref="I296">XLOOKUP($G:$G,'Account Manager Data'!$A:$A,'Account Manager Data'!C:C)</f>
        <v>Jawa</v>
      </c>
      <c r="J296" s="17">
        <v>5670522.0</v>
      </c>
      <c r="K296" s="17">
        <v>7910876.0</v>
      </c>
      <c r="L296" s="17">
        <v>3485580.0</v>
      </c>
      <c r="M296" s="17">
        <v>7969266.0</v>
      </c>
      <c r="N296" s="17">
        <v>1.2447174E7</v>
      </c>
      <c r="O296" s="17">
        <v>5302806.0</v>
      </c>
      <c r="P296" s="17">
        <v>6385656.0</v>
      </c>
      <c r="Q296" s="17">
        <v>1.0715535E7</v>
      </c>
      <c r="R296" s="17">
        <v>1.0414952E7</v>
      </c>
      <c r="S296" s="17">
        <v>1.5339016E7</v>
      </c>
      <c r="T296" s="17">
        <v>2747867.0</v>
      </c>
      <c r="U296" s="17">
        <v>5077496.0</v>
      </c>
      <c r="V296" s="11">
        <f t="array" ref="V296">XLOOKUP(A:A,'Raw Revenue'!A:A,'Raw Revenue'!B:B,0)
</f>
        <v>0</v>
      </c>
      <c r="W296" s="11">
        <f t="array" ref="W296">XLOOKUP(A:A,'Raw Revenue'!C:C,'Raw Revenue'!D:D,0)</f>
        <v>0</v>
      </c>
      <c r="X296" s="11">
        <f t="array" ref="X296">XLOOKUP(A:A,'Raw Revenue'!E:E,'Raw Revenue'!F:F,0)</f>
        <v>0</v>
      </c>
      <c r="Y296" s="11">
        <f t="array" ref="Y296">XLOOKUP(A:A,'Raw Revenue'!G:G,'Raw Revenue'!H:H,0)</f>
        <v>0</v>
      </c>
      <c r="Z296" s="11">
        <f t="array" ref="Z296">XLOOKUP(A:A,'Raw Revenue'!I:I,'Raw Revenue'!J:J,0)</f>
        <v>0</v>
      </c>
      <c r="AA296" s="11">
        <f t="array" ref="AA296">XLOOKUP(A:A,'Raw Revenue'!K:K,'Raw Revenue'!L:L,0)</f>
        <v>0</v>
      </c>
      <c r="AB296" s="11">
        <f t="array" ref="AB296">XLOOKUP(A:A,'Raw Revenue'!M:M,'Raw Revenue'!N:N,0)</f>
        <v>0</v>
      </c>
      <c r="AC296" s="3">
        <v>0.0</v>
      </c>
      <c r="AD296" s="3">
        <v>0.0</v>
      </c>
      <c r="AE296" s="3">
        <v>0.0</v>
      </c>
      <c r="AF296" s="3">
        <v>0.0</v>
      </c>
      <c r="AG296" s="3">
        <v>0.0</v>
      </c>
    </row>
    <row r="297">
      <c r="A297" s="3" t="s">
        <v>882</v>
      </c>
      <c r="B297" s="3" t="s">
        <v>883</v>
      </c>
      <c r="C297" s="3" t="str">
        <f t="shared" si="1"/>
        <v>PT. Indah Kargo Logistik</v>
      </c>
      <c r="D297" s="3" t="s">
        <v>186</v>
      </c>
      <c r="E297" s="3" t="s">
        <v>85</v>
      </c>
      <c r="F297" s="3" t="s">
        <v>248</v>
      </c>
      <c r="G297" s="3" t="s">
        <v>63</v>
      </c>
      <c r="H297" s="3" t="str">
        <f t="array" ref="H297">XLOOKUP(G:G,'Account Manager Data'!A:A,'Account Manager Data'!B:B,0)</f>
        <v>Hendra Gunawan</v>
      </c>
      <c r="I297" s="11" t="str">
        <f t="array" ref="I297">XLOOKUP($G:$G,'Account Manager Data'!$A:$A,'Account Manager Data'!C:C)</f>
        <v>Kalimantan</v>
      </c>
      <c r="J297" s="17">
        <v>4403525.0</v>
      </c>
      <c r="K297" s="17">
        <v>7101232.0</v>
      </c>
      <c r="L297" s="17">
        <v>8225923.0</v>
      </c>
      <c r="M297" s="17">
        <v>1955095.0</v>
      </c>
      <c r="N297" s="17">
        <v>2305651.0</v>
      </c>
      <c r="O297" s="17">
        <v>1.3773252E7</v>
      </c>
      <c r="P297" s="17">
        <v>7119420.0</v>
      </c>
      <c r="Q297" s="17">
        <v>4927547.0</v>
      </c>
      <c r="R297" s="17">
        <v>6521845.0</v>
      </c>
      <c r="S297" s="17">
        <v>6384966.0</v>
      </c>
      <c r="T297" s="17">
        <v>5297943.0</v>
      </c>
      <c r="U297" s="17">
        <v>2488852.0</v>
      </c>
      <c r="V297" s="11">
        <f t="array" ref="V297">XLOOKUP(A:A,'Raw Revenue'!A:A,'Raw Revenue'!B:B,0)
</f>
        <v>0</v>
      </c>
      <c r="W297" s="11">
        <f t="array" ref="W297">XLOOKUP(A:A,'Raw Revenue'!C:C,'Raw Revenue'!D:D,0)</f>
        <v>0</v>
      </c>
      <c r="X297" s="11">
        <f t="array" ref="X297">XLOOKUP(A:A,'Raw Revenue'!E:E,'Raw Revenue'!F:F,0)</f>
        <v>0</v>
      </c>
      <c r="Y297" s="11">
        <f t="array" ref="Y297">XLOOKUP(A:A,'Raw Revenue'!G:G,'Raw Revenue'!H:H,0)</f>
        <v>0</v>
      </c>
      <c r="Z297" s="11">
        <f t="array" ref="Z297">XLOOKUP(A:A,'Raw Revenue'!I:I,'Raw Revenue'!J:J,0)</f>
        <v>0</v>
      </c>
      <c r="AA297" s="11">
        <f t="array" ref="AA297">XLOOKUP(A:A,'Raw Revenue'!K:K,'Raw Revenue'!L:L,0)</f>
        <v>0</v>
      </c>
      <c r="AB297" s="11">
        <f t="array" ref="AB297">XLOOKUP(A:A,'Raw Revenue'!M:M,'Raw Revenue'!N:N,0)</f>
        <v>0</v>
      </c>
      <c r="AC297" s="3">
        <v>0.0</v>
      </c>
      <c r="AD297" s="3">
        <v>0.0</v>
      </c>
      <c r="AE297" s="3">
        <v>0.0</v>
      </c>
      <c r="AF297" s="3">
        <v>0.0</v>
      </c>
      <c r="AG297" s="3">
        <v>0.0</v>
      </c>
    </row>
    <row r="298">
      <c r="A298" s="3" t="s">
        <v>208</v>
      </c>
      <c r="B298" s="3" t="s">
        <v>884</v>
      </c>
      <c r="C298" s="3" t="str">
        <f t="shared" si="1"/>
        <v>PT. Berkah Alam Semesta</v>
      </c>
      <c r="D298" s="3" t="s">
        <v>103</v>
      </c>
      <c r="E298" s="3" t="s">
        <v>104</v>
      </c>
      <c r="F298" s="3" t="s">
        <v>105</v>
      </c>
      <c r="G298" s="3" t="s">
        <v>35</v>
      </c>
      <c r="H298" s="3" t="str">
        <f t="array" ref="H298">XLOOKUP(G:G,'Account Manager Data'!A:A,'Account Manager Data'!B:B,0)</f>
        <v>Ahmad Fauzi</v>
      </c>
      <c r="I298" s="11" t="str">
        <f t="array" ref="I298">XLOOKUP($G:$G,'Account Manager Data'!$A:$A,'Account Manager Data'!C:C)</f>
        <v>Sumatera</v>
      </c>
      <c r="J298" s="17">
        <v>2539569.0</v>
      </c>
      <c r="K298" s="17">
        <v>6691807.0</v>
      </c>
      <c r="L298" s="17">
        <v>1247855.0</v>
      </c>
      <c r="M298" s="17">
        <v>1.1263266E7</v>
      </c>
      <c r="N298" s="17">
        <v>919082.0</v>
      </c>
      <c r="O298" s="17">
        <v>3579772.0</v>
      </c>
      <c r="P298" s="17">
        <v>1.6017667E7</v>
      </c>
      <c r="Q298" s="17">
        <v>1019590.0</v>
      </c>
      <c r="R298" s="17">
        <v>1.481365E7</v>
      </c>
      <c r="S298" s="17">
        <v>1.1080945E7</v>
      </c>
      <c r="T298" s="17">
        <v>8015085.0</v>
      </c>
      <c r="U298" s="17">
        <v>5108869.0</v>
      </c>
      <c r="V298" s="11">
        <f t="array" ref="V298">XLOOKUP(A:A,'Raw Revenue'!A:A,'Raw Revenue'!B:B,0)
</f>
        <v>3855882.062</v>
      </c>
      <c r="W298" s="11">
        <f t="array" ref="W298">XLOOKUP(A:A,'Raw Revenue'!C:C,'Raw Revenue'!D:D,0)</f>
        <v>3855882.062</v>
      </c>
      <c r="X298" s="11">
        <f t="array" ref="X298">XLOOKUP(A:A,'Raw Revenue'!E:E,'Raw Revenue'!F:F,0)</f>
        <v>7711764.125</v>
      </c>
      <c r="Y298" s="11">
        <f t="array" ref="Y298">XLOOKUP(A:A,'Raw Revenue'!G:G,'Raw Revenue'!H:H,0)</f>
        <v>6297940.702</v>
      </c>
      <c r="Z298" s="11">
        <f t="array" ref="Z298">XLOOKUP(A:A,'Raw Revenue'!I:I,'Raw Revenue'!J:J,0)</f>
        <v>5655293.692</v>
      </c>
      <c r="AA298" s="11">
        <f t="array" ref="AA298">XLOOKUP(A:A,'Raw Revenue'!K:K,'Raw Revenue'!L:L,0)</f>
        <v>14459557.73</v>
      </c>
      <c r="AB298" s="11">
        <f t="array" ref="AB298">XLOOKUP(A:A,'Raw Revenue'!M:M,'Raw Revenue'!N:N,0)</f>
        <v>13302793.12</v>
      </c>
      <c r="AC298" s="3">
        <v>0.0</v>
      </c>
      <c r="AD298" s="3">
        <v>0.0</v>
      </c>
      <c r="AE298" s="3">
        <v>0.0</v>
      </c>
      <c r="AF298" s="3">
        <v>0.0</v>
      </c>
      <c r="AG298" s="3">
        <v>0.0</v>
      </c>
    </row>
    <row r="299">
      <c r="A299" s="3" t="s">
        <v>885</v>
      </c>
      <c r="B299" s="3" t="s">
        <v>886</v>
      </c>
      <c r="C299" s="3" t="str">
        <f t="shared" si="1"/>
        <v>PT. Cahaya Baru Indonesia</v>
      </c>
      <c r="D299" s="3" t="s">
        <v>195</v>
      </c>
      <c r="E299" s="3" t="s">
        <v>187</v>
      </c>
      <c r="F299" s="3" t="s">
        <v>295</v>
      </c>
      <c r="G299" s="3" t="s">
        <v>43</v>
      </c>
      <c r="H299" s="3" t="str">
        <f t="array" ref="H299">XLOOKUP(G:G,'Account Manager Data'!A:A,'Account Manager Data'!B:B,0)</f>
        <v>Eko Prasetyo</v>
      </c>
      <c r="I299" s="11" t="str">
        <f t="array" ref="I299">XLOOKUP($G:$G,'Account Manager Data'!$A:$A,'Account Manager Data'!C:C)</f>
        <v>Papua</v>
      </c>
      <c r="J299" s="17">
        <v>4684260.0</v>
      </c>
      <c r="K299" s="17">
        <v>2998435.0</v>
      </c>
      <c r="L299" s="17">
        <v>1.013691E7</v>
      </c>
      <c r="M299" s="17">
        <v>8189108.0</v>
      </c>
      <c r="N299" s="17">
        <v>1427866.0</v>
      </c>
      <c r="O299" s="17">
        <v>1.1427538E7</v>
      </c>
      <c r="P299" s="17">
        <v>1210482.0</v>
      </c>
      <c r="Q299" s="17">
        <v>0.0</v>
      </c>
      <c r="R299" s="17">
        <v>9805216.0</v>
      </c>
      <c r="S299" s="17">
        <v>3545487.0</v>
      </c>
      <c r="T299" s="17">
        <v>1.5436684E7</v>
      </c>
      <c r="U299" s="17">
        <v>1174706.0</v>
      </c>
      <c r="V299" s="11">
        <f t="array" ref="V299">XLOOKUP(A:A,'Raw Revenue'!A:A,'Raw Revenue'!B:B,0)
</f>
        <v>0</v>
      </c>
      <c r="W299" s="11">
        <f t="array" ref="W299">XLOOKUP(A:A,'Raw Revenue'!C:C,'Raw Revenue'!D:D,0)</f>
        <v>0</v>
      </c>
      <c r="X299" s="11">
        <f t="array" ref="X299">XLOOKUP(A:A,'Raw Revenue'!E:E,'Raw Revenue'!F:F,0)</f>
        <v>0</v>
      </c>
      <c r="Y299" s="11">
        <f t="array" ref="Y299">XLOOKUP(A:A,'Raw Revenue'!G:G,'Raw Revenue'!H:H,0)</f>
        <v>0</v>
      </c>
      <c r="Z299" s="11">
        <f t="array" ref="Z299">XLOOKUP(A:A,'Raw Revenue'!I:I,'Raw Revenue'!J:J,0)</f>
        <v>0</v>
      </c>
      <c r="AA299" s="11">
        <f t="array" ref="AA299">XLOOKUP(A:A,'Raw Revenue'!K:K,'Raw Revenue'!L:L,0)</f>
        <v>0</v>
      </c>
      <c r="AB299" s="11">
        <f t="array" ref="AB299">XLOOKUP(A:A,'Raw Revenue'!M:M,'Raw Revenue'!N:N,0)</f>
        <v>0</v>
      </c>
      <c r="AC299" s="3">
        <v>0.0</v>
      </c>
      <c r="AD299" s="3">
        <v>0.0</v>
      </c>
      <c r="AE299" s="3">
        <v>0.0</v>
      </c>
      <c r="AF299" s="3">
        <v>0.0</v>
      </c>
      <c r="AG299" s="3">
        <v>0.0</v>
      </c>
    </row>
    <row r="300">
      <c r="A300" s="3" t="s">
        <v>887</v>
      </c>
      <c r="B300" s="3" t="s">
        <v>888</v>
      </c>
      <c r="C300" s="3" t="str">
        <f t="shared" si="1"/>
        <v>PT. Mentari Pagi Sejahtera</v>
      </c>
      <c r="D300" s="3" t="s">
        <v>195</v>
      </c>
      <c r="E300" s="3" t="s">
        <v>187</v>
      </c>
      <c r="F300" s="3" t="s">
        <v>269</v>
      </c>
      <c r="G300" s="3" t="s">
        <v>74</v>
      </c>
      <c r="H300" s="3" t="str">
        <f t="array" ref="H300">XLOOKUP(G:G,'Account Manager Data'!A:A,'Account Manager Data'!B:B,0)</f>
        <v>Budi Santoso</v>
      </c>
      <c r="I300" s="11" t="str">
        <f t="array" ref="I300">XLOOKUP($G:$G,'Account Manager Data'!$A:$A,'Account Manager Data'!C:C)</f>
        <v>Papua</v>
      </c>
      <c r="J300" s="17">
        <v>5926901.0</v>
      </c>
      <c r="K300" s="17">
        <v>2869372.0</v>
      </c>
      <c r="L300" s="17">
        <v>1.0514435E7</v>
      </c>
      <c r="M300" s="17">
        <v>9523097.0</v>
      </c>
      <c r="N300" s="17">
        <v>3823678.0</v>
      </c>
      <c r="O300" s="17">
        <v>2839586.0</v>
      </c>
      <c r="P300" s="17">
        <v>6115788.0</v>
      </c>
      <c r="Q300" s="17">
        <v>2404516.0</v>
      </c>
      <c r="R300" s="17">
        <v>2694617.0</v>
      </c>
      <c r="S300" s="17">
        <v>1.6068041E7</v>
      </c>
      <c r="T300" s="17">
        <v>7950144.0</v>
      </c>
      <c r="U300" s="17">
        <v>1.6846368E7</v>
      </c>
      <c r="V300" s="11">
        <f t="array" ref="V300">XLOOKUP(A:A,'Raw Revenue'!A:A,'Raw Revenue'!B:B,0)
</f>
        <v>0</v>
      </c>
      <c r="W300" s="11">
        <f t="array" ref="W300">XLOOKUP(A:A,'Raw Revenue'!C:C,'Raw Revenue'!D:D,0)</f>
        <v>0</v>
      </c>
      <c r="X300" s="11">
        <f t="array" ref="X300">XLOOKUP(A:A,'Raw Revenue'!E:E,'Raw Revenue'!F:F,0)</f>
        <v>0</v>
      </c>
      <c r="Y300" s="11">
        <f t="array" ref="Y300">XLOOKUP(A:A,'Raw Revenue'!G:G,'Raw Revenue'!H:H,0)</f>
        <v>0</v>
      </c>
      <c r="Z300" s="11">
        <f t="array" ref="Z300">XLOOKUP(A:A,'Raw Revenue'!I:I,'Raw Revenue'!J:J,0)</f>
        <v>0</v>
      </c>
      <c r="AA300" s="11">
        <f t="array" ref="AA300">XLOOKUP(A:A,'Raw Revenue'!K:K,'Raw Revenue'!L:L,0)</f>
        <v>0</v>
      </c>
      <c r="AB300" s="11">
        <f t="array" ref="AB300">XLOOKUP(A:A,'Raw Revenue'!M:M,'Raw Revenue'!N:N,0)</f>
        <v>0</v>
      </c>
      <c r="AC300" s="3">
        <v>0.0</v>
      </c>
      <c r="AD300" s="3">
        <v>0.0</v>
      </c>
      <c r="AE300" s="3">
        <v>0.0</v>
      </c>
      <c r="AF300" s="3">
        <v>0.0</v>
      </c>
      <c r="AG300" s="3">
        <v>0.0</v>
      </c>
    </row>
    <row r="301">
      <c r="A301" s="3" t="s">
        <v>889</v>
      </c>
      <c r="B301" s="3" t="s">
        <v>890</v>
      </c>
      <c r="C301" s="3" t="str">
        <f t="shared" si="1"/>
        <v>PT. Bintang Kejora Nusantara</v>
      </c>
      <c r="D301" s="3" t="s">
        <v>195</v>
      </c>
      <c r="E301" s="3" t="s">
        <v>187</v>
      </c>
      <c r="F301" s="3" t="s">
        <v>188</v>
      </c>
      <c r="G301" s="3" t="s">
        <v>76</v>
      </c>
      <c r="H301" s="3" t="str">
        <f t="array" ref="H301">XLOOKUP(G:G,'Account Manager Data'!A:A,'Account Manager Data'!B:B,0)</f>
        <v>Teguh Wijaya</v>
      </c>
      <c r="I301" s="11" t="str">
        <f t="array" ref="I301">XLOOKUP($G:$G,'Account Manager Data'!$A:$A,'Account Manager Data'!C:C)</f>
        <v>Sulawesi</v>
      </c>
      <c r="J301" s="17">
        <v>2554399.0</v>
      </c>
      <c r="K301" s="17">
        <v>3266535.0</v>
      </c>
      <c r="L301" s="17">
        <v>7024684.0</v>
      </c>
      <c r="M301" s="17">
        <v>9182780.0</v>
      </c>
      <c r="N301" s="17">
        <v>1.1415118E7</v>
      </c>
      <c r="O301" s="17">
        <v>1.2713279E7</v>
      </c>
      <c r="P301" s="17">
        <v>3771357.0</v>
      </c>
      <c r="Q301" s="17">
        <v>0.0</v>
      </c>
      <c r="R301" s="17">
        <v>1.5610394E7</v>
      </c>
      <c r="S301" s="17">
        <v>8449884.0</v>
      </c>
      <c r="T301" s="17">
        <v>9505122.0</v>
      </c>
      <c r="U301" s="17">
        <v>2137432.0</v>
      </c>
      <c r="V301" s="11">
        <f t="array" ref="V301">XLOOKUP(A:A,'Raw Revenue'!A:A,'Raw Revenue'!B:B,0)
</f>
        <v>0</v>
      </c>
      <c r="W301" s="11">
        <f t="array" ref="W301">XLOOKUP(A:A,'Raw Revenue'!C:C,'Raw Revenue'!D:D,0)</f>
        <v>0</v>
      </c>
      <c r="X301" s="11">
        <f t="array" ref="X301">XLOOKUP(A:A,'Raw Revenue'!E:E,'Raw Revenue'!F:F,0)</f>
        <v>0</v>
      </c>
      <c r="Y301" s="11">
        <f t="array" ref="Y301">XLOOKUP(A:A,'Raw Revenue'!G:G,'Raw Revenue'!H:H,0)</f>
        <v>0</v>
      </c>
      <c r="Z301" s="11">
        <f t="array" ref="Z301">XLOOKUP(A:A,'Raw Revenue'!I:I,'Raw Revenue'!J:J,0)</f>
        <v>0</v>
      </c>
      <c r="AA301" s="11">
        <f t="array" ref="AA301">XLOOKUP(A:A,'Raw Revenue'!K:K,'Raw Revenue'!L:L,0)</f>
        <v>0</v>
      </c>
      <c r="AB301" s="11">
        <f t="array" ref="AB301">XLOOKUP(A:A,'Raw Revenue'!M:M,'Raw Revenue'!N:N,0)</f>
        <v>0</v>
      </c>
      <c r="AC301" s="3">
        <v>0.0</v>
      </c>
      <c r="AD301" s="3">
        <v>0.0</v>
      </c>
      <c r="AE301" s="3">
        <v>0.0</v>
      </c>
      <c r="AF301" s="3">
        <v>0.0</v>
      </c>
      <c r="AG301" s="3">
        <v>0.0</v>
      </c>
    </row>
    <row r="302">
      <c r="A302" s="3" t="s">
        <v>891</v>
      </c>
      <c r="B302" s="3" t="s">
        <v>892</v>
      </c>
      <c r="C302" s="3" t="str">
        <f t="shared" si="1"/>
        <v>PT. Maju Jaya</v>
      </c>
      <c r="D302" s="3" t="s">
        <v>214</v>
      </c>
      <c r="E302" s="3" t="s">
        <v>85</v>
      </c>
      <c r="F302" s="3" t="s">
        <v>86</v>
      </c>
      <c r="G302" s="3" t="s">
        <v>70</v>
      </c>
      <c r="H302" s="3" t="str">
        <f t="array" ref="H302">XLOOKUP(G:G,'Account Manager Data'!A:A,'Account Manager Data'!B:B,0)</f>
        <v>Yusuf Hidayat</v>
      </c>
      <c r="I302" s="11" t="str">
        <f t="array" ref="I302">XLOOKUP($G:$G,'Account Manager Data'!$A:$A,'Account Manager Data'!C:C)</f>
        <v>Sumatera</v>
      </c>
      <c r="J302" s="17">
        <v>6082542.0</v>
      </c>
      <c r="K302" s="17">
        <v>651972.0</v>
      </c>
      <c r="L302" s="17">
        <v>383406.0</v>
      </c>
      <c r="M302" s="17">
        <v>1.0698581E7</v>
      </c>
      <c r="N302" s="17">
        <v>4833056.0</v>
      </c>
      <c r="O302" s="17">
        <v>1979621.0</v>
      </c>
      <c r="P302" s="17">
        <v>4877738.0</v>
      </c>
      <c r="Q302" s="17">
        <v>1.1782178E7</v>
      </c>
      <c r="R302" s="17">
        <v>1.1401972E7</v>
      </c>
      <c r="S302" s="17">
        <v>4817006.0</v>
      </c>
      <c r="T302" s="17">
        <v>1.2768837E7</v>
      </c>
      <c r="U302" s="17">
        <v>3542766.0</v>
      </c>
      <c r="V302" s="11">
        <f t="array" ref="V302">XLOOKUP(A:A,'Raw Revenue'!A:A,'Raw Revenue'!B:B,0)
</f>
        <v>0</v>
      </c>
      <c r="W302" s="11">
        <f t="array" ref="W302">XLOOKUP(A:A,'Raw Revenue'!C:C,'Raw Revenue'!D:D,0)</f>
        <v>0</v>
      </c>
      <c r="X302" s="11">
        <f t="array" ref="X302">XLOOKUP(A:A,'Raw Revenue'!E:E,'Raw Revenue'!F:F,0)</f>
        <v>0</v>
      </c>
      <c r="Y302" s="11">
        <f t="array" ref="Y302">XLOOKUP(A:A,'Raw Revenue'!G:G,'Raw Revenue'!H:H,0)</f>
        <v>0</v>
      </c>
      <c r="Z302" s="11">
        <f t="array" ref="Z302">XLOOKUP(A:A,'Raw Revenue'!I:I,'Raw Revenue'!J:J,0)</f>
        <v>0</v>
      </c>
      <c r="AA302" s="11">
        <f t="array" ref="AA302">XLOOKUP(A:A,'Raw Revenue'!K:K,'Raw Revenue'!L:L,0)</f>
        <v>0</v>
      </c>
      <c r="AB302" s="11">
        <f t="array" ref="AB302">XLOOKUP(A:A,'Raw Revenue'!M:M,'Raw Revenue'!N:N,0)</f>
        <v>0</v>
      </c>
      <c r="AC302" s="3">
        <v>0.0</v>
      </c>
      <c r="AD302" s="3">
        <v>0.0</v>
      </c>
      <c r="AE302" s="3">
        <v>0.0</v>
      </c>
      <c r="AF302" s="3">
        <v>0.0</v>
      </c>
      <c r="AG302" s="3">
        <v>0.0</v>
      </c>
    </row>
    <row r="303">
      <c r="A303" s="3" t="s">
        <v>99</v>
      </c>
      <c r="B303" s="3" t="s">
        <v>893</v>
      </c>
      <c r="C303" s="3" t="str">
        <f t="shared" si="1"/>
        <v>CV. Sumber Makmur</v>
      </c>
      <c r="D303" s="3" t="s">
        <v>103</v>
      </c>
      <c r="E303" s="3" t="s">
        <v>196</v>
      </c>
      <c r="F303" s="3" t="s">
        <v>197</v>
      </c>
      <c r="G303" s="3" t="s">
        <v>15</v>
      </c>
      <c r="H303" s="3" t="str">
        <f t="array" ref="H303">XLOOKUP(G:G,'Account Manager Data'!A:A,'Account Manager Data'!B:B,0)</f>
        <v>Rizky Maulana</v>
      </c>
      <c r="I303" s="11" t="str">
        <f t="array" ref="I303">XLOOKUP($G:$G,'Account Manager Data'!$A:$A,'Account Manager Data'!C:C)</f>
        <v>Jawa</v>
      </c>
      <c r="J303" s="17">
        <v>2456421.0</v>
      </c>
      <c r="K303" s="83">
        <v>9411765.0</v>
      </c>
      <c r="L303" s="84">
        <v>3036145.0</v>
      </c>
      <c r="M303" s="84">
        <v>1714286.0</v>
      </c>
      <c r="N303" s="84">
        <v>2563380.0</v>
      </c>
      <c r="O303" s="17">
        <v>1453277.0</v>
      </c>
      <c r="P303" s="84">
        <v>0.0</v>
      </c>
      <c r="Q303" s="84">
        <v>5.0980392E7</v>
      </c>
      <c r="R303" s="17">
        <v>6751522.0</v>
      </c>
      <c r="S303" s="17">
        <v>1.6630057E7</v>
      </c>
      <c r="T303" s="17">
        <v>0.0</v>
      </c>
      <c r="U303" s="17">
        <v>1.0221649E7</v>
      </c>
      <c r="V303" s="85">
        <f t="array" ref="V303">XLOOKUP(A:A,'Raw Revenue'!A:A,'Raw Revenue'!B:B,0)
</f>
        <v>4200000</v>
      </c>
      <c r="W303" s="22">
        <f t="array" ref="W303">XLOOKUP(A:A,'Raw Revenue'!C:C,'Raw Revenue'!D:D,0)</f>
        <v>9411765</v>
      </c>
      <c r="X303" s="22">
        <f t="array" ref="X303">XLOOKUP(A:A,'Raw Revenue'!E:E,'Raw Revenue'!F:F,0)</f>
        <v>3036145</v>
      </c>
      <c r="Y303" s="22">
        <f t="array" ref="Y303">XLOOKUP(A:A,'Raw Revenue'!G:G,'Raw Revenue'!H:H,0)</f>
        <v>1714286</v>
      </c>
      <c r="Z303" s="22">
        <f t="array" ref="Z303">XLOOKUP(A:A,'Raw Revenue'!I:I,'Raw Revenue'!J:J,0)</f>
        <v>2563380</v>
      </c>
      <c r="AA303" s="22">
        <f t="array" ref="AA303">XLOOKUP(A:A,'Raw Revenue'!K:K,'Raw Revenue'!L:L,0)</f>
        <v>1453277</v>
      </c>
      <c r="AB303" s="22">
        <f t="array" ref="AB303">XLOOKUP(A:A,'Raw Revenue'!M:M,'Raw Revenue'!N:N,0)</f>
        <v>0</v>
      </c>
      <c r="AC303" s="3">
        <v>0.0</v>
      </c>
      <c r="AD303" s="3">
        <v>0.0</v>
      </c>
      <c r="AE303" s="3">
        <v>0.0</v>
      </c>
      <c r="AF303" s="3">
        <v>0.0</v>
      </c>
      <c r="AG303" s="3">
        <v>0.0</v>
      </c>
    </row>
    <row r="304">
      <c r="A304" s="3" t="s">
        <v>894</v>
      </c>
      <c r="B304" s="3" t="s">
        <v>895</v>
      </c>
      <c r="C304" s="3" t="str">
        <f t="shared" si="1"/>
        <v>PT. Teknologi Nusantara</v>
      </c>
      <c r="D304" s="3" t="s">
        <v>214</v>
      </c>
      <c r="E304" s="3" t="s">
        <v>187</v>
      </c>
      <c r="F304" s="3" t="s">
        <v>295</v>
      </c>
      <c r="G304" s="3" t="s">
        <v>27</v>
      </c>
      <c r="H304" s="3" t="str">
        <f t="array" ref="H304">XLOOKUP(G:G,'Account Manager Data'!A:A,'Account Manager Data'!B:B,0)</f>
        <v>Dedi Kurniawan</v>
      </c>
      <c r="I304" s="11" t="str">
        <f t="array" ref="I304">XLOOKUP($G:$G,'Account Manager Data'!$A:$A,'Account Manager Data'!C:C)</f>
        <v>Kalimantan</v>
      </c>
      <c r="J304" s="17">
        <v>1145104.0</v>
      </c>
      <c r="K304" s="17">
        <v>1565592.0</v>
      </c>
      <c r="L304" s="17">
        <v>2820409.0</v>
      </c>
      <c r="M304" s="17">
        <v>8947987.0</v>
      </c>
      <c r="N304" s="17">
        <v>6063670.0</v>
      </c>
      <c r="O304" s="17">
        <v>4209731.0</v>
      </c>
      <c r="P304" s="17">
        <v>1229842.0</v>
      </c>
      <c r="Q304" s="17">
        <v>1.2651701E7</v>
      </c>
      <c r="R304" s="17">
        <v>1.497119E7</v>
      </c>
      <c r="S304" s="17">
        <v>1.1142626E7</v>
      </c>
      <c r="T304" s="17">
        <v>1486679.0</v>
      </c>
      <c r="U304" s="17">
        <v>1.0512705E7</v>
      </c>
      <c r="V304" s="11">
        <f t="array" ref="V304">XLOOKUP(A:A,'Raw Revenue'!A:A,'Raw Revenue'!B:B,0)
</f>
        <v>0</v>
      </c>
      <c r="W304" s="11">
        <f t="array" ref="W304">XLOOKUP(A:A,'Raw Revenue'!C:C,'Raw Revenue'!D:D,0)</f>
        <v>0</v>
      </c>
      <c r="X304" s="11">
        <f t="array" ref="X304">XLOOKUP(A:A,'Raw Revenue'!E:E,'Raw Revenue'!F:F,0)</f>
        <v>0</v>
      </c>
      <c r="Y304" s="11">
        <f t="array" ref="Y304">XLOOKUP(A:A,'Raw Revenue'!G:G,'Raw Revenue'!H:H,0)</f>
        <v>0</v>
      </c>
      <c r="Z304" s="11">
        <f t="array" ref="Z304">XLOOKUP(A:A,'Raw Revenue'!I:I,'Raw Revenue'!J:J,0)</f>
        <v>0</v>
      </c>
      <c r="AA304" s="11">
        <f t="array" ref="AA304">XLOOKUP(A:A,'Raw Revenue'!K:K,'Raw Revenue'!L:L,0)</f>
        <v>0</v>
      </c>
      <c r="AB304" s="11">
        <f t="array" ref="AB304">XLOOKUP(A:A,'Raw Revenue'!M:M,'Raw Revenue'!N:N,0)</f>
        <v>0</v>
      </c>
      <c r="AC304" s="3">
        <v>0.0</v>
      </c>
      <c r="AD304" s="3">
        <v>0.0</v>
      </c>
      <c r="AE304" s="3">
        <v>0.0</v>
      </c>
      <c r="AF304" s="3">
        <v>0.0</v>
      </c>
      <c r="AG304" s="3">
        <v>0.0</v>
      </c>
    </row>
    <row r="305">
      <c r="A305" s="3" t="s">
        <v>896</v>
      </c>
      <c r="B305" s="3" t="s">
        <v>897</v>
      </c>
      <c r="C305" s="3" t="str">
        <f t="shared" si="1"/>
        <v>PT. Bakti Indonesia</v>
      </c>
      <c r="D305" s="3" t="s">
        <v>130</v>
      </c>
      <c r="E305" s="3" t="s">
        <v>215</v>
      </c>
      <c r="F305" s="3" t="s">
        <v>227</v>
      </c>
      <c r="G305" s="3" t="s">
        <v>78</v>
      </c>
      <c r="H305" s="3" t="str">
        <f t="array" ref="H305">XLOOKUP(G:G,'Account Manager Data'!A:A,'Account Manager Data'!B:B,0)</f>
        <v>Ilham Saputra</v>
      </c>
      <c r="I305" s="11" t="str">
        <f t="array" ref="I305">XLOOKUP($G:$G,'Account Manager Data'!$A:$A,'Account Manager Data'!C:C)</f>
        <v>Jawa</v>
      </c>
      <c r="J305" s="17">
        <v>5353094.0</v>
      </c>
      <c r="K305" s="17">
        <v>3405304.0</v>
      </c>
      <c r="L305" s="17">
        <v>3982172.0</v>
      </c>
      <c r="M305" s="17">
        <v>0.0</v>
      </c>
      <c r="N305" s="17">
        <v>6292794.0</v>
      </c>
      <c r="O305" s="17">
        <v>627877.0</v>
      </c>
      <c r="P305" s="17">
        <v>2773217.0</v>
      </c>
      <c r="Q305" s="17">
        <v>1.3211607E7</v>
      </c>
      <c r="R305" s="17">
        <v>720888.0</v>
      </c>
      <c r="S305" s="17">
        <v>2607333.0</v>
      </c>
      <c r="T305" s="17">
        <v>1.1734471E7</v>
      </c>
      <c r="U305" s="17">
        <v>7259845.0</v>
      </c>
      <c r="V305" s="11">
        <f t="array" ref="V305">XLOOKUP(A:A,'Raw Revenue'!A:A,'Raw Revenue'!B:B,0)
</f>
        <v>0</v>
      </c>
      <c r="W305" s="11">
        <f t="array" ref="W305">XLOOKUP(A:A,'Raw Revenue'!C:C,'Raw Revenue'!D:D,0)</f>
        <v>0</v>
      </c>
      <c r="X305" s="11">
        <f t="array" ref="X305">XLOOKUP(A:A,'Raw Revenue'!E:E,'Raw Revenue'!F:F,0)</f>
        <v>0</v>
      </c>
      <c r="Y305" s="11">
        <f t="array" ref="Y305">XLOOKUP(A:A,'Raw Revenue'!G:G,'Raw Revenue'!H:H,0)</f>
        <v>0</v>
      </c>
      <c r="Z305" s="11">
        <f t="array" ref="Z305">XLOOKUP(A:A,'Raw Revenue'!I:I,'Raw Revenue'!J:J,0)</f>
        <v>0</v>
      </c>
      <c r="AA305" s="11">
        <f t="array" ref="AA305">XLOOKUP(A:A,'Raw Revenue'!K:K,'Raw Revenue'!L:L,0)</f>
        <v>0</v>
      </c>
      <c r="AB305" s="11">
        <f t="array" ref="AB305">XLOOKUP(A:A,'Raw Revenue'!M:M,'Raw Revenue'!N:N,0)</f>
        <v>0</v>
      </c>
      <c r="AC305" s="3">
        <v>0.0</v>
      </c>
      <c r="AD305" s="3">
        <v>0.0</v>
      </c>
      <c r="AE305" s="3">
        <v>0.0</v>
      </c>
      <c r="AF305" s="3">
        <v>0.0</v>
      </c>
      <c r="AG305" s="3">
        <v>0.0</v>
      </c>
    </row>
    <row r="306">
      <c r="A306" s="3" t="s">
        <v>296</v>
      </c>
      <c r="B306" s="3" t="s">
        <v>898</v>
      </c>
      <c r="C306" s="3" t="str">
        <f t="shared" si="1"/>
        <v>CV. Amanah Sejahtera</v>
      </c>
      <c r="D306" s="3" t="s">
        <v>103</v>
      </c>
      <c r="E306" s="3" t="s">
        <v>85</v>
      </c>
      <c r="F306" s="3" t="s">
        <v>86</v>
      </c>
      <c r="G306" s="3" t="s">
        <v>53</v>
      </c>
      <c r="H306" s="3" t="str">
        <f t="array" ref="H306">XLOOKUP(G:G,'Account Manager Data'!A:A,'Account Manager Data'!B:B,0)</f>
        <v>Fajar Ramadhan</v>
      </c>
      <c r="I306" s="11" t="str">
        <f t="array" ref="I306">XLOOKUP($G:$G,'Account Manager Data'!$A:$A,'Account Manager Data'!C:C)</f>
        <v>Sulawesi</v>
      </c>
      <c r="J306" s="17">
        <v>6326911.0</v>
      </c>
      <c r="K306" s="17">
        <v>2822068.0</v>
      </c>
      <c r="L306" s="17">
        <v>4058839.0</v>
      </c>
      <c r="M306" s="17">
        <v>3465188.0</v>
      </c>
      <c r="N306" s="17">
        <v>9593999.0</v>
      </c>
      <c r="O306" s="17">
        <v>5800396.0</v>
      </c>
      <c r="P306" s="17">
        <v>8006129.0</v>
      </c>
      <c r="Q306" s="17">
        <v>1227040.0</v>
      </c>
      <c r="R306" s="17">
        <v>6988252.0</v>
      </c>
      <c r="S306" s="17">
        <v>1.5400344E7</v>
      </c>
      <c r="T306" s="17">
        <v>1.8628698E7</v>
      </c>
      <c r="U306" s="17">
        <v>1.3656421E7</v>
      </c>
      <c r="V306" s="11">
        <f t="array" ref="V306">XLOOKUP(A:A,'Raw Revenue'!A:A,'Raw Revenue'!B:B,0)
</f>
        <v>5569607.424</v>
      </c>
      <c r="W306" s="11">
        <f t="array" ref="W306">XLOOKUP(A:A,'Raw Revenue'!C:C,'Raw Revenue'!D:D,0)</f>
        <v>5569607.424</v>
      </c>
      <c r="X306" s="11">
        <f t="array" ref="X306">XLOOKUP(A:A,'Raw Revenue'!E:E,'Raw Revenue'!F:F,0)</f>
        <v>11139214.85</v>
      </c>
      <c r="Y306" s="11">
        <f t="array" ref="Y306">XLOOKUP(A:A,'Raw Revenue'!G:G,'Raw Revenue'!H:H,0)</f>
        <v>9097025.458</v>
      </c>
      <c r="Z306" s="11">
        <f t="array" ref="Z306">XLOOKUP(A:A,'Raw Revenue'!I:I,'Raw Revenue'!J:J,0)</f>
        <v>8168757.554</v>
      </c>
      <c r="AA306" s="11">
        <f t="array" ref="AA306">XLOOKUP(A:A,'Raw Revenue'!K:K,'Raw Revenue'!L:L,0)</f>
        <v>20886027.84</v>
      </c>
      <c r="AB306" s="11">
        <f t="array" ref="AB306">XLOOKUP(A:A,'Raw Revenue'!M:M,'Raw Revenue'!N:N,0)</f>
        <v>19215145.61</v>
      </c>
      <c r="AC306" s="3">
        <v>0.0</v>
      </c>
      <c r="AD306" s="3">
        <v>0.0</v>
      </c>
      <c r="AE306" s="3">
        <v>0.0</v>
      </c>
      <c r="AF306" s="3">
        <v>0.0</v>
      </c>
      <c r="AG306" s="3">
        <v>0.0</v>
      </c>
    </row>
    <row r="307">
      <c r="A307" s="3" t="s">
        <v>899</v>
      </c>
      <c r="B307" s="3" t="s">
        <v>900</v>
      </c>
      <c r="C307" s="3" t="str">
        <f t="shared" si="1"/>
        <v>PT. Digital Solusi Pratama</v>
      </c>
      <c r="D307" s="3" t="s">
        <v>195</v>
      </c>
      <c r="E307" s="3" t="s">
        <v>196</v>
      </c>
      <c r="F307" s="3" t="s">
        <v>315</v>
      </c>
      <c r="G307" s="3" t="s">
        <v>63</v>
      </c>
      <c r="H307" s="3" t="str">
        <f t="array" ref="H307">XLOOKUP(G:G,'Account Manager Data'!A:A,'Account Manager Data'!B:B,0)</f>
        <v>Hendra Gunawan</v>
      </c>
      <c r="I307" s="11" t="str">
        <f t="array" ref="I307">XLOOKUP($G:$G,'Account Manager Data'!$A:$A,'Account Manager Data'!C:C)</f>
        <v>Kalimantan</v>
      </c>
      <c r="J307" s="17">
        <v>5858120.0</v>
      </c>
      <c r="K307" s="17">
        <v>2163258.0</v>
      </c>
      <c r="L307" s="17">
        <v>9802796.0</v>
      </c>
      <c r="M307" s="17">
        <v>6529519.0</v>
      </c>
      <c r="N307" s="17">
        <v>1098165.0</v>
      </c>
      <c r="O307" s="17">
        <v>83363.0</v>
      </c>
      <c r="P307" s="17">
        <v>1.3669608E7</v>
      </c>
      <c r="Q307" s="17">
        <v>1.5237247E7</v>
      </c>
      <c r="R307" s="17">
        <v>8881842.0</v>
      </c>
      <c r="S307" s="17">
        <v>1851150.0</v>
      </c>
      <c r="T307" s="17">
        <v>1.8250826E7</v>
      </c>
      <c r="U307" s="17">
        <v>1.1382512E7</v>
      </c>
      <c r="V307" s="11">
        <f t="array" ref="V307">XLOOKUP(A:A,'Raw Revenue'!A:A,'Raw Revenue'!B:B,0)
</f>
        <v>0</v>
      </c>
      <c r="W307" s="11">
        <f t="array" ref="W307">XLOOKUP(A:A,'Raw Revenue'!C:C,'Raw Revenue'!D:D,0)</f>
        <v>0</v>
      </c>
      <c r="X307" s="11">
        <f t="array" ref="X307">XLOOKUP(A:A,'Raw Revenue'!E:E,'Raw Revenue'!F:F,0)</f>
        <v>0</v>
      </c>
      <c r="Y307" s="11">
        <f t="array" ref="Y307">XLOOKUP(A:A,'Raw Revenue'!G:G,'Raw Revenue'!H:H,0)</f>
        <v>0</v>
      </c>
      <c r="Z307" s="11">
        <f t="array" ref="Z307">XLOOKUP(A:A,'Raw Revenue'!I:I,'Raw Revenue'!J:J,0)</f>
        <v>0</v>
      </c>
      <c r="AA307" s="11">
        <f t="array" ref="AA307">XLOOKUP(A:A,'Raw Revenue'!K:K,'Raw Revenue'!L:L,0)</f>
        <v>0</v>
      </c>
      <c r="AB307" s="11">
        <f t="array" ref="AB307">XLOOKUP(A:A,'Raw Revenue'!M:M,'Raw Revenue'!N:N,0)</f>
        <v>0</v>
      </c>
      <c r="AC307" s="3">
        <v>0.0</v>
      </c>
      <c r="AD307" s="3">
        <v>0.0</v>
      </c>
      <c r="AE307" s="3">
        <v>0.0</v>
      </c>
      <c r="AF307" s="3">
        <v>0.0</v>
      </c>
      <c r="AG307" s="3">
        <v>0.0</v>
      </c>
    </row>
    <row r="308">
      <c r="A308" s="3" t="s">
        <v>901</v>
      </c>
      <c r="B308" s="3" t="s">
        <v>902</v>
      </c>
      <c r="C308" s="3" t="str">
        <f t="shared" si="1"/>
        <v>PT. Global Niaga Abadi</v>
      </c>
      <c r="D308" s="3" t="s">
        <v>84</v>
      </c>
      <c r="E308" s="3" t="s">
        <v>104</v>
      </c>
      <c r="F308" s="3" t="s">
        <v>105</v>
      </c>
      <c r="G308" s="3" t="s">
        <v>35</v>
      </c>
      <c r="H308" s="3" t="str">
        <f t="array" ref="H308">XLOOKUP(G:G,'Account Manager Data'!A:A,'Account Manager Data'!B:B,0)</f>
        <v>Ahmad Fauzi</v>
      </c>
      <c r="I308" s="11" t="str">
        <f t="array" ref="I308">XLOOKUP($G:$G,'Account Manager Data'!$A:$A,'Account Manager Data'!C:C)</f>
        <v>Sumatera</v>
      </c>
      <c r="J308" s="17">
        <v>2443123.0</v>
      </c>
      <c r="K308" s="17">
        <v>1061243.0</v>
      </c>
      <c r="L308" s="17">
        <v>0.0</v>
      </c>
      <c r="M308" s="17">
        <v>7069582.0</v>
      </c>
      <c r="N308" s="17">
        <v>0.0</v>
      </c>
      <c r="O308" s="17">
        <v>1893752.0</v>
      </c>
      <c r="P308" s="17">
        <v>1.011216E7</v>
      </c>
      <c r="Q308" s="17">
        <v>1.4783283E7</v>
      </c>
      <c r="R308" s="17">
        <v>5131997.0</v>
      </c>
      <c r="S308" s="17">
        <v>1.0848172E7</v>
      </c>
      <c r="T308" s="17">
        <v>1.2236313E7</v>
      </c>
      <c r="U308" s="17">
        <v>1958064.0</v>
      </c>
      <c r="V308" s="11">
        <f t="array" ref="V308">XLOOKUP(A:A,'Raw Revenue'!A:A,'Raw Revenue'!B:B,0)
</f>
        <v>0</v>
      </c>
      <c r="W308" s="11">
        <f t="array" ref="W308">XLOOKUP(A:A,'Raw Revenue'!C:C,'Raw Revenue'!D:D,0)</f>
        <v>0</v>
      </c>
      <c r="X308" s="11">
        <f t="array" ref="X308">XLOOKUP(A:A,'Raw Revenue'!E:E,'Raw Revenue'!F:F,0)</f>
        <v>0</v>
      </c>
      <c r="Y308" s="11">
        <f t="array" ref="Y308">XLOOKUP(A:A,'Raw Revenue'!G:G,'Raw Revenue'!H:H,0)</f>
        <v>0</v>
      </c>
      <c r="Z308" s="11">
        <f t="array" ref="Z308">XLOOKUP(A:A,'Raw Revenue'!I:I,'Raw Revenue'!J:J,0)</f>
        <v>0</v>
      </c>
      <c r="AA308" s="11">
        <f t="array" ref="AA308">XLOOKUP(A:A,'Raw Revenue'!K:K,'Raw Revenue'!L:L,0)</f>
        <v>0</v>
      </c>
      <c r="AB308" s="11">
        <f t="array" ref="AB308">XLOOKUP(A:A,'Raw Revenue'!M:M,'Raw Revenue'!N:N,0)</f>
        <v>0</v>
      </c>
      <c r="AC308" s="3">
        <v>0.0</v>
      </c>
      <c r="AD308" s="3">
        <v>0.0</v>
      </c>
      <c r="AE308" s="3">
        <v>0.0</v>
      </c>
      <c r="AF308" s="3">
        <v>0.0</v>
      </c>
      <c r="AG308" s="3">
        <v>0.0</v>
      </c>
    </row>
    <row r="309">
      <c r="A309" s="3" t="s">
        <v>903</v>
      </c>
      <c r="B309" s="3" t="s">
        <v>904</v>
      </c>
      <c r="C309" s="3" t="str">
        <f t="shared" si="1"/>
        <v>PT. Indo Makmur Sentosa</v>
      </c>
      <c r="D309" s="3" t="s">
        <v>186</v>
      </c>
      <c r="E309" s="3" t="s">
        <v>104</v>
      </c>
      <c r="F309" s="3" t="s">
        <v>134</v>
      </c>
      <c r="G309" s="3" t="s">
        <v>74</v>
      </c>
      <c r="H309" s="3" t="str">
        <f t="array" ref="H309">XLOOKUP(G:G,'Account Manager Data'!A:A,'Account Manager Data'!B:B,0)</f>
        <v>Budi Santoso</v>
      </c>
      <c r="I309" s="11" t="str">
        <f t="array" ref="I309">XLOOKUP($G:$G,'Account Manager Data'!$A:$A,'Account Manager Data'!C:C)</f>
        <v>Papua</v>
      </c>
      <c r="J309" s="17">
        <v>5988373.0</v>
      </c>
      <c r="K309" s="17">
        <v>0.0</v>
      </c>
      <c r="L309" s="17">
        <v>1.0267346E7</v>
      </c>
      <c r="M309" s="17">
        <v>1277629.0</v>
      </c>
      <c r="N309" s="17">
        <v>5352385.0</v>
      </c>
      <c r="O309" s="17">
        <v>0.0</v>
      </c>
      <c r="P309" s="17">
        <v>7018563.0</v>
      </c>
      <c r="Q309" s="17">
        <v>0.0</v>
      </c>
      <c r="R309" s="17">
        <v>1890169.0</v>
      </c>
      <c r="S309" s="17">
        <v>1.2272251E7</v>
      </c>
      <c r="T309" s="17">
        <v>0.0</v>
      </c>
      <c r="U309" s="17">
        <v>7736532.0</v>
      </c>
      <c r="V309" s="11">
        <f t="array" ref="V309">XLOOKUP(A:A,'Raw Revenue'!A:A,'Raw Revenue'!B:B,0)
</f>
        <v>0</v>
      </c>
      <c r="W309" s="11">
        <f t="array" ref="W309">XLOOKUP(A:A,'Raw Revenue'!C:C,'Raw Revenue'!D:D,0)</f>
        <v>0</v>
      </c>
      <c r="X309" s="11">
        <f t="array" ref="X309">XLOOKUP(A:A,'Raw Revenue'!E:E,'Raw Revenue'!F:F,0)</f>
        <v>0</v>
      </c>
      <c r="Y309" s="11">
        <f t="array" ref="Y309">XLOOKUP(A:A,'Raw Revenue'!G:G,'Raw Revenue'!H:H,0)</f>
        <v>0</v>
      </c>
      <c r="Z309" s="11">
        <f t="array" ref="Z309">XLOOKUP(A:A,'Raw Revenue'!I:I,'Raw Revenue'!J:J,0)</f>
        <v>0</v>
      </c>
      <c r="AA309" s="11">
        <f t="array" ref="AA309">XLOOKUP(A:A,'Raw Revenue'!K:K,'Raw Revenue'!L:L,0)</f>
        <v>0</v>
      </c>
      <c r="AB309" s="11">
        <f t="array" ref="AB309">XLOOKUP(A:A,'Raw Revenue'!M:M,'Raw Revenue'!N:N,0)</f>
        <v>0</v>
      </c>
      <c r="AC309" s="3">
        <v>0.0</v>
      </c>
      <c r="AD309" s="3">
        <v>0.0</v>
      </c>
      <c r="AE309" s="3">
        <v>0.0</v>
      </c>
      <c r="AF309" s="3">
        <v>0.0</v>
      </c>
      <c r="AG309" s="3">
        <v>0.0</v>
      </c>
    </row>
    <row r="310">
      <c r="A310" s="3" t="s">
        <v>905</v>
      </c>
      <c r="B310" s="3" t="s">
        <v>906</v>
      </c>
      <c r="C310" s="3" t="str">
        <f t="shared" si="1"/>
        <v>PT. Citra Mandiri Utama</v>
      </c>
      <c r="D310" s="3" t="s">
        <v>186</v>
      </c>
      <c r="E310" s="3" t="s">
        <v>85</v>
      </c>
      <c r="F310" s="3" t="s">
        <v>86</v>
      </c>
      <c r="G310" s="3" t="s">
        <v>43</v>
      </c>
      <c r="H310" s="3" t="str">
        <f t="array" ref="H310">XLOOKUP(G:G,'Account Manager Data'!A:A,'Account Manager Data'!B:B,0)</f>
        <v>Eko Prasetyo</v>
      </c>
      <c r="I310" s="11" t="str">
        <f t="array" ref="I310">XLOOKUP($G:$G,'Account Manager Data'!$A:$A,'Account Manager Data'!C:C)</f>
        <v>Papua</v>
      </c>
      <c r="J310" s="17">
        <v>2122333.0</v>
      </c>
      <c r="K310" s="17">
        <v>5160982.0</v>
      </c>
      <c r="L310" s="17">
        <v>9284015.0</v>
      </c>
      <c r="M310" s="17">
        <v>3978963.0</v>
      </c>
      <c r="N310" s="17">
        <v>1.4200864E7</v>
      </c>
      <c r="O310" s="17">
        <v>1242708.0</v>
      </c>
      <c r="P310" s="17">
        <v>1423944.0</v>
      </c>
      <c r="Q310" s="17">
        <v>1.2676018E7</v>
      </c>
      <c r="R310" s="17">
        <v>4822074.0</v>
      </c>
      <c r="S310" s="17">
        <v>1.6263165E7</v>
      </c>
      <c r="T310" s="17">
        <v>1.5227846E7</v>
      </c>
      <c r="U310" s="17">
        <v>7181590.0</v>
      </c>
      <c r="V310" s="11">
        <f t="array" ref="V310">XLOOKUP(A:A,'Raw Revenue'!A:A,'Raw Revenue'!B:B,0)
</f>
        <v>0</v>
      </c>
      <c r="W310" s="11">
        <f t="array" ref="W310">XLOOKUP(A:A,'Raw Revenue'!C:C,'Raw Revenue'!D:D,0)</f>
        <v>0</v>
      </c>
      <c r="X310" s="11">
        <f t="array" ref="X310">XLOOKUP(A:A,'Raw Revenue'!E:E,'Raw Revenue'!F:F,0)</f>
        <v>0</v>
      </c>
      <c r="Y310" s="11">
        <f t="array" ref="Y310">XLOOKUP(A:A,'Raw Revenue'!G:G,'Raw Revenue'!H:H,0)</f>
        <v>0</v>
      </c>
      <c r="Z310" s="11">
        <f t="array" ref="Z310">XLOOKUP(A:A,'Raw Revenue'!I:I,'Raw Revenue'!J:J,0)</f>
        <v>0</v>
      </c>
      <c r="AA310" s="11">
        <f t="array" ref="AA310">XLOOKUP(A:A,'Raw Revenue'!K:K,'Raw Revenue'!L:L,0)</f>
        <v>0</v>
      </c>
      <c r="AB310" s="11">
        <f t="array" ref="AB310">XLOOKUP(A:A,'Raw Revenue'!M:M,'Raw Revenue'!N:N,0)</f>
        <v>0</v>
      </c>
      <c r="AC310" s="3">
        <v>0.0</v>
      </c>
      <c r="AD310" s="3">
        <v>0.0</v>
      </c>
      <c r="AE310" s="3">
        <v>0.0</v>
      </c>
      <c r="AF310" s="3">
        <v>0.0</v>
      </c>
      <c r="AG310" s="3">
        <v>0.0</v>
      </c>
    </row>
    <row r="311">
      <c r="A311" s="3" t="s">
        <v>907</v>
      </c>
      <c r="B311" s="3" t="s">
        <v>908</v>
      </c>
      <c r="C311" s="3" t="str">
        <f t="shared" si="1"/>
        <v>PT. Sinar Dunia Baru</v>
      </c>
      <c r="D311" s="3" t="s">
        <v>195</v>
      </c>
      <c r="E311" s="3" t="s">
        <v>196</v>
      </c>
      <c r="F311" s="3" t="s">
        <v>260</v>
      </c>
      <c r="G311" s="3" t="s">
        <v>76</v>
      </c>
      <c r="H311" s="3" t="str">
        <f t="array" ref="H311">XLOOKUP(G:G,'Account Manager Data'!A:A,'Account Manager Data'!B:B,0)</f>
        <v>Teguh Wijaya</v>
      </c>
      <c r="I311" s="11" t="str">
        <f t="array" ref="I311">XLOOKUP($G:$G,'Account Manager Data'!$A:$A,'Account Manager Data'!C:C)</f>
        <v>Sulawesi</v>
      </c>
      <c r="J311" s="17">
        <v>425772.0</v>
      </c>
      <c r="K311" s="17">
        <v>7330336.0</v>
      </c>
      <c r="L311" s="17">
        <v>1.0182282E7</v>
      </c>
      <c r="M311" s="17">
        <v>1177972.0</v>
      </c>
      <c r="N311" s="17">
        <v>5708337.0</v>
      </c>
      <c r="O311" s="17">
        <v>1.0385352E7</v>
      </c>
      <c r="P311" s="17">
        <v>1289274.0</v>
      </c>
      <c r="Q311" s="17">
        <v>5947218.0</v>
      </c>
      <c r="R311" s="17">
        <v>1.7119327E7</v>
      </c>
      <c r="S311" s="17">
        <v>1.4252166E7</v>
      </c>
      <c r="T311" s="17">
        <v>1.8301844E7</v>
      </c>
      <c r="U311" s="17">
        <v>2209992.0</v>
      </c>
      <c r="V311" s="11">
        <f t="array" ref="V311">XLOOKUP(A:A,'Raw Revenue'!A:A,'Raw Revenue'!B:B,0)
</f>
        <v>0</v>
      </c>
      <c r="W311" s="11">
        <f t="array" ref="W311">XLOOKUP(A:A,'Raw Revenue'!C:C,'Raw Revenue'!D:D,0)</f>
        <v>0</v>
      </c>
      <c r="X311" s="11">
        <f t="array" ref="X311">XLOOKUP(A:A,'Raw Revenue'!E:E,'Raw Revenue'!F:F,0)</f>
        <v>0</v>
      </c>
      <c r="Y311" s="11">
        <f t="array" ref="Y311">XLOOKUP(A:A,'Raw Revenue'!G:G,'Raw Revenue'!H:H,0)</f>
        <v>0</v>
      </c>
      <c r="Z311" s="11">
        <f t="array" ref="Z311">XLOOKUP(A:A,'Raw Revenue'!I:I,'Raw Revenue'!J:J,0)</f>
        <v>0</v>
      </c>
      <c r="AA311" s="11">
        <f t="array" ref="AA311">XLOOKUP(A:A,'Raw Revenue'!K:K,'Raw Revenue'!L:L,0)</f>
        <v>0</v>
      </c>
      <c r="AB311" s="11">
        <f t="array" ref="AB311">XLOOKUP(A:A,'Raw Revenue'!M:M,'Raw Revenue'!N:N,0)</f>
        <v>0</v>
      </c>
      <c r="AC311" s="3">
        <v>0.0</v>
      </c>
      <c r="AD311" s="3">
        <v>0.0</v>
      </c>
      <c r="AE311" s="3">
        <v>0.0</v>
      </c>
      <c r="AF311" s="3">
        <v>0.0</v>
      </c>
      <c r="AG311" s="3">
        <v>0.0</v>
      </c>
    </row>
    <row r="312">
      <c r="A312" s="3" t="s">
        <v>909</v>
      </c>
      <c r="B312" s="3" t="s">
        <v>910</v>
      </c>
      <c r="C312" s="3" t="str">
        <f t="shared" si="1"/>
        <v>CV. Karya Utama Mandiri</v>
      </c>
      <c r="D312" s="3" t="s">
        <v>195</v>
      </c>
      <c r="E312" s="3" t="s">
        <v>215</v>
      </c>
      <c r="F312" s="3" t="s">
        <v>216</v>
      </c>
      <c r="G312" s="3" t="s">
        <v>70</v>
      </c>
      <c r="H312" s="3" t="str">
        <f t="array" ref="H312">XLOOKUP(G:G,'Account Manager Data'!A:A,'Account Manager Data'!B:B,0)</f>
        <v>Yusuf Hidayat</v>
      </c>
      <c r="I312" s="11" t="str">
        <f t="array" ref="I312">XLOOKUP($G:$G,'Account Manager Data'!$A:$A,'Account Manager Data'!C:C)</f>
        <v>Sumatera</v>
      </c>
      <c r="J312" s="17">
        <v>1170413.0</v>
      </c>
      <c r="K312" s="17">
        <v>8856023.0</v>
      </c>
      <c r="L312" s="17">
        <v>9511573.0</v>
      </c>
      <c r="M312" s="17">
        <v>9486404.0</v>
      </c>
      <c r="N312" s="17">
        <v>0.0</v>
      </c>
      <c r="O312" s="17">
        <v>1.0347713E7</v>
      </c>
      <c r="P312" s="17">
        <v>2469393.0</v>
      </c>
      <c r="Q312" s="17">
        <v>8756007.0</v>
      </c>
      <c r="R312" s="17">
        <v>1.5425308E7</v>
      </c>
      <c r="S312" s="17">
        <v>6897032.0</v>
      </c>
      <c r="T312" s="17">
        <v>1.53951E7</v>
      </c>
      <c r="U312" s="17">
        <v>1.5281545E7</v>
      </c>
      <c r="V312" s="11">
        <f t="array" ref="V312">XLOOKUP(A:A,'Raw Revenue'!A:A,'Raw Revenue'!B:B,0)
</f>
        <v>0</v>
      </c>
      <c r="W312" s="11">
        <f t="array" ref="W312">XLOOKUP(A:A,'Raw Revenue'!C:C,'Raw Revenue'!D:D,0)</f>
        <v>0</v>
      </c>
      <c r="X312" s="11">
        <f t="array" ref="X312">XLOOKUP(A:A,'Raw Revenue'!E:E,'Raw Revenue'!F:F,0)</f>
        <v>0</v>
      </c>
      <c r="Y312" s="11">
        <f t="array" ref="Y312">XLOOKUP(A:A,'Raw Revenue'!G:G,'Raw Revenue'!H:H,0)</f>
        <v>0</v>
      </c>
      <c r="Z312" s="11">
        <f t="array" ref="Z312">XLOOKUP(A:A,'Raw Revenue'!I:I,'Raw Revenue'!J:J,0)</f>
        <v>0</v>
      </c>
      <c r="AA312" s="11">
        <f t="array" ref="AA312">XLOOKUP(A:A,'Raw Revenue'!K:K,'Raw Revenue'!L:L,0)</f>
        <v>0</v>
      </c>
      <c r="AB312" s="11">
        <f t="array" ref="AB312">XLOOKUP(A:A,'Raw Revenue'!M:M,'Raw Revenue'!N:N,0)</f>
        <v>0</v>
      </c>
      <c r="AC312" s="3">
        <v>0.0</v>
      </c>
      <c r="AD312" s="3">
        <v>0.0</v>
      </c>
      <c r="AE312" s="3">
        <v>0.0</v>
      </c>
      <c r="AF312" s="3">
        <v>0.0</v>
      </c>
      <c r="AG312" s="3">
        <v>0.0</v>
      </c>
    </row>
    <row r="313">
      <c r="A313" s="3" t="s">
        <v>911</v>
      </c>
      <c r="B313" s="3" t="s">
        <v>912</v>
      </c>
      <c r="C313" s="3" t="str">
        <f t="shared" si="1"/>
        <v>PT. Pratama Jaya Sentosa</v>
      </c>
      <c r="D313" s="3" t="s">
        <v>214</v>
      </c>
      <c r="E313" s="3" t="s">
        <v>85</v>
      </c>
      <c r="F313" s="3" t="s">
        <v>248</v>
      </c>
      <c r="G313" s="3" t="s">
        <v>15</v>
      </c>
      <c r="H313" s="3" t="str">
        <f t="array" ref="H313">XLOOKUP(G:G,'Account Manager Data'!A:A,'Account Manager Data'!B:B,0)</f>
        <v>Rizky Maulana</v>
      </c>
      <c r="I313" s="11" t="str">
        <f t="array" ref="I313">XLOOKUP($G:$G,'Account Manager Data'!$A:$A,'Account Manager Data'!C:C)</f>
        <v>Jawa</v>
      </c>
      <c r="J313" s="17">
        <v>3459045.0</v>
      </c>
      <c r="K313" s="17">
        <v>71515.0</v>
      </c>
      <c r="L313" s="17">
        <v>1265664.0</v>
      </c>
      <c r="M313" s="17">
        <v>9498213.0</v>
      </c>
      <c r="N313" s="17">
        <v>827935.0</v>
      </c>
      <c r="O313" s="17">
        <v>9910254.0</v>
      </c>
      <c r="P313" s="17">
        <v>1.1818745E7</v>
      </c>
      <c r="Q313" s="17">
        <v>5192846.0</v>
      </c>
      <c r="R313" s="17">
        <v>6922458.0</v>
      </c>
      <c r="S313" s="17">
        <v>1.3430382E7</v>
      </c>
      <c r="T313" s="17">
        <v>1.0865974E7</v>
      </c>
      <c r="U313" s="17">
        <v>3657330.0</v>
      </c>
      <c r="V313" s="11">
        <f t="array" ref="V313">XLOOKUP(A:A,'Raw Revenue'!A:A,'Raw Revenue'!B:B,0)
</f>
        <v>0</v>
      </c>
      <c r="W313" s="11">
        <f t="array" ref="W313">XLOOKUP(A:A,'Raw Revenue'!C:C,'Raw Revenue'!D:D,0)</f>
        <v>0</v>
      </c>
      <c r="X313" s="11">
        <f t="array" ref="X313">XLOOKUP(A:A,'Raw Revenue'!E:E,'Raw Revenue'!F:F,0)</f>
        <v>0</v>
      </c>
      <c r="Y313" s="11">
        <f t="array" ref="Y313">XLOOKUP(A:A,'Raw Revenue'!G:G,'Raw Revenue'!H:H,0)</f>
        <v>0</v>
      </c>
      <c r="Z313" s="11">
        <f t="array" ref="Z313">XLOOKUP(A:A,'Raw Revenue'!I:I,'Raw Revenue'!J:J,0)</f>
        <v>0</v>
      </c>
      <c r="AA313" s="11">
        <f t="array" ref="AA313">XLOOKUP(A:A,'Raw Revenue'!K:K,'Raw Revenue'!L:L,0)</f>
        <v>0</v>
      </c>
      <c r="AB313" s="11">
        <f t="array" ref="AB313">XLOOKUP(A:A,'Raw Revenue'!M:M,'Raw Revenue'!N:N,0)</f>
        <v>0</v>
      </c>
      <c r="AC313" s="3">
        <v>0.0</v>
      </c>
      <c r="AD313" s="3">
        <v>0.0</v>
      </c>
      <c r="AE313" s="3">
        <v>0.0</v>
      </c>
      <c r="AF313" s="3">
        <v>0.0</v>
      </c>
      <c r="AG313" s="3">
        <v>0.0</v>
      </c>
    </row>
    <row r="314">
      <c r="A314" s="3" t="s">
        <v>913</v>
      </c>
      <c r="B314" s="3" t="s">
        <v>914</v>
      </c>
      <c r="C314" s="3" t="str">
        <f t="shared" si="1"/>
        <v>PT. Abadi Selamanya Jaya</v>
      </c>
      <c r="D314" s="3" t="s">
        <v>84</v>
      </c>
      <c r="E314" s="3" t="s">
        <v>215</v>
      </c>
      <c r="F314" s="3" t="s">
        <v>227</v>
      </c>
      <c r="G314" s="3" t="s">
        <v>53</v>
      </c>
      <c r="H314" s="3" t="str">
        <f t="array" ref="H314">XLOOKUP(G:G,'Account Manager Data'!A:A,'Account Manager Data'!B:B,0)</f>
        <v>Fajar Ramadhan</v>
      </c>
      <c r="I314" s="11" t="str">
        <f t="array" ref="I314">XLOOKUP($G:$G,'Account Manager Data'!$A:$A,'Account Manager Data'!C:C)</f>
        <v>Sulawesi</v>
      </c>
      <c r="J314" s="17">
        <v>5622157.0</v>
      </c>
      <c r="K314" s="17">
        <v>3251912.0</v>
      </c>
      <c r="L314" s="17">
        <v>1.0670418E7</v>
      </c>
      <c r="M314" s="17">
        <v>1061201.0</v>
      </c>
      <c r="N314" s="17">
        <v>1.0691628E7</v>
      </c>
      <c r="O314" s="17">
        <v>5390568.0</v>
      </c>
      <c r="P314" s="17">
        <v>6635505.0</v>
      </c>
      <c r="Q314" s="17">
        <v>1.1892045E7</v>
      </c>
      <c r="R314" s="17">
        <v>1746938.0</v>
      </c>
      <c r="S314" s="17">
        <v>8372343.0</v>
      </c>
      <c r="T314" s="17">
        <v>1700863.0</v>
      </c>
      <c r="U314" s="17">
        <v>5948538.0</v>
      </c>
      <c r="V314" s="11">
        <f t="array" ref="V314">XLOOKUP(A:A,'Raw Revenue'!A:A,'Raw Revenue'!B:B,0)
</f>
        <v>0</v>
      </c>
      <c r="W314" s="11">
        <f t="array" ref="W314">XLOOKUP(A:A,'Raw Revenue'!C:C,'Raw Revenue'!D:D,0)</f>
        <v>0</v>
      </c>
      <c r="X314" s="11">
        <f t="array" ref="X314">XLOOKUP(A:A,'Raw Revenue'!E:E,'Raw Revenue'!F:F,0)</f>
        <v>0</v>
      </c>
      <c r="Y314" s="11">
        <f t="array" ref="Y314">XLOOKUP(A:A,'Raw Revenue'!G:G,'Raw Revenue'!H:H,0)</f>
        <v>0</v>
      </c>
      <c r="Z314" s="11">
        <f t="array" ref="Z314">XLOOKUP(A:A,'Raw Revenue'!I:I,'Raw Revenue'!J:J,0)</f>
        <v>0</v>
      </c>
      <c r="AA314" s="11">
        <f t="array" ref="AA314">XLOOKUP(A:A,'Raw Revenue'!K:K,'Raw Revenue'!L:L,0)</f>
        <v>0</v>
      </c>
      <c r="AB314" s="11">
        <f t="array" ref="AB314">XLOOKUP(A:A,'Raw Revenue'!M:M,'Raw Revenue'!N:N,0)</f>
        <v>0</v>
      </c>
      <c r="AC314" s="3">
        <v>0.0</v>
      </c>
      <c r="AD314" s="3">
        <v>0.0</v>
      </c>
      <c r="AE314" s="3">
        <v>0.0</v>
      </c>
      <c r="AF314" s="3">
        <v>0.0</v>
      </c>
      <c r="AG314" s="3">
        <v>0.0</v>
      </c>
    </row>
    <row r="315">
      <c r="A315" s="3" t="s">
        <v>915</v>
      </c>
      <c r="B315" s="3" t="s">
        <v>916</v>
      </c>
      <c r="C315" s="3" t="str">
        <f t="shared" si="1"/>
        <v>PT. Mandiri Sejahtera Bersama</v>
      </c>
      <c r="D315" s="3" t="s">
        <v>195</v>
      </c>
      <c r="E315" s="3" t="s">
        <v>85</v>
      </c>
      <c r="F315" s="3" t="s">
        <v>86</v>
      </c>
      <c r="G315" s="3" t="s">
        <v>27</v>
      </c>
      <c r="H315" s="3" t="str">
        <f t="array" ref="H315">XLOOKUP(G:G,'Account Manager Data'!A:A,'Account Manager Data'!B:B,0)</f>
        <v>Dedi Kurniawan</v>
      </c>
      <c r="I315" s="11" t="str">
        <f t="array" ref="I315">XLOOKUP($G:$G,'Account Manager Data'!$A:$A,'Account Manager Data'!C:C)</f>
        <v>Kalimantan</v>
      </c>
      <c r="J315" s="17">
        <v>6374171.0</v>
      </c>
      <c r="K315" s="17">
        <v>6302745.0</v>
      </c>
      <c r="L315" s="17">
        <v>0.0</v>
      </c>
      <c r="M315" s="17">
        <v>9275639.0</v>
      </c>
      <c r="N315" s="17">
        <v>4193555.0</v>
      </c>
      <c r="O315" s="17">
        <v>9800509.0</v>
      </c>
      <c r="P315" s="17">
        <v>1.0712339E7</v>
      </c>
      <c r="Q315" s="17">
        <v>3944763.0</v>
      </c>
      <c r="R315" s="17">
        <v>1513354.0</v>
      </c>
      <c r="S315" s="17">
        <v>0.0</v>
      </c>
      <c r="T315" s="17">
        <v>3950055.0</v>
      </c>
      <c r="U315" s="17">
        <v>1.7054926E7</v>
      </c>
      <c r="V315" s="11">
        <f t="array" ref="V315">XLOOKUP(A:A,'Raw Revenue'!A:A,'Raw Revenue'!B:B,0)
</f>
        <v>0</v>
      </c>
      <c r="W315" s="11">
        <f t="array" ref="W315">XLOOKUP(A:A,'Raw Revenue'!C:C,'Raw Revenue'!D:D,0)</f>
        <v>0</v>
      </c>
      <c r="X315" s="11">
        <f t="array" ref="X315">XLOOKUP(A:A,'Raw Revenue'!E:E,'Raw Revenue'!F:F,0)</f>
        <v>0</v>
      </c>
      <c r="Y315" s="11">
        <f t="array" ref="Y315">XLOOKUP(A:A,'Raw Revenue'!G:G,'Raw Revenue'!H:H,0)</f>
        <v>0</v>
      </c>
      <c r="Z315" s="11">
        <f t="array" ref="Z315">XLOOKUP(A:A,'Raw Revenue'!I:I,'Raw Revenue'!J:J,0)</f>
        <v>0</v>
      </c>
      <c r="AA315" s="11">
        <f t="array" ref="AA315">XLOOKUP(A:A,'Raw Revenue'!K:K,'Raw Revenue'!L:L,0)</f>
        <v>0</v>
      </c>
      <c r="AB315" s="11">
        <f t="array" ref="AB315">XLOOKUP(A:A,'Raw Revenue'!M:M,'Raw Revenue'!N:N,0)</f>
        <v>0</v>
      </c>
      <c r="AC315" s="3">
        <v>0.0</v>
      </c>
      <c r="AD315" s="3">
        <v>0.0</v>
      </c>
      <c r="AE315" s="3">
        <v>0.0</v>
      </c>
      <c r="AF315" s="3">
        <v>0.0</v>
      </c>
      <c r="AG315" s="3">
        <v>0.0</v>
      </c>
    </row>
    <row r="316">
      <c r="A316" s="3" t="s">
        <v>917</v>
      </c>
      <c r="B316" s="3" t="s">
        <v>918</v>
      </c>
      <c r="C316" s="3" t="str">
        <f t="shared" si="1"/>
        <v>PT. Sejahtera Alam Indonesia</v>
      </c>
      <c r="D316" s="3" t="s">
        <v>186</v>
      </c>
      <c r="E316" s="3" t="s">
        <v>196</v>
      </c>
      <c r="F316" s="3" t="s">
        <v>197</v>
      </c>
      <c r="G316" s="3" t="s">
        <v>78</v>
      </c>
      <c r="H316" s="3" t="str">
        <f t="array" ref="H316">XLOOKUP(G:G,'Account Manager Data'!A:A,'Account Manager Data'!B:B,0)</f>
        <v>Ilham Saputra</v>
      </c>
      <c r="I316" s="11" t="str">
        <f t="array" ref="I316">XLOOKUP($G:$G,'Account Manager Data'!$A:$A,'Account Manager Data'!C:C)</f>
        <v>Jawa</v>
      </c>
      <c r="J316" s="17">
        <v>6496491.0</v>
      </c>
      <c r="K316" s="17">
        <v>6341584.0</v>
      </c>
      <c r="L316" s="17">
        <v>8174362.0</v>
      </c>
      <c r="M316" s="17">
        <v>4766036.0</v>
      </c>
      <c r="N316" s="17">
        <v>1.291242E7</v>
      </c>
      <c r="O316" s="17">
        <v>3478289.0</v>
      </c>
      <c r="P316" s="17">
        <v>1.4928024E7</v>
      </c>
      <c r="Q316" s="17">
        <v>4287905.0</v>
      </c>
      <c r="R316" s="17">
        <v>2266285.0</v>
      </c>
      <c r="S316" s="17">
        <v>5391935.0</v>
      </c>
      <c r="T316" s="17">
        <v>0.0</v>
      </c>
      <c r="U316" s="17">
        <v>1.0300801E7</v>
      </c>
      <c r="V316" s="11">
        <f t="array" ref="V316">XLOOKUP(A:A,'Raw Revenue'!A:A,'Raw Revenue'!B:B,0)
</f>
        <v>0</v>
      </c>
      <c r="W316" s="11">
        <f t="array" ref="W316">XLOOKUP(A:A,'Raw Revenue'!C:C,'Raw Revenue'!D:D,0)</f>
        <v>0</v>
      </c>
      <c r="X316" s="11">
        <f t="array" ref="X316">XLOOKUP(A:A,'Raw Revenue'!E:E,'Raw Revenue'!F:F,0)</f>
        <v>0</v>
      </c>
      <c r="Y316" s="11">
        <f t="array" ref="Y316">XLOOKUP(A:A,'Raw Revenue'!G:G,'Raw Revenue'!H:H,0)</f>
        <v>0</v>
      </c>
      <c r="Z316" s="11">
        <f t="array" ref="Z316">XLOOKUP(A:A,'Raw Revenue'!I:I,'Raw Revenue'!J:J,0)</f>
        <v>0</v>
      </c>
      <c r="AA316" s="11">
        <f t="array" ref="AA316">XLOOKUP(A:A,'Raw Revenue'!K:K,'Raw Revenue'!L:L,0)</f>
        <v>0</v>
      </c>
      <c r="AB316" s="11">
        <f t="array" ref="AB316">XLOOKUP(A:A,'Raw Revenue'!M:M,'Raw Revenue'!N:N,0)</f>
        <v>0</v>
      </c>
      <c r="AC316" s="3">
        <v>0.0</v>
      </c>
      <c r="AD316" s="3">
        <v>0.0</v>
      </c>
      <c r="AE316" s="3">
        <v>0.0</v>
      </c>
      <c r="AF316" s="3">
        <v>0.0</v>
      </c>
      <c r="AG316" s="3">
        <v>0.0</v>
      </c>
    </row>
    <row r="317">
      <c r="A317" s="3" t="s">
        <v>448</v>
      </c>
      <c r="B317" s="3" t="s">
        <v>919</v>
      </c>
      <c r="C317" s="3" t="str">
        <f t="shared" si="1"/>
        <v>PT. Indah Kargo Logistik</v>
      </c>
      <c r="D317" s="3" t="s">
        <v>103</v>
      </c>
      <c r="E317" s="3" t="s">
        <v>187</v>
      </c>
      <c r="F317" s="3" t="s">
        <v>188</v>
      </c>
      <c r="G317" s="3" t="s">
        <v>63</v>
      </c>
      <c r="H317" s="3" t="str">
        <f t="array" ref="H317">XLOOKUP(G:G,'Account Manager Data'!A:A,'Account Manager Data'!B:B,0)</f>
        <v>Hendra Gunawan</v>
      </c>
      <c r="I317" s="11" t="str">
        <f t="array" ref="I317">XLOOKUP($G:$G,'Account Manager Data'!$A:$A,'Account Manager Data'!C:C)</f>
        <v>Kalimantan</v>
      </c>
      <c r="J317" s="17">
        <v>2507735.0</v>
      </c>
      <c r="K317" s="17">
        <v>6064088.0</v>
      </c>
      <c r="L317" s="17">
        <v>27764.0</v>
      </c>
      <c r="M317" s="17">
        <v>1.0770748E7</v>
      </c>
      <c r="N317" s="17">
        <v>3977398.0</v>
      </c>
      <c r="O317" s="17">
        <v>2742429.0</v>
      </c>
      <c r="P317" s="17">
        <v>1.1426223E7</v>
      </c>
      <c r="Q317" s="17">
        <v>1.1577527E7</v>
      </c>
      <c r="R317" s="17">
        <v>0.0</v>
      </c>
      <c r="S317" s="17">
        <v>4859296.0</v>
      </c>
      <c r="T317" s="17">
        <v>0.0</v>
      </c>
      <c r="U317" s="17">
        <v>1345399.0</v>
      </c>
      <c r="V317" s="11">
        <f t="array" ref="V317">XLOOKUP(A:A,'Raw Revenue'!A:A,'Raw Revenue'!B:B,0)
</f>
        <v>5304388.022</v>
      </c>
      <c r="W317" s="11">
        <f t="array" ref="W317">XLOOKUP(A:A,'Raw Revenue'!C:C,'Raw Revenue'!D:D,0)</f>
        <v>5304388.022</v>
      </c>
      <c r="X317" s="11">
        <f t="array" ref="X317">XLOOKUP(A:A,'Raw Revenue'!E:E,'Raw Revenue'!F:F,0)</f>
        <v>10608776.04</v>
      </c>
      <c r="Y317" s="11">
        <f t="array" ref="Y317">XLOOKUP(A:A,'Raw Revenue'!G:G,'Raw Revenue'!H:H,0)</f>
        <v>8663833.77</v>
      </c>
      <c r="Z317" s="11">
        <f t="array" ref="Z317">XLOOKUP(A:A,'Raw Revenue'!I:I,'Raw Revenue'!J:J,0)</f>
        <v>7779769.1</v>
      </c>
      <c r="AA317" s="11">
        <f t="array" ref="AA317">XLOOKUP(A:A,'Raw Revenue'!K:K,'Raw Revenue'!L:L,0)</f>
        <v>19891455.08</v>
      </c>
      <c r="AB317" s="11">
        <f t="array" ref="AB317">XLOOKUP(A:A,'Raw Revenue'!M:M,'Raw Revenue'!N:N,0)</f>
        <v>18300138.68</v>
      </c>
      <c r="AC317" s="3">
        <v>0.0</v>
      </c>
      <c r="AD317" s="3">
        <v>0.0</v>
      </c>
      <c r="AE317" s="3">
        <v>0.0</v>
      </c>
      <c r="AF317" s="3">
        <v>0.0</v>
      </c>
      <c r="AG317" s="3">
        <v>0.0</v>
      </c>
    </row>
    <row r="318">
      <c r="A318" s="3" t="s">
        <v>920</v>
      </c>
      <c r="B318" s="3" t="s">
        <v>921</v>
      </c>
      <c r="C318" s="3" t="str">
        <f t="shared" si="1"/>
        <v>PT. Berkah Alam Semesta</v>
      </c>
      <c r="D318" s="3" t="s">
        <v>84</v>
      </c>
      <c r="E318" s="3" t="s">
        <v>215</v>
      </c>
      <c r="F318" s="3" t="s">
        <v>300</v>
      </c>
      <c r="G318" s="3" t="s">
        <v>35</v>
      </c>
      <c r="H318" s="3" t="str">
        <f t="array" ref="H318">XLOOKUP(G:G,'Account Manager Data'!A:A,'Account Manager Data'!B:B,0)</f>
        <v>Ahmad Fauzi</v>
      </c>
      <c r="I318" s="11" t="str">
        <f t="array" ref="I318">XLOOKUP($G:$G,'Account Manager Data'!$A:$A,'Account Manager Data'!C:C)</f>
        <v>Sumatera</v>
      </c>
      <c r="J318" s="17">
        <v>3966463.0</v>
      </c>
      <c r="K318" s="17">
        <v>7081131.0</v>
      </c>
      <c r="L318" s="17">
        <v>1.0319558E7</v>
      </c>
      <c r="M318" s="17">
        <v>1277854.0</v>
      </c>
      <c r="N318" s="17">
        <v>1.3863885E7</v>
      </c>
      <c r="O318" s="17">
        <v>1.126038E7</v>
      </c>
      <c r="P318" s="17">
        <v>7100666.0</v>
      </c>
      <c r="Q318" s="17">
        <v>1.4629236E7</v>
      </c>
      <c r="R318" s="17">
        <v>1.4316134E7</v>
      </c>
      <c r="S318" s="17">
        <v>4879979.0</v>
      </c>
      <c r="T318" s="17">
        <v>1.8015197E7</v>
      </c>
      <c r="U318" s="17">
        <v>5527590.0</v>
      </c>
      <c r="V318" s="11">
        <f t="array" ref="V318">XLOOKUP(A:A,'Raw Revenue'!A:A,'Raw Revenue'!B:B,0)
</f>
        <v>0</v>
      </c>
      <c r="W318" s="11">
        <f t="array" ref="W318">XLOOKUP(A:A,'Raw Revenue'!C:C,'Raw Revenue'!D:D,0)</f>
        <v>0</v>
      </c>
      <c r="X318" s="11">
        <f t="array" ref="X318">XLOOKUP(A:A,'Raw Revenue'!E:E,'Raw Revenue'!F:F,0)</f>
        <v>0</v>
      </c>
      <c r="Y318" s="11">
        <f t="array" ref="Y318">XLOOKUP(A:A,'Raw Revenue'!G:G,'Raw Revenue'!H:H,0)</f>
        <v>0</v>
      </c>
      <c r="Z318" s="11">
        <f t="array" ref="Z318">XLOOKUP(A:A,'Raw Revenue'!I:I,'Raw Revenue'!J:J,0)</f>
        <v>0</v>
      </c>
      <c r="AA318" s="11">
        <f t="array" ref="AA318">XLOOKUP(A:A,'Raw Revenue'!K:K,'Raw Revenue'!L:L,0)</f>
        <v>0</v>
      </c>
      <c r="AB318" s="11">
        <f t="array" ref="AB318">XLOOKUP(A:A,'Raw Revenue'!M:M,'Raw Revenue'!N:N,0)</f>
        <v>0</v>
      </c>
      <c r="AC318" s="3">
        <v>0.0</v>
      </c>
      <c r="AD318" s="3">
        <v>0.0</v>
      </c>
      <c r="AE318" s="3">
        <v>0.0</v>
      </c>
      <c r="AF318" s="3">
        <v>0.0</v>
      </c>
      <c r="AG318" s="3">
        <v>0.0</v>
      </c>
    </row>
    <row r="319">
      <c r="A319" s="3" t="s">
        <v>922</v>
      </c>
      <c r="B319" s="3" t="s">
        <v>923</v>
      </c>
      <c r="C319" s="3" t="str">
        <f t="shared" si="1"/>
        <v>PT. Cahaya Baru Indonesia</v>
      </c>
      <c r="D319" s="3" t="s">
        <v>130</v>
      </c>
      <c r="E319" s="3" t="s">
        <v>104</v>
      </c>
      <c r="F319" s="3" t="s">
        <v>105</v>
      </c>
      <c r="G319" s="3" t="s">
        <v>43</v>
      </c>
      <c r="H319" s="3" t="str">
        <f t="array" ref="H319">XLOOKUP(G:G,'Account Manager Data'!A:A,'Account Manager Data'!B:B,0)</f>
        <v>Eko Prasetyo</v>
      </c>
      <c r="I319" s="11" t="str">
        <f t="array" ref="I319">XLOOKUP($G:$G,'Account Manager Data'!$A:$A,'Account Manager Data'!C:C)</f>
        <v>Papua</v>
      </c>
      <c r="J319" s="17">
        <v>5673975.0</v>
      </c>
      <c r="K319" s="17">
        <v>1985213.0</v>
      </c>
      <c r="L319" s="17">
        <v>8846908.0</v>
      </c>
      <c r="M319" s="17">
        <v>4352621.0</v>
      </c>
      <c r="N319" s="17">
        <v>1.3062331E7</v>
      </c>
      <c r="O319" s="17">
        <v>1.4714842E7</v>
      </c>
      <c r="P319" s="17">
        <v>1.3261716E7</v>
      </c>
      <c r="Q319" s="17">
        <v>1.4175224E7</v>
      </c>
      <c r="R319" s="17">
        <v>0.0</v>
      </c>
      <c r="S319" s="17">
        <v>3048130.0</v>
      </c>
      <c r="T319" s="17">
        <v>77826.0</v>
      </c>
      <c r="U319" s="17">
        <v>9286700.0</v>
      </c>
      <c r="V319" s="11">
        <f t="array" ref="V319">XLOOKUP(A:A,'Raw Revenue'!A:A,'Raw Revenue'!B:B,0)
</f>
        <v>0</v>
      </c>
      <c r="W319" s="11">
        <f t="array" ref="W319">XLOOKUP(A:A,'Raw Revenue'!C:C,'Raw Revenue'!D:D,0)</f>
        <v>0</v>
      </c>
      <c r="X319" s="11">
        <f t="array" ref="X319">XLOOKUP(A:A,'Raw Revenue'!E:E,'Raw Revenue'!F:F,0)</f>
        <v>0</v>
      </c>
      <c r="Y319" s="11">
        <f t="array" ref="Y319">XLOOKUP(A:A,'Raw Revenue'!G:G,'Raw Revenue'!H:H,0)</f>
        <v>0</v>
      </c>
      <c r="Z319" s="11">
        <f t="array" ref="Z319">XLOOKUP(A:A,'Raw Revenue'!I:I,'Raw Revenue'!J:J,0)</f>
        <v>0</v>
      </c>
      <c r="AA319" s="11">
        <f t="array" ref="AA319">XLOOKUP(A:A,'Raw Revenue'!K:K,'Raw Revenue'!L:L,0)</f>
        <v>0</v>
      </c>
      <c r="AB319" s="11">
        <f t="array" ref="AB319">XLOOKUP(A:A,'Raw Revenue'!M:M,'Raw Revenue'!N:N,0)</f>
        <v>0</v>
      </c>
      <c r="AC319" s="3">
        <v>0.0</v>
      </c>
      <c r="AD319" s="3">
        <v>0.0</v>
      </c>
      <c r="AE319" s="3">
        <v>0.0</v>
      </c>
      <c r="AF319" s="3">
        <v>0.0</v>
      </c>
      <c r="AG319" s="3">
        <v>0.0</v>
      </c>
    </row>
    <row r="320">
      <c r="A320" s="3" t="s">
        <v>924</v>
      </c>
      <c r="B320" s="3" t="s">
        <v>925</v>
      </c>
      <c r="C320" s="3" t="str">
        <f t="shared" si="1"/>
        <v>PT. Mentari Pagi Sejahtera</v>
      </c>
      <c r="D320" s="3" t="s">
        <v>84</v>
      </c>
      <c r="E320" s="3" t="s">
        <v>196</v>
      </c>
      <c r="F320" s="3" t="s">
        <v>260</v>
      </c>
      <c r="G320" s="3" t="s">
        <v>74</v>
      </c>
      <c r="H320" s="3" t="str">
        <f t="array" ref="H320">XLOOKUP(G:G,'Account Manager Data'!A:A,'Account Manager Data'!B:B,0)</f>
        <v>Budi Santoso</v>
      </c>
      <c r="I320" s="11" t="str">
        <f t="array" ref="I320">XLOOKUP($G:$G,'Account Manager Data'!$A:$A,'Account Manager Data'!C:C)</f>
        <v>Papua</v>
      </c>
      <c r="J320" s="17">
        <v>5462970.0</v>
      </c>
      <c r="K320" s="17">
        <v>360765.0</v>
      </c>
      <c r="L320" s="17">
        <v>1.029E7</v>
      </c>
      <c r="M320" s="17">
        <v>9969441.0</v>
      </c>
      <c r="N320" s="17">
        <v>365802.0</v>
      </c>
      <c r="O320" s="17">
        <v>8143659.0</v>
      </c>
      <c r="P320" s="17">
        <v>1.1619435E7</v>
      </c>
      <c r="Q320" s="17">
        <v>2037186.0</v>
      </c>
      <c r="R320" s="17">
        <v>5582815.0</v>
      </c>
      <c r="S320" s="17">
        <v>1.0473613E7</v>
      </c>
      <c r="T320" s="17">
        <v>803010.0</v>
      </c>
      <c r="U320" s="17">
        <v>1.0098062E7</v>
      </c>
      <c r="V320" s="11">
        <f t="array" ref="V320">XLOOKUP(A:A,'Raw Revenue'!A:A,'Raw Revenue'!B:B,0)
</f>
        <v>0</v>
      </c>
      <c r="W320" s="11">
        <f t="array" ref="W320">XLOOKUP(A:A,'Raw Revenue'!C:C,'Raw Revenue'!D:D,0)</f>
        <v>0</v>
      </c>
      <c r="X320" s="11">
        <f t="array" ref="X320">XLOOKUP(A:A,'Raw Revenue'!E:E,'Raw Revenue'!F:F,0)</f>
        <v>0</v>
      </c>
      <c r="Y320" s="11">
        <f t="array" ref="Y320">XLOOKUP(A:A,'Raw Revenue'!G:G,'Raw Revenue'!H:H,0)</f>
        <v>0</v>
      </c>
      <c r="Z320" s="11">
        <f t="array" ref="Z320">XLOOKUP(A:A,'Raw Revenue'!I:I,'Raw Revenue'!J:J,0)</f>
        <v>0</v>
      </c>
      <c r="AA320" s="11">
        <f t="array" ref="AA320">XLOOKUP(A:A,'Raw Revenue'!K:K,'Raw Revenue'!L:L,0)</f>
        <v>0</v>
      </c>
      <c r="AB320" s="11">
        <f t="array" ref="AB320">XLOOKUP(A:A,'Raw Revenue'!M:M,'Raw Revenue'!N:N,0)</f>
        <v>0</v>
      </c>
      <c r="AC320" s="3">
        <v>0.0</v>
      </c>
      <c r="AD320" s="3">
        <v>0.0</v>
      </c>
      <c r="AE320" s="3">
        <v>0.0</v>
      </c>
      <c r="AF320" s="3">
        <v>0.0</v>
      </c>
      <c r="AG320" s="3">
        <v>0.0</v>
      </c>
    </row>
    <row r="321">
      <c r="A321" s="3" t="s">
        <v>926</v>
      </c>
      <c r="B321" s="3" t="s">
        <v>927</v>
      </c>
      <c r="C321" s="3" t="str">
        <f t="shared" si="1"/>
        <v>PT. Bintang Kejora Nusantara</v>
      </c>
      <c r="D321" s="3" t="s">
        <v>186</v>
      </c>
      <c r="E321" s="3" t="s">
        <v>85</v>
      </c>
      <c r="F321" s="3" t="s">
        <v>248</v>
      </c>
      <c r="G321" s="3" t="s">
        <v>76</v>
      </c>
      <c r="H321" s="3" t="str">
        <f t="array" ref="H321">XLOOKUP(G:G,'Account Manager Data'!A:A,'Account Manager Data'!B:B,0)</f>
        <v>Teguh Wijaya</v>
      </c>
      <c r="I321" s="11" t="str">
        <f t="array" ref="I321">XLOOKUP($G:$G,'Account Manager Data'!$A:$A,'Account Manager Data'!C:C)</f>
        <v>Sulawesi</v>
      </c>
      <c r="J321" s="17">
        <v>1938045.0</v>
      </c>
      <c r="K321" s="17">
        <v>7190866.0</v>
      </c>
      <c r="L321" s="17">
        <v>9207803.0</v>
      </c>
      <c r="M321" s="17">
        <v>4079986.0</v>
      </c>
      <c r="N321" s="17">
        <v>1.3944106E7</v>
      </c>
      <c r="O321" s="17">
        <v>3905996.0</v>
      </c>
      <c r="P321" s="17">
        <v>4889823.0</v>
      </c>
      <c r="Q321" s="17">
        <v>310882.0</v>
      </c>
      <c r="R321" s="17">
        <v>8328631.0</v>
      </c>
      <c r="S321" s="17">
        <v>1.6380722E7</v>
      </c>
      <c r="T321" s="17">
        <v>4754369.0</v>
      </c>
      <c r="U321" s="17">
        <v>788068.0</v>
      </c>
      <c r="V321" s="11">
        <f t="array" ref="V321">XLOOKUP(A:A,'Raw Revenue'!A:A,'Raw Revenue'!B:B,0)
</f>
        <v>0</v>
      </c>
      <c r="W321" s="11">
        <f t="array" ref="W321">XLOOKUP(A:A,'Raw Revenue'!C:C,'Raw Revenue'!D:D,0)</f>
        <v>0</v>
      </c>
      <c r="X321" s="11">
        <f t="array" ref="X321">XLOOKUP(A:A,'Raw Revenue'!E:E,'Raw Revenue'!F:F,0)</f>
        <v>0</v>
      </c>
      <c r="Y321" s="11">
        <f t="array" ref="Y321">XLOOKUP(A:A,'Raw Revenue'!G:G,'Raw Revenue'!H:H,0)</f>
        <v>0</v>
      </c>
      <c r="Z321" s="11">
        <f t="array" ref="Z321">XLOOKUP(A:A,'Raw Revenue'!I:I,'Raw Revenue'!J:J,0)</f>
        <v>0</v>
      </c>
      <c r="AA321" s="11">
        <f t="array" ref="AA321">XLOOKUP(A:A,'Raw Revenue'!K:K,'Raw Revenue'!L:L,0)</f>
        <v>0</v>
      </c>
      <c r="AB321" s="11">
        <f t="array" ref="AB321">XLOOKUP(A:A,'Raw Revenue'!M:M,'Raw Revenue'!N:N,0)</f>
        <v>0</v>
      </c>
      <c r="AC321" s="3">
        <v>0.0</v>
      </c>
      <c r="AD321" s="3">
        <v>0.0</v>
      </c>
      <c r="AE321" s="3">
        <v>0.0</v>
      </c>
      <c r="AF321" s="3">
        <v>0.0</v>
      </c>
      <c r="AG321" s="3">
        <v>0.0</v>
      </c>
    </row>
    <row r="322">
      <c r="A322" s="3" t="s">
        <v>928</v>
      </c>
      <c r="B322" s="3" t="s">
        <v>929</v>
      </c>
      <c r="C322" s="3" t="str">
        <f t="shared" si="1"/>
        <v>PT. Maju Jaya</v>
      </c>
      <c r="D322" s="3" t="s">
        <v>186</v>
      </c>
      <c r="E322" s="3" t="s">
        <v>187</v>
      </c>
      <c r="F322" s="3" t="s">
        <v>269</v>
      </c>
      <c r="G322" s="3" t="s">
        <v>70</v>
      </c>
      <c r="H322" s="3" t="str">
        <f t="array" ref="H322">XLOOKUP(G:G,'Account Manager Data'!A:A,'Account Manager Data'!B:B,0)</f>
        <v>Yusuf Hidayat</v>
      </c>
      <c r="I322" s="11" t="str">
        <f t="array" ref="I322">XLOOKUP($G:$G,'Account Manager Data'!$A:$A,'Account Manager Data'!C:C)</f>
        <v>Sumatera</v>
      </c>
      <c r="J322" s="17">
        <v>7538865.0</v>
      </c>
      <c r="K322" s="17">
        <v>1940628.0</v>
      </c>
      <c r="L322" s="17">
        <v>0.0</v>
      </c>
      <c r="M322" s="17">
        <v>1.0546501E7</v>
      </c>
      <c r="N322" s="17">
        <v>1236826.0</v>
      </c>
      <c r="O322" s="17">
        <v>0.0</v>
      </c>
      <c r="P322" s="17">
        <v>55718.0</v>
      </c>
      <c r="Q322" s="17">
        <v>2478549.0</v>
      </c>
      <c r="R322" s="17">
        <v>1.3040453E7</v>
      </c>
      <c r="S322" s="17">
        <v>5739275.0</v>
      </c>
      <c r="T322" s="17">
        <v>0.0</v>
      </c>
      <c r="U322" s="17">
        <v>1.6403009E7</v>
      </c>
      <c r="V322" s="11">
        <f t="array" ref="V322">XLOOKUP(A:A,'Raw Revenue'!A:A,'Raw Revenue'!B:B,0)
</f>
        <v>0</v>
      </c>
      <c r="W322" s="11">
        <f t="array" ref="W322">XLOOKUP(A:A,'Raw Revenue'!C:C,'Raw Revenue'!D:D,0)</f>
        <v>0</v>
      </c>
      <c r="X322" s="11">
        <f t="array" ref="X322">XLOOKUP(A:A,'Raw Revenue'!E:E,'Raw Revenue'!F:F,0)</f>
        <v>0</v>
      </c>
      <c r="Y322" s="11">
        <f t="array" ref="Y322">XLOOKUP(A:A,'Raw Revenue'!G:G,'Raw Revenue'!H:H,0)</f>
        <v>0</v>
      </c>
      <c r="Z322" s="11">
        <f t="array" ref="Z322">XLOOKUP(A:A,'Raw Revenue'!I:I,'Raw Revenue'!J:J,0)</f>
        <v>0</v>
      </c>
      <c r="AA322" s="11">
        <f t="array" ref="AA322">XLOOKUP(A:A,'Raw Revenue'!K:K,'Raw Revenue'!L:L,0)</f>
        <v>0</v>
      </c>
      <c r="AB322" s="11">
        <f t="array" ref="AB322">XLOOKUP(A:A,'Raw Revenue'!M:M,'Raw Revenue'!N:N,0)</f>
        <v>0</v>
      </c>
      <c r="AC322" s="3">
        <v>0.0</v>
      </c>
      <c r="AD322" s="3">
        <v>0.0</v>
      </c>
      <c r="AE322" s="3">
        <v>0.0</v>
      </c>
      <c r="AF322" s="3">
        <v>0.0</v>
      </c>
      <c r="AG322" s="3">
        <v>0.0</v>
      </c>
    </row>
    <row r="323">
      <c r="A323" s="3" t="s">
        <v>930</v>
      </c>
      <c r="B323" s="3" t="s">
        <v>931</v>
      </c>
      <c r="C323" s="3" t="str">
        <f t="shared" si="1"/>
        <v>CV. Sumber Makmur</v>
      </c>
      <c r="D323" s="3" t="s">
        <v>195</v>
      </c>
      <c r="E323" s="3" t="s">
        <v>187</v>
      </c>
      <c r="F323" s="3" t="s">
        <v>295</v>
      </c>
      <c r="G323" s="3" t="s">
        <v>15</v>
      </c>
      <c r="H323" s="3" t="str">
        <f t="array" ref="H323">XLOOKUP(G:G,'Account Manager Data'!A:A,'Account Manager Data'!B:B,0)</f>
        <v>Rizky Maulana</v>
      </c>
      <c r="I323" s="11" t="str">
        <f t="array" ref="I323">XLOOKUP($G:$G,'Account Manager Data'!$A:$A,'Account Manager Data'!C:C)</f>
        <v>Jawa</v>
      </c>
      <c r="J323" s="17">
        <v>6571883.0</v>
      </c>
      <c r="K323" s="17">
        <v>5846914.0</v>
      </c>
      <c r="L323" s="17">
        <v>6474980.0</v>
      </c>
      <c r="M323" s="17">
        <v>5154677.0</v>
      </c>
      <c r="N323" s="17">
        <v>1.0155084E7</v>
      </c>
      <c r="O323" s="17">
        <v>1.0016087E7</v>
      </c>
      <c r="P323" s="17">
        <v>1.1365257E7</v>
      </c>
      <c r="Q323" s="17">
        <v>1.4318773E7</v>
      </c>
      <c r="R323" s="17">
        <v>2729016.0</v>
      </c>
      <c r="S323" s="17">
        <v>1.1666277E7</v>
      </c>
      <c r="T323" s="17">
        <v>1.7645589E7</v>
      </c>
      <c r="U323" s="17">
        <v>0.0</v>
      </c>
      <c r="V323" s="11">
        <f t="array" ref="V323">XLOOKUP(A:A,'Raw Revenue'!A:A,'Raw Revenue'!B:B,0)
</f>
        <v>0</v>
      </c>
      <c r="W323" s="11">
        <f t="array" ref="W323">XLOOKUP(A:A,'Raw Revenue'!C:C,'Raw Revenue'!D:D,0)</f>
        <v>0</v>
      </c>
      <c r="X323" s="11">
        <f t="array" ref="X323">XLOOKUP(A:A,'Raw Revenue'!E:E,'Raw Revenue'!F:F,0)</f>
        <v>0</v>
      </c>
      <c r="Y323" s="11">
        <f t="array" ref="Y323">XLOOKUP(A:A,'Raw Revenue'!G:G,'Raw Revenue'!H:H,0)</f>
        <v>0</v>
      </c>
      <c r="Z323" s="11">
        <f t="array" ref="Z323">XLOOKUP(A:A,'Raw Revenue'!I:I,'Raw Revenue'!J:J,0)</f>
        <v>0</v>
      </c>
      <c r="AA323" s="11">
        <f t="array" ref="AA323">XLOOKUP(A:A,'Raw Revenue'!K:K,'Raw Revenue'!L:L,0)</f>
        <v>0</v>
      </c>
      <c r="AB323" s="11">
        <f t="array" ref="AB323">XLOOKUP(A:A,'Raw Revenue'!M:M,'Raw Revenue'!N:N,0)</f>
        <v>0</v>
      </c>
      <c r="AC323" s="3">
        <v>0.0</v>
      </c>
      <c r="AD323" s="3">
        <v>0.0</v>
      </c>
      <c r="AE323" s="3">
        <v>0.0</v>
      </c>
      <c r="AF323" s="3">
        <v>0.0</v>
      </c>
      <c r="AG323" s="3">
        <v>0.0</v>
      </c>
    </row>
    <row r="324">
      <c r="A324" s="3" t="s">
        <v>932</v>
      </c>
      <c r="B324" s="3" t="s">
        <v>933</v>
      </c>
      <c r="C324" s="3" t="str">
        <f t="shared" si="1"/>
        <v>PT. Teknologi Nusantara</v>
      </c>
      <c r="D324" s="3" t="s">
        <v>130</v>
      </c>
      <c r="E324" s="3" t="s">
        <v>196</v>
      </c>
      <c r="F324" s="3" t="s">
        <v>315</v>
      </c>
      <c r="G324" s="3" t="s">
        <v>27</v>
      </c>
      <c r="H324" s="3" t="str">
        <f t="array" ref="H324">XLOOKUP(G:G,'Account Manager Data'!A:A,'Account Manager Data'!B:B,0)</f>
        <v>Dedi Kurniawan</v>
      </c>
      <c r="I324" s="11" t="str">
        <f t="array" ref="I324">XLOOKUP($G:$G,'Account Manager Data'!$A:$A,'Account Manager Data'!C:C)</f>
        <v>Kalimantan</v>
      </c>
      <c r="J324" s="17">
        <v>760497.0</v>
      </c>
      <c r="K324" s="17">
        <v>3746023.0</v>
      </c>
      <c r="L324" s="17">
        <v>1174434.0</v>
      </c>
      <c r="M324" s="17">
        <v>5441749.0</v>
      </c>
      <c r="N324" s="17">
        <v>5208873.0</v>
      </c>
      <c r="O324" s="17">
        <v>9681833.0</v>
      </c>
      <c r="P324" s="17">
        <v>7974615.0</v>
      </c>
      <c r="Q324" s="17">
        <v>8307690.0</v>
      </c>
      <c r="R324" s="17">
        <v>0.0</v>
      </c>
      <c r="S324" s="17">
        <v>1.0647398E7</v>
      </c>
      <c r="T324" s="17">
        <v>709588.0</v>
      </c>
      <c r="U324" s="17">
        <v>9468594.0</v>
      </c>
      <c r="V324" s="11">
        <f t="array" ref="V324">XLOOKUP(A:A,'Raw Revenue'!A:A,'Raw Revenue'!B:B,0)
</f>
        <v>0</v>
      </c>
      <c r="W324" s="11">
        <f t="array" ref="W324">XLOOKUP(A:A,'Raw Revenue'!C:C,'Raw Revenue'!D:D,0)</f>
        <v>0</v>
      </c>
      <c r="X324" s="11">
        <f t="array" ref="X324">XLOOKUP(A:A,'Raw Revenue'!E:E,'Raw Revenue'!F:F,0)</f>
        <v>0</v>
      </c>
      <c r="Y324" s="11">
        <f t="array" ref="Y324">XLOOKUP(A:A,'Raw Revenue'!G:G,'Raw Revenue'!H:H,0)</f>
        <v>0</v>
      </c>
      <c r="Z324" s="11">
        <f t="array" ref="Z324">XLOOKUP(A:A,'Raw Revenue'!I:I,'Raw Revenue'!J:J,0)</f>
        <v>0</v>
      </c>
      <c r="AA324" s="11">
        <f t="array" ref="AA324">XLOOKUP(A:A,'Raw Revenue'!K:K,'Raw Revenue'!L:L,0)</f>
        <v>0</v>
      </c>
      <c r="AB324" s="11">
        <f t="array" ref="AB324">XLOOKUP(A:A,'Raw Revenue'!M:M,'Raw Revenue'!N:N,0)</f>
        <v>0</v>
      </c>
      <c r="AC324" s="3">
        <v>0.0</v>
      </c>
      <c r="AD324" s="3">
        <v>0.0</v>
      </c>
      <c r="AE324" s="3">
        <v>0.0</v>
      </c>
      <c r="AF324" s="3">
        <v>0.0</v>
      </c>
      <c r="AG324" s="3">
        <v>0.0</v>
      </c>
    </row>
    <row r="325">
      <c r="A325" s="3" t="s">
        <v>934</v>
      </c>
      <c r="B325" s="3" t="s">
        <v>935</v>
      </c>
      <c r="C325" s="3" t="str">
        <f t="shared" si="1"/>
        <v>PT. Bakti Indonesia</v>
      </c>
      <c r="D325" s="3" t="s">
        <v>195</v>
      </c>
      <c r="E325" s="3" t="s">
        <v>215</v>
      </c>
      <c r="F325" s="3" t="s">
        <v>227</v>
      </c>
      <c r="G325" s="3" t="s">
        <v>78</v>
      </c>
      <c r="H325" s="3" t="str">
        <f t="array" ref="H325">XLOOKUP(G:G,'Account Manager Data'!A:A,'Account Manager Data'!B:B,0)</f>
        <v>Ilham Saputra</v>
      </c>
      <c r="I325" s="11" t="str">
        <f t="array" ref="I325">XLOOKUP($G:$G,'Account Manager Data'!$A:$A,'Account Manager Data'!C:C)</f>
        <v>Jawa</v>
      </c>
      <c r="J325" s="17">
        <v>6678634.0</v>
      </c>
      <c r="K325" s="17">
        <v>769871.0</v>
      </c>
      <c r="L325" s="17">
        <v>4934793.0</v>
      </c>
      <c r="M325" s="17">
        <v>1.0897786E7</v>
      </c>
      <c r="N325" s="17">
        <v>9191562.0</v>
      </c>
      <c r="O325" s="17">
        <v>0.0</v>
      </c>
      <c r="P325" s="17">
        <v>5612664.0</v>
      </c>
      <c r="Q325" s="17">
        <v>1.1891802E7</v>
      </c>
      <c r="R325" s="17">
        <v>5507749.0</v>
      </c>
      <c r="S325" s="17">
        <v>1.5425248E7</v>
      </c>
      <c r="T325" s="17">
        <v>1.8463299E7</v>
      </c>
      <c r="U325" s="17">
        <v>520283.0</v>
      </c>
      <c r="V325" s="11">
        <f t="array" ref="V325">XLOOKUP(A:A,'Raw Revenue'!A:A,'Raw Revenue'!B:B,0)
</f>
        <v>0</v>
      </c>
      <c r="W325" s="11">
        <f t="array" ref="W325">XLOOKUP(A:A,'Raw Revenue'!C:C,'Raw Revenue'!D:D,0)</f>
        <v>0</v>
      </c>
      <c r="X325" s="11">
        <f t="array" ref="X325">XLOOKUP(A:A,'Raw Revenue'!E:E,'Raw Revenue'!F:F,0)</f>
        <v>0</v>
      </c>
      <c r="Y325" s="11">
        <f t="array" ref="Y325">XLOOKUP(A:A,'Raw Revenue'!G:G,'Raw Revenue'!H:H,0)</f>
        <v>0</v>
      </c>
      <c r="Z325" s="11">
        <f t="array" ref="Z325">XLOOKUP(A:A,'Raw Revenue'!I:I,'Raw Revenue'!J:J,0)</f>
        <v>0</v>
      </c>
      <c r="AA325" s="11">
        <f t="array" ref="AA325">XLOOKUP(A:A,'Raw Revenue'!K:K,'Raw Revenue'!L:L,0)</f>
        <v>0</v>
      </c>
      <c r="AB325" s="11">
        <f t="array" ref="AB325">XLOOKUP(A:A,'Raw Revenue'!M:M,'Raw Revenue'!N:N,0)</f>
        <v>0</v>
      </c>
      <c r="AC325" s="3">
        <v>0.0</v>
      </c>
      <c r="AD325" s="3">
        <v>0.0</v>
      </c>
      <c r="AE325" s="3">
        <v>0.0</v>
      </c>
      <c r="AF325" s="3">
        <v>0.0</v>
      </c>
      <c r="AG325" s="3">
        <v>0.0</v>
      </c>
    </row>
    <row r="326">
      <c r="A326" s="3" t="s">
        <v>936</v>
      </c>
      <c r="B326" s="3" t="s">
        <v>937</v>
      </c>
      <c r="C326" s="3" t="str">
        <f t="shared" si="1"/>
        <v>CV. Amanah Sejahtera</v>
      </c>
      <c r="D326" s="3" t="s">
        <v>195</v>
      </c>
      <c r="E326" s="3" t="s">
        <v>85</v>
      </c>
      <c r="F326" s="3" t="s">
        <v>248</v>
      </c>
      <c r="G326" s="3" t="s">
        <v>53</v>
      </c>
      <c r="H326" s="3" t="str">
        <f t="array" ref="H326">XLOOKUP(G:G,'Account Manager Data'!A:A,'Account Manager Data'!B:B,0)</f>
        <v>Fajar Ramadhan</v>
      </c>
      <c r="I326" s="11" t="str">
        <f t="array" ref="I326">XLOOKUP($G:$G,'Account Manager Data'!$A:$A,'Account Manager Data'!C:C)</f>
        <v>Sulawesi</v>
      </c>
      <c r="J326" s="17">
        <v>2303446.0</v>
      </c>
      <c r="K326" s="17">
        <v>6890681.0</v>
      </c>
      <c r="L326" s="17">
        <v>5460938.0</v>
      </c>
      <c r="M326" s="17">
        <v>3353955.0</v>
      </c>
      <c r="N326" s="17">
        <v>2667361.0</v>
      </c>
      <c r="O326" s="17">
        <v>8006657.0</v>
      </c>
      <c r="P326" s="17">
        <v>1.4742848E7</v>
      </c>
      <c r="Q326" s="17">
        <v>8198051.0</v>
      </c>
      <c r="R326" s="17">
        <v>1.3519533E7</v>
      </c>
      <c r="S326" s="17">
        <v>1.1418932E7</v>
      </c>
      <c r="T326" s="17">
        <v>1192276.0</v>
      </c>
      <c r="U326" s="17">
        <v>1.8923099E7</v>
      </c>
      <c r="V326" s="11">
        <f t="array" ref="V326">XLOOKUP(A:A,'Raw Revenue'!A:A,'Raw Revenue'!B:B,0)
</f>
        <v>0</v>
      </c>
      <c r="W326" s="11">
        <f t="array" ref="W326">XLOOKUP(A:A,'Raw Revenue'!C:C,'Raw Revenue'!D:D,0)</f>
        <v>0</v>
      </c>
      <c r="X326" s="11">
        <f t="array" ref="X326">XLOOKUP(A:A,'Raw Revenue'!E:E,'Raw Revenue'!F:F,0)</f>
        <v>0</v>
      </c>
      <c r="Y326" s="11">
        <f t="array" ref="Y326">XLOOKUP(A:A,'Raw Revenue'!G:G,'Raw Revenue'!H:H,0)</f>
        <v>0</v>
      </c>
      <c r="Z326" s="11">
        <f t="array" ref="Z326">XLOOKUP(A:A,'Raw Revenue'!I:I,'Raw Revenue'!J:J,0)</f>
        <v>0</v>
      </c>
      <c r="AA326" s="11">
        <f t="array" ref="AA326">XLOOKUP(A:A,'Raw Revenue'!K:K,'Raw Revenue'!L:L,0)</f>
        <v>0</v>
      </c>
      <c r="AB326" s="11">
        <f t="array" ref="AB326">XLOOKUP(A:A,'Raw Revenue'!M:M,'Raw Revenue'!N:N,0)</f>
        <v>0</v>
      </c>
      <c r="AC326" s="3">
        <v>0.0</v>
      </c>
      <c r="AD326" s="3">
        <v>0.0</v>
      </c>
      <c r="AE326" s="3">
        <v>0.0</v>
      </c>
      <c r="AF326" s="3">
        <v>0.0</v>
      </c>
      <c r="AG326" s="3">
        <v>0.0</v>
      </c>
    </row>
    <row r="327">
      <c r="A327" s="3" t="s">
        <v>938</v>
      </c>
      <c r="B327" s="3" t="s">
        <v>939</v>
      </c>
      <c r="C327" s="3" t="str">
        <f t="shared" si="1"/>
        <v>PT. Digital Solusi Pratama</v>
      </c>
      <c r="D327" s="3" t="s">
        <v>214</v>
      </c>
      <c r="E327" s="3" t="s">
        <v>215</v>
      </c>
      <c r="F327" s="3" t="s">
        <v>216</v>
      </c>
      <c r="G327" s="3" t="s">
        <v>63</v>
      </c>
      <c r="H327" s="3" t="str">
        <f t="array" ref="H327">XLOOKUP(G:G,'Account Manager Data'!A:A,'Account Manager Data'!B:B,0)</f>
        <v>Hendra Gunawan</v>
      </c>
      <c r="I327" s="11" t="str">
        <f t="array" ref="I327">XLOOKUP($G:$G,'Account Manager Data'!$A:$A,'Account Manager Data'!C:C)</f>
        <v>Kalimantan</v>
      </c>
      <c r="J327" s="17">
        <v>304785.0</v>
      </c>
      <c r="K327" s="17">
        <v>8581643.0</v>
      </c>
      <c r="L327" s="17">
        <v>9113005.0</v>
      </c>
      <c r="M327" s="17">
        <v>3825126.0</v>
      </c>
      <c r="N327" s="17">
        <v>1.284478E7</v>
      </c>
      <c r="O327" s="17">
        <v>2754469.0</v>
      </c>
      <c r="P327" s="17">
        <v>9289892.0</v>
      </c>
      <c r="Q327" s="17">
        <v>1.5550563E7</v>
      </c>
      <c r="R327" s="17">
        <v>1.6488754E7</v>
      </c>
      <c r="S327" s="17">
        <v>2861229.0</v>
      </c>
      <c r="T327" s="17">
        <v>1.2753087E7</v>
      </c>
      <c r="U327" s="17">
        <v>1.3339983E7</v>
      </c>
      <c r="V327" s="11">
        <f t="array" ref="V327">XLOOKUP(A:A,'Raw Revenue'!A:A,'Raw Revenue'!B:B,0)
</f>
        <v>0</v>
      </c>
      <c r="W327" s="11">
        <f t="array" ref="W327">XLOOKUP(A:A,'Raw Revenue'!C:C,'Raw Revenue'!D:D,0)</f>
        <v>0</v>
      </c>
      <c r="X327" s="11">
        <f t="array" ref="X327">XLOOKUP(A:A,'Raw Revenue'!E:E,'Raw Revenue'!F:F,0)</f>
        <v>0</v>
      </c>
      <c r="Y327" s="11">
        <f t="array" ref="Y327">XLOOKUP(A:A,'Raw Revenue'!G:G,'Raw Revenue'!H:H,0)</f>
        <v>0</v>
      </c>
      <c r="Z327" s="11">
        <f t="array" ref="Z327">XLOOKUP(A:A,'Raw Revenue'!I:I,'Raw Revenue'!J:J,0)</f>
        <v>0</v>
      </c>
      <c r="AA327" s="11">
        <f t="array" ref="AA327">XLOOKUP(A:A,'Raw Revenue'!K:K,'Raw Revenue'!L:L,0)</f>
        <v>0</v>
      </c>
      <c r="AB327" s="11">
        <f t="array" ref="AB327">XLOOKUP(A:A,'Raw Revenue'!M:M,'Raw Revenue'!N:N,0)</f>
        <v>0</v>
      </c>
      <c r="AC327" s="3">
        <v>0.0</v>
      </c>
      <c r="AD327" s="3">
        <v>0.0</v>
      </c>
      <c r="AE327" s="3">
        <v>0.0</v>
      </c>
      <c r="AF327" s="3">
        <v>0.0</v>
      </c>
      <c r="AG327" s="3">
        <v>0.0</v>
      </c>
    </row>
    <row r="328">
      <c r="A328" s="3" t="s">
        <v>940</v>
      </c>
      <c r="B328" s="3" t="s">
        <v>941</v>
      </c>
      <c r="C328" s="3" t="str">
        <f t="shared" si="1"/>
        <v>PT. Global Niaga Abadi</v>
      </c>
      <c r="D328" s="3" t="s">
        <v>130</v>
      </c>
      <c r="E328" s="3" t="s">
        <v>196</v>
      </c>
      <c r="F328" s="3" t="s">
        <v>260</v>
      </c>
      <c r="G328" s="3" t="s">
        <v>35</v>
      </c>
      <c r="H328" s="3" t="str">
        <f t="array" ref="H328">XLOOKUP(G:G,'Account Manager Data'!A:A,'Account Manager Data'!B:B,0)</f>
        <v>Ahmad Fauzi</v>
      </c>
      <c r="I328" s="11" t="str">
        <f t="array" ref="I328">XLOOKUP($G:$G,'Account Manager Data'!$A:$A,'Account Manager Data'!C:C)</f>
        <v>Sumatera</v>
      </c>
      <c r="J328" s="17">
        <v>5981876.0</v>
      </c>
      <c r="K328" s="17">
        <v>501598.0</v>
      </c>
      <c r="L328" s="17">
        <v>6877821.0</v>
      </c>
      <c r="M328" s="17">
        <v>932025.0</v>
      </c>
      <c r="N328" s="17">
        <v>0.0</v>
      </c>
      <c r="O328" s="17">
        <v>6869447.0</v>
      </c>
      <c r="P328" s="17">
        <v>0.0</v>
      </c>
      <c r="Q328" s="17">
        <v>4918465.0</v>
      </c>
      <c r="R328" s="17">
        <v>0.0</v>
      </c>
      <c r="S328" s="17">
        <v>4415069.0</v>
      </c>
      <c r="T328" s="17">
        <v>1.3114324E7</v>
      </c>
      <c r="U328" s="17">
        <v>1047322.0</v>
      </c>
      <c r="V328" s="11">
        <f t="array" ref="V328">XLOOKUP(A:A,'Raw Revenue'!A:A,'Raw Revenue'!B:B,0)
</f>
        <v>0</v>
      </c>
      <c r="W328" s="11">
        <f t="array" ref="W328">XLOOKUP(A:A,'Raw Revenue'!C:C,'Raw Revenue'!D:D,0)</f>
        <v>0</v>
      </c>
      <c r="X328" s="11">
        <f t="array" ref="X328">XLOOKUP(A:A,'Raw Revenue'!E:E,'Raw Revenue'!F:F,0)</f>
        <v>0</v>
      </c>
      <c r="Y328" s="11">
        <f t="array" ref="Y328">XLOOKUP(A:A,'Raw Revenue'!G:G,'Raw Revenue'!H:H,0)</f>
        <v>0</v>
      </c>
      <c r="Z328" s="11">
        <f t="array" ref="Z328">XLOOKUP(A:A,'Raw Revenue'!I:I,'Raw Revenue'!J:J,0)</f>
        <v>0</v>
      </c>
      <c r="AA328" s="11">
        <f t="array" ref="AA328">XLOOKUP(A:A,'Raw Revenue'!K:K,'Raw Revenue'!L:L,0)</f>
        <v>0</v>
      </c>
      <c r="AB328" s="11">
        <f t="array" ref="AB328">XLOOKUP(A:A,'Raw Revenue'!M:M,'Raw Revenue'!N:N,0)</f>
        <v>0</v>
      </c>
      <c r="AC328" s="3">
        <v>0.0</v>
      </c>
      <c r="AD328" s="3">
        <v>0.0</v>
      </c>
      <c r="AE328" s="3">
        <v>0.0</v>
      </c>
      <c r="AF328" s="3">
        <v>0.0</v>
      </c>
      <c r="AG328" s="3">
        <v>0.0</v>
      </c>
    </row>
    <row r="329">
      <c r="A329" s="3" t="s">
        <v>942</v>
      </c>
      <c r="B329" s="3" t="s">
        <v>943</v>
      </c>
      <c r="C329" s="3" t="str">
        <f t="shared" si="1"/>
        <v>PT. Indo Makmur Sentosa</v>
      </c>
      <c r="D329" s="3" t="s">
        <v>84</v>
      </c>
      <c r="E329" s="3" t="s">
        <v>187</v>
      </c>
      <c r="F329" s="3" t="s">
        <v>188</v>
      </c>
      <c r="G329" s="3" t="s">
        <v>74</v>
      </c>
      <c r="H329" s="3" t="str">
        <f t="array" ref="H329">XLOOKUP(G:G,'Account Manager Data'!A:A,'Account Manager Data'!B:B,0)</f>
        <v>Budi Santoso</v>
      </c>
      <c r="I329" s="11" t="str">
        <f t="array" ref="I329">XLOOKUP($G:$G,'Account Manager Data'!$A:$A,'Account Manager Data'!C:C)</f>
        <v>Papua</v>
      </c>
      <c r="J329" s="17">
        <v>3039347.0</v>
      </c>
      <c r="K329" s="17">
        <v>2987142.0</v>
      </c>
      <c r="L329" s="17">
        <v>9256674.0</v>
      </c>
      <c r="M329" s="17">
        <v>6183035.0</v>
      </c>
      <c r="N329" s="17">
        <v>4278114.0</v>
      </c>
      <c r="O329" s="17">
        <v>0.0</v>
      </c>
      <c r="P329" s="17">
        <v>1.1567422E7</v>
      </c>
      <c r="Q329" s="17">
        <v>4940862.0</v>
      </c>
      <c r="R329" s="17">
        <v>7260988.0</v>
      </c>
      <c r="S329" s="17">
        <v>3890437.0</v>
      </c>
      <c r="T329" s="17">
        <v>1.2650685E7</v>
      </c>
      <c r="U329" s="17">
        <v>971895.0</v>
      </c>
      <c r="V329" s="11">
        <f t="array" ref="V329">XLOOKUP(A:A,'Raw Revenue'!A:A,'Raw Revenue'!B:B,0)
</f>
        <v>0</v>
      </c>
      <c r="W329" s="11">
        <f t="array" ref="W329">XLOOKUP(A:A,'Raw Revenue'!C:C,'Raw Revenue'!D:D,0)</f>
        <v>0</v>
      </c>
      <c r="X329" s="11">
        <f t="array" ref="X329">XLOOKUP(A:A,'Raw Revenue'!E:E,'Raw Revenue'!F:F,0)</f>
        <v>0</v>
      </c>
      <c r="Y329" s="11">
        <f t="array" ref="Y329">XLOOKUP(A:A,'Raw Revenue'!G:G,'Raw Revenue'!H:H,0)</f>
        <v>0</v>
      </c>
      <c r="Z329" s="11">
        <f t="array" ref="Z329">XLOOKUP(A:A,'Raw Revenue'!I:I,'Raw Revenue'!J:J,0)</f>
        <v>0</v>
      </c>
      <c r="AA329" s="11">
        <f t="array" ref="AA329">XLOOKUP(A:A,'Raw Revenue'!K:K,'Raw Revenue'!L:L,0)</f>
        <v>0</v>
      </c>
      <c r="AB329" s="11">
        <f t="array" ref="AB329">XLOOKUP(A:A,'Raw Revenue'!M:M,'Raw Revenue'!N:N,0)</f>
        <v>0</v>
      </c>
      <c r="AC329" s="3">
        <v>0.0</v>
      </c>
      <c r="AD329" s="3">
        <v>0.0</v>
      </c>
      <c r="AE329" s="3">
        <v>0.0</v>
      </c>
      <c r="AF329" s="3">
        <v>0.0</v>
      </c>
      <c r="AG329" s="3">
        <v>0.0</v>
      </c>
    </row>
    <row r="330">
      <c r="A330" s="3" t="s">
        <v>944</v>
      </c>
      <c r="B330" s="3" t="s">
        <v>945</v>
      </c>
      <c r="C330" s="3" t="str">
        <f t="shared" si="1"/>
        <v>PT. Citra Mandiri Utama</v>
      </c>
      <c r="D330" s="3" t="s">
        <v>195</v>
      </c>
      <c r="E330" s="3" t="s">
        <v>196</v>
      </c>
      <c r="F330" s="3" t="s">
        <v>315</v>
      </c>
      <c r="G330" s="3" t="s">
        <v>43</v>
      </c>
      <c r="H330" s="3" t="str">
        <f t="array" ref="H330">XLOOKUP(G:G,'Account Manager Data'!A:A,'Account Manager Data'!B:B,0)</f>
        <v>Eko Prasetyo</v>
      </c>
      <c r="I330" s="11" t="str">
        <f t="array" ref="I330">XLOOKUP($G:$G,'Account Manager Data'!$A:$A,'Account Manager Data'!C:C)</f>
        <v>Papua</v>
      </c>
      <c r="J330" s="17">
        <v>1279232.0</v>
      </c>
      <c r="K330" s="17">
        <v>3140477.0</v>
      </c>
      <c r="L330" s="17">
        <v>5469958.0</v>
      </c>
      <c r="M330" s="17">
        <v>2128475.0</v>
      </c>
      <c r="N330" s="17">
        <v>3417265.0</v>
      </c>
      <c r="O330" s="17">
        <v>1.4900914E7</v>
      </c>
      <c r="P330" s="17">
        <v>1.4498158E7</v>
      </c>
      <c r="Q330" s="17">
        <v>3573151.0</v>
      </c>
      <c r="R330" s="17">
        <v>1.1897805E7</v>
      </c>
      <c r="S330" s="17">
        <v>6370071.0</v>
      </c>
      <c r="T330" s="17">
        <v>1.7608676E7</v>
      </c>
      <c r="U330" s="17">
        <v>0.0</v>
      </c>
      <c r="V330" s="11">
        <f t="array" ref="V330">XLOOKUP(A:A,'Raw Revenue'!A:A,'Raw Revenue'!B:B,0)
</f>
        <v>0</v>
      </c>
      <c r="W330" s="11">
        <f t="array" ref="W330">XLOOKUP(A:A,'Raw Revenue'!C:C,'Raw Revenue'!D:D,0)</f>
        <v>0</v>
      </c>
      <c r="X330" s="11">
        <f t="array" ref="X330">XLOOKUP(A:A,'Raw Revenue'!E:E,'Raw Revenue'!F:F,0)</f>
        <v>0</v>
      </c>
      <c r="Y330" s="11">
        <f t="array" ref="Y330">XLOOKUP(A:A,'Raw Revenue'!G:G,'Raw Revenue'!H:H,0)</f>
        <v>0</v>
      </c>
      <c r="Z330" s="11">
        <f t="array" ref="Z330">XLOOKUP(A:A,'Raw Revenue'!I:I,'Raw Revenue'!J:J,0)</f>
        <v>0</v>
      </c>
      <c r="AA330" s="11">
        <f t="array" ref="AA330">XLOOKUP(A:A,'Raw Revenue'!K:K,'Raw Revenue'!L:L,0)</f>
        <v>0</v>
      </c>
      <c r="AB330" s="11">
        <f t="array" ref="AB330">XLOOKUP(A:A,'Raw Revenue'!M:M,'Raw Revenue'!N:N,0)</f>
        <v>0</v>
      </c>
      <c r="AC330" s="3">
        <v>0.0</v>
      </c>
      <c r="AD330" s="3">
        <v>0.0</v>
      </c>
      <c r="AE330" s="3">
        <v>0.0</v>
      </c>
      <c r="AF330" s="3">
        <v>0.0</v>
      </c>
      <c r="AG330" s="3">
        <v>0.0</v>
      </c>
    </row>
    <row r="331">
      <c r="A331" s="3" t="s">
        <v>946</v>
      </c>
      <c r="B331" s="3" t="s">
        <v>947</v>
      </c>
      <c r="C331" s="3" t="str">
        <f t="shared" si="1"/>
        <v>PT. Sinar Dunia Baru</v>
      </c>
      <c r="D331" s="3" t="s">
        <v>130</v>
      </c>
      <c r="E331" s="3" t="s">
        <v>196</v>
      </c>
      <c r="F331" s="3" t="s">
        <v>260</v>
      </c>
      <c r="G331" s="3" t="s">
        <v>76</v>
      </c>
      <c r="H331" s="3" t="str">
        <f t="array" ref="H331">XLOOKUP(G:G,'Account Manager Data'!A:A,'Account Manager Data'!B:B,0)</f>
        <v>Teguh Wijaya</v>
      </c>
      <c r="I331" s="11" t="str">
        <f t="array" ref="I331">XLOOKUP($G:$G,'Account Manager Data'!$A:$A,'Account Manager Data'!C:C)</f>
        <v>Sulawesi</v>
      </c>
      <c r="J331" s="17">
        <v>7616317.0</v>
      </c>
      <c r="K331" s="17">
        <v>1089296.0</v>
      </c>
      <c r="L331" s="17">
        <v>4710304.0</v>
      </c>
      <c r="M331" s="17">
        <v>8758888.0</v>
      </c>
      <c r="N331" s="17">
        <v>9929959.0</v>
      </c>
      <c r="O331" s="17">
        <v>9104267.0</v>
      </c>
      <c r="P331" s="17">
        <v>1.467635E7</v>
      </c>
      <c r="Q331" s="17">
        <v>0.0</v>
      </c>
      <c r="R331" s="17">
        <v>1.0023724E7</v>
      </c>
      <c r="S331" s="17">
        <v>3300689.0</v>
      </c>
      <c r="T331" s="17">
        <v>9244230.0</v>
      </c>
      <c r="U331" s="17">
        <v>1.1089581E7</v>
      </c>
      <c r="V331" s="11">
        <f t="array" ref="V331">XLOOKUP(A:A,'Raw Revenue'!A:A,'Raw Revenue'!B:B,0)
</f>
        <v>0</v>
      </c>
      <c r="W331" s="11">
        <f t="array" ref="W331">XLOOKUP(A:A,'Raw Revenue'!C:C,'Raw Revenue'!D:D,0)</f>
        <v>0</v>
      </c>
      <c r="X331" s="11">
        <f t="array" ref="X331">XLOOKUP(A:A,'Raw Revenue'!E:E,'Raw Revenue'!F:F,0)</f>
        <v>0</v>
      </c>
      <c r="Y331" s="11">
        <f t="array" ref="Y331">XLOOKUP(A:A,'Raw Revenue'!G:G,'Raw Revenue'!H:H,0)</f>
        <v>0</v>
      </c>
      <c r="Z331" s="11">
        <f t="array" ref="Z331">XLOOKUP(A:A,'Raw Revenue'!I:I,'Raw Revenue'!J:J,0)</f>
        <v>0</v>
      </c>
      <c r="AA331" s="11">
        <f t="array" ref="AA331">XLOOKUP(A:A,'Raw Revenue'!K:K,'Raw Revenue'!L:L,0)</f>
        <v>0</v>
      </c>
      <c r="AB331" s="11">
        <f t="array" ref="AB331">XLOOKUP(A:A,'Raw Revenue'!M:M,'Raw Revenue'!N:N,0)</f>
        <v>0</v>
      </c>
      <c r="AC331" s="3">
        <v>0.0</v>
      </c>
      <c r="AD331" s="3">
        <v>0.0</v>
      </c>
      <c r="AE331" s="3">
        <v>0.0</v>
      </c>
      <c r="AF331" s="3">
        <v>0.0</v>
      </c>
      <c r="AG331" s="3">
        <v>0.0</v>
      </c>
    </row>
    <row r="332">
      <c r="A332" s="3" t="s">
        <v>948</v>
      </c>
      <c r="B332" s="3" t="s">
        <v>949</v>
      </c>
      <c r="C332" s="3" t="str">
        <f t="shared" si="1"/>
        <v>CV. Karya Utama Mandiri</v>
      </c>
      <c r="D332" s="3" t="s">
        <v>130</v>
      </c>
      <c r="E332" s="3" t="s">
        <v>104</v>
      </c>
      <c r="F332" s="3" t="s">
        <v>134</v>
      </c>
      <c r="G332" s="3" t="s">
        <v>70</v>
      </c>
      <c r="H332" s="3" t="str">
        <f t="array" ref="H332">XLOOKUP(G:G,'Account Manager Data'!A:A,'Account Manager Data'!B:B,0)</f>
        <v>Yusuf Hidayat</v>
      </c>
      <c r="I332" s="11" t="str">
        <f t="array" ref="I332">XLOOKUP($G:$G,'Account Manager Data'!$A:$A,'Account Manager Data'!C:C)</f>
        <v>Sumatera</v>
      </c>
      <c r="J332" s="17">
        <v>2592448.0</v>
      </c>
      <c r="K332" s="17">
        <v>3416135.0</v>
      </c>
      <c r="L332" s="17">
        <v>0.0</v>
      </c>
      <c r="M332" s="17">
        <v>4804705.0</v>
      </c>
      <c r="N332" s="17">
        <v>1.0189607E7</v>
      </c>
      <c r="O332" s="17">
        <v>5012990.0</v>
      </c>
      <c r="P332" s="17">
        <v>219092.0</v>
      </c>
      <c r="Q332" s="17">
        <v>3043941.0</v>
      </c>
      <c r="R332" s="17">
        <v>6024195.0</v>
      </c>
      <c r="S332" s="17">
        <v>3757030.0</v>
      </c>
      <c r="T332" s="17">
        <v>1.0108665E7</v>
      </c>
      <c r="U332" s="17">
        <v>9875257.0</v>
      </c>
      <c r="V332" s="11">
        <f t="array" ref="V332">XLOOKUP(A:A,'Raw Revenue'!A:A,'Raw Revenue'!B:B,0)
</f>
        <v>0</v>
      </c>
      <c r="W332" s="11">
        <f t="array" ref="W332">XLOOKUP(A:A,'Raw Revenue'!C:C,'Raw Revenue'!D:D,0)</f>
        <v>0</v>
      </c>
      <c r="X332" s="11">
        <f t="array" ref="X332">XLOOKUP(A:A,'Raw Revenue'!E:E,'Raw Revenue'!F:F,0)</f>
        <v>0</v>
      </c>
      <c r="Y332" s="11">
        <f t="array" ref="Y332">XLOOKUP(A:A,'Raw Revenue'!G:G,'Raw Revenue'!H:H,0)</f>
        <v>0</v>
      </c>
      <c r="Z332" s="11">
        <f t="array" ref="Z332">XLOOKUP(A:A,'Raw Revenue'!I:I,'Raw Revenue'!J:J,0)</f>
        <v>0</v>
      </c>
      <c r="AA332" s="11">
        <f t="array" ref="AA332">XLOOKUP(A:A,'Raw Revenue'!K:K,'Raw Revenue'!L:L,0)</f>
        <v>0</v>
      </c>
      <c r="AB332" s="11">
        <f t="array" ref="AB332">XLOOKUP(A:A,'Raw Revenue'!M:M,'Raw Revenue'!N:N,0)</f>
        <v>0</v>
      </c>
      <c r="AC332" s="3">
        <v>0.0</v>
      </c>
      <c r="AD332" s="3">
        <v>0.0</v>
      </c>
      <c r="AE332" s="3">
        <v>0.0</v>
      </c>
      <c r="AF332" s="3">
        <v>0.0</v>
      </c>
      <c r="AG332" s="3">
        <v>0.0</v>
      </c>
    </row>
    <row r="333">
      <c r="A333" s="3" t="s">
        <v>950</v>
      </c>
      <c r="B333" s="3" t="s">
        <v>951</v>
      </c>
      <c r="C333" s="3" t="str">
        <f t="shared" si="1"/>
        <v>PT. Pratama Jaya Sentosa</v>
      </c>
      <c r="D333" s="3" t="s">
        <v>186</v>
      </c>
      <c r="E333" s="3" t="s">
        <v>196</v>
      </c>
      <c r="F333" s="3" t="s">
        <v>260</v>
      </c>
      <c r="G333" s="3" t="s">
        <v>15</v>
      </c>
      <c r="H333" s="3" t="str">
        <f t="array" ref="H333">XLOOKUP(G:G,'Account Manager Data'!A:A,'Account Manager Data'!B:B,0)</f>
        <v>Rizky Maulana</v>
      </c>
      <c r="I333" s="11" t="str">
        <f t="array" ref="I333">XLOOKUP($G:$G,'Account Manager Data'!$A:$A,'Account Manager Data'!C:C)</f>
        <v>Jawa</v>
      </c>
      <c r="J333" s="17">
        <v>1910698.0</v>
      </c>
      <c r="K333" s="17">
        <v>1540170.0</v>
      </c>
      <c r="L333" s="17">
        <v>56802.0</v>
      </c>
      <c r="M333" s="17">
        <v>5605641.0</v>
      </c>
      <c r="N333" s="17">
        <v>1405388.0</v>
      </c>
      <c r="O333" s="17">
        <v>2666093.0</v>
      </c>
      <c r="P333" s="17">
        <v>2877583.0</v>
      </c>
      <c r="Q333" s="17">
        <v>4372111.0</v>
      </c>
      <c r="R333" s="17">
        <v>1.2675177E7</v>
      </c>
      <c r="S333" s="17">
        <v>1.070973E7</v>
      </c>
      <c r="T333" s="17">
        <v>26357.0</v>
      </c>
      <c r="U333" s="17">
        <v>5411692.0</v>
      </c>
      <c r="V333" s="11">
        <f t="array" ref="V333">XLOOKUP(A:A,'Raw Revenue'!A:A,'Raw Revenue'!B:B,0)
</f>
        <v>0</v>
      </c>
      <c r="W333" s="11">
        <f t="array" ref="W333">XLOOKUP(A:A,'Raw Revenue'!C:C,'Raw Revenue'!D:D,0)</f>
        <v>0</v>
      </c>
      <c r="X333" s="11">
        <f t="array" ref="X333">XLOOKUP(A:A,'Raw Revenue'!E:E,'Raw Revenue'!F:F,0)</f>
        <v>0</v>
      </c>
      <c r="Y333" s="11">
        <f t="array" ref="Y333">XLOOKUP(A:A,'Raw Revenue'!G:G,'Raw Revenue'!H:H,0)</f>
        <v>0</v>
      </c>
      <c r="Z333" s="11">
        <f t="array" ref="Z333">XLOOKUP(A:A,'Raw Revenue'!I:I,'Raw Revenue'!J:J,0)</f>
        <v>0</v>
      </c>
      <c r="AA333" s="11">
        <f t="array" ref="AA333">XLOOKUP(A:A,'Raw Revenue'!K:K,'Raw Revenue'!L:L,0)</f>
        <v>0</v>
      </c>
      <c r="AB333" s="11">
        <f t="array" ref="AB333">XLOOKUP(A:A,'Raw Revenue'!M:M,'Raw Revenue'!N:N,0)</f>
        <v>0</v>
      </c>
      <c r="AC333" s="3">
        <v>0.0</v>
      </c>
      <c r="AD333" s="3">
        <v>0.0</v>
      </c>
      <c r="AE333" s="3">
        <v>0.0</v>
      </c>
      <c r="AF333" s="3">
        <v>0.0</v>
      </c>
      <c r="AG333" s="3">
        <v>0.0</v>
      </c>
    </row>
    <row r="334">
      <c r="A334" s="3" t="s">
        <v>952</v>
      </c>
      <c r="B334" s="3" t="s">
        <v>953</v>
      </c>
      <c r="C334" s="3" t="str">
        <f t="shared" si="1"/>
        <v>PT. Abadi Selamanya Jaya</v>
      </c>
      <c r="D334" s="3" t="s">
        <v>195</v>
      </c>
      <c r="E334" s="3" t="s">
        <v>85</v>
      </c>
      <c r="F334" s="3" t="s">
        <v>86</v>
      </c>
      <c r="G334" s="3" t="s">
        <v>53</v>
      </c>
      <c r="H334" s="3" t="str">
        <f t="array" ref="H334">XLOOKUP(G:G,'Account Manager Data'!A:A,'Account Manager Data'!B:B,0)</f>
        <v>Fajar Ramadhan</v>
      </c>
      <c r="I334" s="11" t="str">
        <f t="array" ref="I334">XLOOKUP($G:$G,'Account Manager Data'!$A:$A,'Account Manager Data'!C:C)</f>
        <v>Sulawesi</v>
      </c>
      <c r="J334" s="17">
        <v>413683.0</v>
      </c>
      <c r="K334" s="17">
        <v>2769518.0</v>
      </c>
      <c r="L334" s="17">
        <v>5755047.0</v>
      </c>
      <c r="M334" s="17">
        <v>1.0951548E7</v>
      </c>
      <c r="N334" s="17">
        <v>8874125.0</v>
      </c>
      <c r="O334" s="17">
        <v>7157349.0</v>
      </c>
      <c r="P334" s="17">
        <v>0.0</v>
      </c>
      <c r="Q334" s="17">
        <v>3367408.0</v>
      </c>
      <c r="R334" s="17">
        <v>112322.0</v>
      </c>
      <c r="S334" s="17">
        <v>1.5106753E7</v>
      </c>
      <c r="T334" s="17">
        <v>1.237112E7</v>
      </c>
      <c r="U334" s="17">
        <v>2522004.0</v>
      </c>
      <c r="V334" s="11">
        <f t="array" ref="V334">XLOOKUP(A:A,'Raw Revenue'!A:A,'Raw Revenue'!B:B,0)
</f>
        <v>0</v>
      </c>
      <c r="W334" s="11">
        <f t="array" ref="W334">XLOOKUP(A:A,'Raw Revenue'!C:C,'Raw Revenue'!D:D,0)</f>
        <v>0</v>
      </c>
      <c r="X334" s="11">
        <f t="array" ref="X334">XLOOKUP(A:A,'Raw Revenue'!E:E,'Raw Revenue'!F:F,0)</f>
        <v>0</v>
      </c>
      <c r="Y334" s="11">
        <f t="array" ref="Y334">XLOOKUP(A:A,'Raw Revenue'!G:G,'Raw Revenue'!H:H,0)</f>
        <v>0</v>
      </c>
      <c r="Z334" s="11">
        <f t="array" ref="Z334">XLOOKUP(A:A,'Raw Revenue'!I:I,'Raw Revenue'!J:J,0)</f>
        <v>0</v>
      </c>
      <c r="AA334" s="11">
        <f t="array" ref="AA334">XLOOKUP(A:A,'Raw Revenue'!K:K,'Raw Revenue'!L:L,0)</f>
        <v>0</v>
      </c>
      <c r="AB334" s="11">
        <f t="array" ref="AB334">XLOOKUP(A:A,'Raw Revenue'!M:M,'Raw Revenue'!N:N,0)</f>
        <v>0</v>
      </c>
      <c r="AC334" s="3">
        <v>0.0</v>
      </c>
      <c r="AD334" s="3">
        <v>0.0</v>
      </c>
      <c r="AE334" s="3">
        <v>0.0</v>
      </c>
      <c r="AF334" s="3">
        <v>0.0</v>
      </c>
      <c r="AG334" s="3">
        <v>0.0</v>
      </c>
    </row>
    <row r="335">
      <c r="A335" s="3" t="s">
        <v>954</v>
      </c>
      <c r="B335" s="3" t="s">
        <v>955</v>
      </c>
      <c r="C335" s="3" t="str">
        <f t="shared" si="1"/>
        <v>PT. Mandiri Sejahtera Bersama</v>
      </c>
      <c r="D335" s="3" t="s">
        <v>84</v>
      </c>
      <c r="E335" s="3" t="s">
        <v>104</v>
      </c>
      <c r="F335" s="3" t="s">
        <v>252</v>
      </c>
      <c r="G335" s="3" t="s">
        <v>27</v>
      </c>
      <c r="H335" s="3" t="str">
        <f t="array" ref="H335">XLOOKUP(G:G,'Account Manager Data'!A:A,'Account Manager Data'!B:B,0)</f>
        <v>Dedi Kurniawan</v>
      </c>
      <c r="I335" s="11" t="str">
        <f t="array" ref="I335">XLOOKUP($G:$G,'Account Manager Data'!$A:$A,'Account Manager Data'!C:C)</f>
        <v>Kalimantan</v>
      </c>
      <c r="J335" s="17">
        <v>6561778.0</v>
      </c>
      <c r="K335" s="17">
        <v>6554097.0</v>
      </c>
      <c r="L335" s="17">
        <v>1784500.0</v>
      </c>
      <c r="M335" s="17">
        <v>3543343.0</v>
      </c>
      <c r="N335" s="17">
        <v>8718557.0</v>
      </c>
      <c r="O335" s="17">
        <v>1.4070205E7</v>
      </c>
      <c r="P335" s="17">
        <v>1.578479E7</v>
      </c>
      <c r="Q335" s="17">
        <v>1.5876734E7</v>
      </c>
      <c r="R335" s="17">
        <v>1.4781013E7</v>
      </c>
      <c r="S335" s="17">
        <v>7023207.0</v>
      </c>
      <c r="T335" s="17">
        <v>1.2356274E7</v>
      </c>
      <c r="U335" s="17">
        <v>2706540.0</v>
      </c>
      <c r="V335" s="11">
        <f t="array" ref="V335">XLOOKUP(A:A,'Raw Revenue'!A:A,'Raw Revenue'!B:B,0)
</f>
        <v>0</v>
      </c>
      <c r="W335" s="11">
        <f t="array" ref="W335">XLOOKUP(A:A,'Raw Revenue'!C:C,'Raw Revenue'!D:D,0)</f>
        <v>0</v>
      </c>
      <c r="X335" s="11">
        <f t="array" ref="X335">XLOOKUP(A:A,'Raw Revenue'!E:E,'Raw Revenue'!F:F,0)</f>
        <v>0</v>
      </c>
      <c r="Y335" s="11">
        <f t="array" ref="Y335">XLOOKUP(A:A,'Raw Revenue'!G:G,'Raw Revenue'!H:H,0)</f>
        <v>0</v>
      </c>
      <c r="Z335" s="11">
        <f t="array" ref="Z335">XLOOKUP(A:A,'Raw Revenue'!I:I,'Raw Revenue'!J:J,0)</f>
        <v>0</v>
      </c>
      <c r="AA335" s="11">
        <f t="array" ref="AA335">XLOOKUP(A:A,'Raw Revenue'!K:K,'Raw Revenue'!L:L,0)</f>
        <v>0</v>
      </c>
      <c r="AB335" s="11">
        <f t="array" ref="AB335">XLOOKUP(A:A,'Raw Revenue'!M:M,'Raw Revenue'!N:N,0)</f>
        <v>0</v>
      </c>
      <c r="AC335" s="3">
        <v>0.0</v>
      </c>
      <c r="AD335" s="3">
        <v>0.0</v>
      </c>
      <c r="AE335" s="3">
        <v>0.0</v>
      </c>
      <c r="AF335" s="3">
        <v>0.0</v>
      </c>
      <c r="AG335" s="3">
        <v>0.0</v>
      </c>
    </row>
    <row r="336">
      <c r="A336" s="3" t="s">
        <v>956</v>
      </c>
      <c r="B336" s="3" t="s">
        <v>957</v>
      </c>
      <c r="C336" s="3" t="str">
        <f t="shared" si="1"/>
        <v>PT. Sejahtera Alam Indonesia</v>
      </c>
      <c r="D336" s="3" t="s">
        <v>214</v>
      </c>
      <c r="E336" s="3" t="s">
        <v>215</v>
      </c>
      <c r="F336" s="3" t="s">
        <v>227</v>
      </c>
      <c r="G336" s="3" t="s">
        <v>78</v>
      </c>
      <c r="H336" s="3" t="str">
        <f t="array" ref="H336">XLOOKUP(G:G,'Account Manager Data'!A:A,'Account Manager Data'!B:B,0)</f>
        <v>Ilham Saputra</v>
      </c>
      <c r="I336" s="11" t="str">
        <f t="array" ref="I336">XLOOKUP($G:$G,'Account Manager Data'!$A:$A,'Account Manager Data'!C:C)</f>
        <v>Jawa</v>
      </c>
      <c r="J336" s="17">
        <v>3675119.0</v>
      </c>
      <c r="K336" s="17">
        <v>8020969.0</v>
      </c>
      <c r="L336" s="17">
        <v>5878376.0</v>
      </c>
      <c r="M336" s="17">
        <v>4716875.0</v>
      </c>
      <c r="N336" s="17">
        <v>6884486.0</v>
      </c>
      <c r="O336" s="17">
        <v>9921221.0</v>
      </c>
      <c r="P336" s="17">
        <v>8986891.0</v>
      </c>
      <c r="Q336" s="17">
        <v>1.3523374E7</v>
      </c>
      <c r="R336" s="17">
        <v>8977721.0</v>
      </c>
      <c r="S336" s="17">
        <v>1.2481735E7</v>
      </c>
      <c r="T336" s="17">
        <v>1.87737E7</v>
      </c>
      <c r="U336" s="17">
        <v>1.0531816E7</v>
      </c>
      <c r="V336" s="11">
        <f t="array" ref="V336">XLOOKUP(A:A,'Raw Revenue'!A:A,'Raw Revenue'!B:B,0)
</f>
        <v>0</v>
      </c>
      <c r="W336" s="11">
        <f t="array" ref="W336">XLOOKUP(A:A,'Raw Revenue'!C:C,'Raw Revenue'!D:D,0)</f>
        <v>0</v>
      </c>
      <c r="X336" s="11">
        <f t="array" ref="X336">XLOOKUP(A:A,'Raw Revenue'!E:E,'Raw Revenue'!F:F,0)</f>
        <v>0</v>
      </c>
      <c r="Y336" s="11">
        <f t="array" ref="Y336">XLOOKUP(A:A,'Raw Revenue'!G:G,'Raw Revenue'!H:H,0)</f>
        <v>0</v>
      </c>
      <c r="Z336" s="11">
        <f t="array" ref="Z336">XLOOKUP(A:A,'Raw Revenue'!I:I,'Raw Revenue'!J:J,0)</f>
        <v>0</v>
      </c>
      <c r="AA336" s="11">
        <f t="array" ref="AA336">XLOOKUP(A:A,'Raw Revenue'!K:K,'Raw Revenue'!L:L,0)</f>
        <v>0</v>
      </c>
      <c r="AB336" s="11">
        <f t="array" ref="AB336">XLOOKUP(A:A,'Raw Revenue'!M:M,'Raw Revenue'!N:N,0)</f>
        <v>0</v>
      </c>
      <c r="AC336" s="3">
        <v>0.0</v>
      </c>
      <c r="AD336" s="3">
        <v>0.0</v>
      </c>
      <c r="AE336" s="3">
        <v>0.0</v>
      </c>
      <c r="AF336" s="3">
        <v>0.0</v>
      </c>
      <c r="AG336" s="3">
        <v>0.0</v>
      </c>
    </row>
    <row r="337">
      <c r="A337" s="3" t="s">
        <v>958</v>
      </c>
      <c r="B337" s="3" t="s">
        <v>959</v>
      </c>
      <c r="C337" s="3" t="str">
        <f t="shared" si="1"/>
        <v>PT. Indah Kargo Logistik</v>
      </c>
      <c r="D337" s="3" t="s">
        <v>130</v>
      </c>
      <c r="E337" s="3" t="s">
        <v>215</v>
      </c>
      <c r="F337" s="3" t="s">
        <v>216</v>
      </c>
      <c r="G337" s="3" t="s">
        <v>63</v>
      </c>
      <c r="H337" s="3" t="str">
        <f t="array" ref="H337">XLOOKUP(G:G,'Account Manager Data'!A:A,'Account Manager Data'!B:B,0)</f>
        <v>Hendra Gunawan</v>
      </c>
      <c r="I337" s="11" t="str">
        <f t="array" ref="I337">XLOOKUP($G:$G,'Account Manager Data'!$A:$A,'Account Manager Data'!C:C)</f>
        <v>Kalimantan</v>
      </c>
      <c r="J337" s="17">
        <v>3637553.0</v>
      </c>
      <c r="K337" s="17">
        <v>542383.0</v>
      </c>
      <c r="L337" s="17">
        <v>6783547.0</v>
      </c>
      <c r="M337" s="17">
        <v>1.0814686E7</v>
      </c>
      <c r="N337" s="17">
        <v>1.3785774E7</v>
      </c>
      <c r="O337" s="17">
        <v>8508481.0</v>
      </c>
      <c r="P337" s="17">
        <v>2490980.0</v>
      </c>
      <c r="Q337" s="17">
        <v>1.3672943E7</v>
      </c>
      <c r="R337" s="17">
        <v>9092502.0</v>
      </c>
      <c r="S337" s="17">
        <v>1339162.0</v>
      </c>
      <c r="T337" s="17">
        <v>4957055.0</v>
      </c>
      <c r="U337" s="17">
        <v>2234370.0</v>
      </c>
      <c r="V337" s="11">
        <f t="array" ref="V337">XLOOKUP(A:A,'Raw Revenue'!A:A,'Raw Revenue'!B:B,0)
</f>
        <v>0</v>
      </c>
      <c r="W337" s="11">
        <f t="array" ref="W337">XLOOKUP(A:A,'Raw Revenue'!C:C,'Raw Revenue'!D:D,0)</f>
        <v>0</v>
      </c>
      <c r="X337" s="11">
        <f t="array" ref="X337">XLOOKUP(A:A,'Raw Revenue'!E:E,'Raw Revenue'!F:F,0)</f>
        <v>0</v>
      </c>
      <c r="Y337" s="11">
        <f t="array" ref="Y337">XLOOKUP(A:A,'Raw Revenue'!G:G,'Raw Revenue'!H:H,0)</f>
        <v>0</v>
      </c>
      <c r="Z337" s="11">
        <f t="array" ref="Z337">XLOOKUP(A:A,'Raw Revenue'!I:I,'Raw Revenue'!J:J,0)</f>
        <v>0</v>
      </c>
      <c r="AA337" s="11">
        <f t="array" ref="AA337">XLOOKUP(A:A,'Raw Revenue'!K:K,'Raw Revenue'!L:L,0)</f>
        <v>0</v>
      </c>
      <c r="AB337" s="11">
        <f t="array" ref="AB337">XLOOKUP(A:A,'Raw Revenue'!M:M,'Raw Revenue'!N:N,0)</f>
        <v>0</v>
      </c>
      <c r="AC337" s="3">
        <v>0.0</v>
      </c>
      <c r="AD337" s="3">
        <v>0.0</v>
      </c>
      <c r="AE337" s="3">
        <v>0.0</v>
      </c>
      <c r="AF337" s="3">
        <v>0.0</v>
      </c>
      <c r="AG337" s="3">
        <v>0.0</v>
      </c>
    </row>
    <row r="338">
      <c r="A338" s="3" t="s">
        <v>960</v>
      </c>
      <c r="B338" s="3" t="s">
        <v>961</v>
      </c>
      <c r="C338" s="3" t="str">
        <f t="shared" si="1"/>
        <v>PT. Berkah Alam Semesta</v>
      </c>
      <c r="D338" s="3" t="s">
        <v>84</v>
      </c>
      <c r="E338" s="3" t="s">
        <v>187</v>
      </c>
      <c r="F338" s="3" t="s">
        <v>188</v>
      </c>
      <c r="G338" s="3" t="s">
        <v>35</v>
      </c>
      <c r="H338" s="3" t="str">
        <f t="array" ref="H338">XLOOKUP(G:G,'Account Manager Data'!A:A,'Account Manager Data'!B:B,0)</f>
        <v>Ahmad Fauzi</v>
      </c>
      <c r="I338" s="11" t="str">
        <f t="array" ref="I338">XLOOKUP($G:$G,'Account Manager Data'!$A:$A,'Account Manager Data'!C:C)</f>
        <v>Sumatera</v>
      </c>
      <c r="J338" s="17">
        <v>5341168.0</v>
      </c>
      <c r="K338" s="17">
        <v>2261315.0</v>
      </c>
      <c r="L338" s="17">
        <v>5740799.0</v>
      </c>
      <c r="M338" s="17">
        <v>2659057.0</v>
      </c>
      <c r="N338" s="17">
        <v>2509363.0</v>
      </c>
      <c r="O338" s="17">
        <v>9964638.0</v>
      </c>
      <c r="P338" s="17">
        <v>7016804.0</v>
      </c>
      <c r="Q338" s="17">
        <v>0.0</v>
      </c>
      <c r="R338" s="17">
        <v>1579092.0</v>
      </c>
      <c r="S338" s="17">
        <v>688956.0</v>
      </c>
      <c r="T338" s="17">
        <v>7447411.0</v>
      </c>
      <c r="U338" s="17">
        <v>1.4553459E7</v>
      </c>
      <c r="V338" s="11">
        <f t="array" ref="V338">XLOOKUP(A:A,'Raw Revenue'!A:A,'Raw Revenue'!B:B,0)
</f>
        <v>0</v>
      </c>
      <c r="W338" s="11">
        <f t="array" ref="W338">XLOOKUP(A:A,'Raw Revenue'!C:C,'Raw Revenue'!D:D,0)</f>
        <v>0</v>
      </c>
      <c r="X338" s="11">
        <f t="array" ref="X338">XLOOKUP(A:A,'Raw Revenue'!E:E,'Raw Revenue'!F:F,0)</f>
        <v>0</v>
      </c>
      <c r="Y338" s="11">
        <f t="array" ref="Y338">XLOOKUP(A:A,'Raw Revenue'!G:G,'Raw Revenue'!H:H,0)</f>
        <v>0</v>
      </c>
      <c r="Z338" s="11">
        <f t="array" ref="Z338">XLOOKUP(A:A,'Raw Revenue'!I:I,'Raw Revenue'!J:J,0)</f>
        <v>0</v>
      </c>
      <c r="AA338" s="11">
        <f t="array" ref="AA338">XLOOKUP(A:A,'Raw Revenue'!K:K,'Raw Revenue'!L:L,0)</f>
        <v>0</v>
      </c>
      <c r="AB338" s="11">
        <f t="array" ref="AB338">XLOOKUP(A:A,'Raw Revenue'!M:M,'Raw Revenue'!N:N,0)</f>
        <v>0</v>
      </c>
      <c r="AC338" s="3">
        <v>0.0</v>
      </c>
      <c r="AD338" s="3">
        <v>0.0</v>
      </c>
      <c r="AE338" s="3">
        <v>0.0</v>
      </c>
      <c r="AF338" s="3">
        <v>0.0</v>
      </c>
      <c r="AG338" s="3">
        <v>0.0</v>
      </c>
    </row>
    <row r="339">
      <c r="A339" s="3" t="s">
        <v>962</v>
      </c>
      <c r="B339" s="3" t="s">
        <v>963</v>
      </c>
      <c r="C339" s="3" t="str">
        <f t="shared" si="1"/>
        <v>PT. Cahaya Baru Indonesia</v>
      </c>
      <c r="D339" s="3" t="s">
        <v>84</v>
      </c>
      <c r="E339" s="3" t="s">
        <v>196</v>
      </c>
      <c r="F339" s="3" t="s">
        <v>260</v>
      </c>
      <c r="G339" s="3" t="s">
        <v>43</v>
      </c>
      <c r="H339" s="3" t="str">
        <f t="array" ref="H339">XLOOKUP(G:G,'Account Manager Data'!A:A,'Account Manager Data'!B:B,0)</f>
        <v>Eko Prasetyo</v>
      </c>
      <c r="I339" s="11" t="str">
        <f t="array" ref="I339">XLOOKUP($G:$G,'Account Manager Data'!$A:$A,'Account Manager Data'!C:C)</f>
        <v>Papua</v>
      </c>
      <c r="J339" s="17">
        <v>434316.0</v>
      </c>
      <c r="K339" s="17">
        <v>4124206.0</v>
      </c>
      <c r="L339" s="17">
        <v>4234519.0</v>
      </c>
      <c r="M339" s="17">
        <v>6914212.0</v>
      </c>
      <c r="N339" s="17">
        <v>1.1501999E7</v>
      </c>
      <c r="O339" s="17">
        <v>1.1486867E7</v>
      </c>
      <c r="P339" s="17">
        <v>1854025.0</v>
      </c>
      <c r="Q339" s="17">
        <v>1.3822309E7</v>
      </c>
      <c r="R339" s="17">
        <v>1.0368003E7</v>
      </c>
      <c r="S339" s="17">
        <v>1.0843932E7</v>
      </c>
      <c r="T339" s="17">
        <v>1764367.0</v>
      </c>
      <c r="U339" s="17">
        <v>0.0</v>
      </c>
      <c r="V339" s="11">
        <f t="array" ref="V339">XLOOKUP(A:A,'Raw Revenue'!A:A,'Raw Revenue'!B:B,0)
</f>
        <v>0</v>
      </c>
      <c r="W339" s="11">
        <f t="array" ref="W339">XLOOKUP(A:A,'Raw Revenue'!C:C,'Raw Revenue'!D:D,0)</f>
        <v>0</v>
      </c>
      <c r="X339" s="11">
        <f t="array" ref="X339">XLOOKUP(A:A,'Raw Revenue'!E:E,'Raw Revenue'!F:F,0)</f>
        <v>0</v>
      </c>
      <c r="Y339" s="11">
        <f t="array" ref="Y339">XLOOKUP(A:A,'Raw Revenue'!G:G,'Raw Revenue'!H:H,0)</f>
        <v>0</v>
      </c>
      <c r="Z339" s="11">
        <f t="array" ref="Z339">XLOOKUP(A:A,'Raw Revenue'!I:I,'Raw Revenue'!J:J,0)</f>
        <v>0</v>
      </c>
      <c r="AA339" s="11">
        <f t="array" ref="AA339">XLOOKUP(A:A,'Raw Revenue'!K:K,'Raw Revenue'!L:L,0)</f>
        <v>0</v>
      </c>
      <c r="AB339" s="11">
        <f t="array" ref="AB339">XLOOKUP(A:A,'Raw Revenue'!M:M,'Raw Revenue'!N:N,0)</f>
        <v>0</v>
      </c>
      <c r="AC339" s="3">
        <v>0.0</v>
      </c>
      <c r="AD339" s="3">
        <v>0.0</v>
      </c>
      <c r="AE339" s="3">
        <v>0.0</v>
      </c>
      <c r="AF339" s="3">
        <v>0.0</v>
      </c>
      <c r="AG339" s="3">
        <v>0.0</v>
      </c>
    </row>
    <row r="340">
      <c r="A340" s="3" t="s">
        <v>381</v>
      </c>
      <c r="B340" s="3" t="s">
        <v>964</v>
      </c>
      <c r="C340" s="3" t="str">
        <f t="shared" si="1"/>
        <v>PT. Mentari Pagi Sejahtera</v>
      </c>
      <c r="D340" s="3" t="s">
        <v>103</v>
      </c>
      <c r="E340" s="3" t="s">
        <v>85</v>
      </c>
      <c r="F340" s="3" t="s">
        <v>248</v>
      </c>
      <c r="G340" s="3" t="s">
        <v>74</v>
      </c>
      <c r="H340" s="3" t="str">
        <f t="array" ref="H340">XLOOKUP(G:G,'Account Manager Data'!A:A,'Account Manager Data'!B:B,0)</f>
        <v>Budi Santoso</v>
      </c>
      <c r="I340" s="11" t="str">
        <f t="array" ref="I340">XLOOKUP($G:$G,'Account Manager Data'!$A:$A,'Account Manager Data'!C:C)</f>
        <v>Papua</v>
      </c>
      <c r="J340" s="17">
        <v>4201324.0</v>
      </c>
      <c r="K340" s="17">
        <v>6370656.0</v>
      </c>
      <c r="L340" s="17">
        <v>1.0516478E7</v>
      </c>
      <c r="M340" s="17">
        <v>1.1649046E7</v>
      </c>
      <c r="N340" s="17">
        <v>9634788.0</v>
      </c>
      <c r="O340" s="17">
        <v>1.4123829E7</v>
      </c>
      <c r="P340" s="17">
        <v>4876754.0</v>
      </c>
      <c r="Q340" s="17">
        <v>4156204.0</v>
      </c>
      <c r="R340" s="17">
        <v>1.6902419E7</v>
      </c>
      <c r="S340" s="17">
        <v>9521276.0</v>
      </c>
      <c r="T340" s="17">
        <v>1.7373194E7</v>
      </c>
      <c r="U340" s="17">
        <v>1.791805E7</v>
      </c>
      <c r="V340" s="11">
        <f t="array" ref="V340">XLOOKUP(A:A,'Raw Revenue'!A:A,'Raw Revenue'!B:B,0)
</f>
        <v>1319117.548</v>
      </c>
      <c r="W340" s="11">
        <f t="array" ref="W340">XLOOKUP(A:A,'Raw Revenue'!C:C,'Raw Revenue'!D:D,0)</f>
        <v>659558.7738</v>
      </c>
      <c r="X340" s="11">
        <f t="array" ref="X340">XLOOKUP(A:A,'Raw Revenue'!E:E,'Raw Revenue'!F:F,0)</f>
        <v>395735.2643</v>
      </c>
      <c r="Y340" s="11">
        <f t="array" ref="Y340">XLOOKUP(A:A,'Raw Revenue'!G:G,'Raw Revenue'!H:H,0)</f>
        <v>4616911.417</v>
      </c>
      <c r="Z340" s="11">
        <f t="array" ref="Z340">XLOOKUP(A:A,'Raw Revenue'!I:I,'Raw Revenue'!J:J,0)</f>
        <v>1055294.038</v>
      </c>
      <c r="AA340" s="11">
        <f t="array" ref="AA340">XLOOKUP(A:A,'Raw Revenue'!K:K,'Raw Revenue'!L:L,0)</f>
        <v>29680.14482</v>
      </c>
      <c r="AB340" s="11">
        <f t="array" ref="AB340">XLOOKUP(A:A,'Raw Revenue'!M:M,'Raw Revenue'!N:N,0)</f>
        <v>3977139.406</v>
      </c>
      <c r="AC340" s="3">
        <v>0.0</v>
      </c>
      <c r="AD340" s="3">
        <v>0.0</v>
      </c>
      <c r="AE340" s="3">
        <v>0.0</v>
      </c>
      <c r="AF340" s="3">
        <v>0.0</v>
      </c>
      <c r="AG340" s="3">
        <v>0.0</v>
      </c>
    </row>
    <row r="341">
      <c r="A341" s="3" t="s">
        <v>965</v>
      </c>
      <c r="B341" s="3" t="s">
        <v>966</v>
      </c>
      <c r="C341" s="3" t="str">
        <f t="shared" si="1"/>
        <v>PT. Bintang Kejora Nusantara</v>
      </c>
      <c r="D341" s="3" t="s">
        <v>195</v>
      </c>
      <c r="E341" s="3" t="s">
        <v>85</v>
      </c>
      <c r="F341" s="3" t="s">
        <v>407</v>
      </c>
      <c r="G341" s="3" t="s">
        <v>76</v>
      </c>
      <c r="H341" s="3" t="str">
        <f t="array" ref="H341">XLOOKUP(G:G,'Account Manager Data'!A:A,'Account Manager Data'!B:B,0)</f>
        <v>Teguh Wijaya</v>
      </c>
      <c r="I341" s="11" t="str">
        <f t="array" ref="I341">XLOOKUP($G:$G,'Account Manager Data'!$A:$A,'Account Manager Data'!C:C)</f>
        <v>Sulawesi</v>
      </c>
      <c r="J341" s="17">
        <v>1563190.0</v>
      </c>
      <c r="K341" s="17">
        <v>7198416.0</v>
      </c>
      <c r="L341" s="17">
        <v>9250517.0</v>
      </c>
      <c r="M341" s="17">
        <v>5111395.0</v>
      </c>
      <c r="N341" s="17">
        <v>1.015538E7</v>
      </c>
      <c r="O341" s="17">
        <v>5980113.0</v>
      </c>
      <c r="P341" s="17">
        <v>2639597.0</v>
      </c>
      <c r="Q341" s="17">
        <v>1.5482206E7</v>
      </c>
      <c r="R341" s="17">
        <v>7003860.0</v>
      </c>
      <c r="S341" s="17">
        <v>1.4842282E7</v>
      </c>
      <c r="T341" s="17">
        <v>8314876.0</v>
      </c>
      <c r="U341" s="17">
        <v>8139551.0</v>
      </c>
      <c r="V341" s="11">
        <f t="array" ref="V341">XLOOKUP(A:A,'Raw Revenue'!A:A,'Raw Revenue'!B:B,0)
</f>
        <v>0</v>
      </c>
      <c r="W341" s="11">
        <f t="array" ref="W341">XLOOKUP(A:A,'Raw Revenue'!C:C,'Raw Revenue'!D:D,0)</f>
        <v>0</v>
      </c>
      <c r="X341" s="11">
        <f t="array" ref="X341">XLOOKUP(A:A,'Raw Revenue'!E:E,'Raw Revenue'!F:F,0)</f>
        <v>0</v>
      </c>
      <c r="Y341" s="11">
        <f t="array" ref="Y341">XLOOKUP(A:A,'Raw Revenue'!G:G,'Raw Revenue'!H:H,0)</f>
        <v>0</v>
      </c>
      <c r="Z341" s="11">
        <f t="array" ref="Z341">XLOOKUP(A:A,'Raw Revenue'!I:I,'Raw Revenue'!J:J,0)</f>
        <v>0</v>
      </c>
      <c r="AA341" s="11">
        <f t="array" ref="AA341">XLOOKUP(A:A,'Raw Revenue'!K:K,'Raw Revenue'!L:L,0)</f>
        <v>0</v>
      </c>
      <c r="AB341" s="11">
        <f t="array" ref="AB341">XLOOKUP(A:A,'Raw Revenue'!M:M,'Raw Revenue'!N:N,0)</f>
        <v>0</v>
      </c>
      <c r="AC341" s="3">
        <v>0.0</v>
      </c>
      <c r="AD341" s="3">
        <v>0.0</v>
      </c>
      <c r="AE341" s="3">
        <v>0.0</v>
      </c>
      <c r="AF341" s="3">
        <v>0.0</v>
      </c>
      <c r="AG341" s="3">
        <v>0.0</v>
      </c>
    </row>
    <row r="342">
      <c r="A342" s="3" t="s">
        <v>967</v>
      </c>
      <c r="B342" s="3" t="s">
        <v>968</v>
      </c>
      <c r="C342" s="3" t="str">
        <f t="shared" si="1"/>
        <v>PT. Maju Jaya</v>
      </c>
      <c r="D342" s="3" t="s">
        <v>195</v>
      </c>
      <c r="E342" s="3" t="s">
        <v>196</v>
      </c>
      <c r="F342" s="3" t="s">
        <v>315</v>
      </c>
      <c r="G342" s="3" t="s">
        <v>70</v>
      </c>
      <c r="H342" s="3" t="str">
        <f t="array" ref="H342">XLOOKUP(G:G,'Account Manager Data'!A:A,'Account Manager Data'!B:B,0)</f>
        <v>Yusuf Hidayat</v>
      </c>
      <c r="I342" s="11" t="str">
        <f t="array" ref="I342">XLOOKUP($G:$G,'Account Manager Data'!$A:$A,'Account Manager Data'!C:C)</f>
        <v>Sumatera</v>
      </c>
      <c r="J342" s="17">
        <v>3675656.0</v>
      </c>
      <c r="K342" s="17">
        <v>8433065.0</v>
      </c>
      <c r="L342" s="17">
        <v>8538494.0</v>
      </c>
      <c r="M342" s="17">
        <v>6760072.0</v>
      </c>
      <c r="N342" s="17">
        <v>7944736.0</v>
      </c>
      <c r="O342" s="17">
        <v>5109387.0</v>
      </c>
      <c r="P342" s="17">
        <v>0.0</v>
      </c>
      <c r="Q342" s="17">
        <v>2104887.0</v>
      </c>
      <c r="R342" s="17">
        <v>1773213.0</v>
      </c>
      <c r="S342" s="17">
        <v>753068.0</v>
      </c>
      <c r="T342" s="17">
        <v>5639511.0</v>
      </c>
      <c r="U342" s="17">
        <v>4418284.0</v>
      </c>
      <c r="V342" s="11">
        <f t="array" ref="V342">XLOOKUP(A:A,'Raw Revenue'!A:A,'Raw Revenue'!B:B,0)
</f>
        <v>0</v>
      </c>
      <c r="W342" s="11">
        <f t="array" ref="W342">XLOOKUP(A:A,'Raw Revenue'!C:C,'Raw Revenue'!D:D,0)</f>
        <v>0</v>
      </c>
      <c r="X342" s="11">
        <f t="array" ref="X342">XLOOKUP(A:A,'Raw Revenue'!E:E,'Raw Revenue'!F:F,0)</f>
        <v>0</v>
      </c>
      <c r="Y342" s="11">
        <f t="array" ref="Y342">XLOOKUP(A:A,'Raw Revenue'!G:G,'Raw Revenue'!H:H,0)</f>
        <v>0</v>
      </c>
      <c r="Z342" s="11">
        <f t="array" ref="Z342">XLOOKUP(A:A,'Raw Revenue'!I:I,'Raw Revenue'!J:J,0)</f>
        <v>0</v>
      </c>
      <c r="AA342" s="11">
        <f t="array" ref="AA342">XLOOKUP(A:A,'Raw Revenue'!K:K,'Raw Revenue'!L:L,0)</f>
        <v>0</v>
      </c>
      <c r="AB342" s="11">
        <f t="array" ref="AB342">XLOOKUP(A:A,'Raw Revenue'!M:M,'Raw Revenue'!N:N,0)</f>
        <v>0</v>
      </c>
      <c r="AC342" s="3">
        <v>0.0</v>
      </c>
      <c r="AD342" s="3">
        <v>0.0</v>
      </c>
      <c r="AE342" s="3">
        <v>0.0</v>
      </c>
      <c r="AF342" s="3">
        <v>0.0</v>
      </c>
      <c r="AG342" s="3">
        <v>0.0</v>
      </c>
    </row>
    <row r="343">
      <c r="A343" s="3" t="s">
        <v>969</v>
      </c>
      <c r="B343" s="3" t="s">
        <v>970</v>
      </c>
      <c r="C343" s="3" t="str">
        <f t="shared" si="1"/>
        <v>CV. Sumber Makmur</v>
      </c>
      <c r="D343" s="3" t="s">
        <v>186</v>
      </c>
      <c r="E343" s="3" t="s">
        <v>215</v>
      </c>
      <c r="F343" s="3" t="s">
        <v>227</v>
      </c>
      <c r="G343" s="3" t="s">
        <v>15</v>
      </c>
      <c r="H343" s="3" t="str">
        <f t="array" ref="H343">XLOOKUP(G:G,'Account Manager Data'!A:A,'Account Manager Data'!B:B,0)</f>
        <v>Rizky Maulana</v>
      </c>
      <c r="I343" s="11" t="str">
        <f t="array" ref="I343">XLOOKUP($G:$G,'Account Manager Data'!$A:$A,'Account Manager Data'!C:C)</f>
        <v>Jawa</v>
      </c>
      <c r="J343" s="17">
        <v>5053461.0</v>
      </c>
      <c r="K343" s="17">
        <v>3523855.0</v>
      </c>
      <c r="L343" s="17">
        <v>4057841.0</v>
      </c>
      <c r="M343" s="17">
        <v>5411453.0</v>
      </c>
      <c r="N343" s="17">
        <v>140600.0</v>
      </c>
      <c r="O343" s="17">
        <v>9235051.0</v>
      </c>
      <c r="P343" s="17">
        <v>6612349.0</v>
      </c>
      <c r="Q343" s="17">
        <v>7138330.0</v>
      </c>
      <c r="R343" s="17">
        <v>6300836.0</v>
      </c>
      <c r="S343" s="17">
        <v>2392332.0</v>
      </c>
      <c r="T343" s="17">
        <v>1937343.0</v>
      </c>
      <c r="U343" s="17">
        <v>3602848.0</v>
      </c>
      <c r="V343" s="11">
        <f t="array" ref="V343">XLOOKUP(A:A,'Raw Revenue'!A:A,'Raw Revenue'!B:B,0)
</f>
        <v>0</v>
      </c>
      <c r="W343" s="11">
        <f t="array" ref="W343">XLOOKUP(A:A,'Raw Revenue'!C:C,'Raw Revenue'!D:D,0)</f>
        <v>0</v>
      </c>
      <c r="X343" s="11">
        <f t="array" ref="X343">XLOOKUP(A:A,'Raw Revenue'!E:E,'Raw Revenue'!F:F,0)</f>
        <v>0</v>
      </c>
      <c r="Y343" s="11">
        <f t="array" ref="Y343">XLOOKUP(A:A,'Raw Revenue'!G:G,'Raw Revenue'!H:H,0)</f>
        <v>0</v>
      </c>
      <c r="Z343" s="11">
        <f t="array" ref="Z343">XLOOKUP(A:A,'Raw Revenue'!I:I,'Raw Revenue'!J:J,0)</f>
        <v>0</v>
      </c>
      <c r="AA343" s="11">
        <f t="array" ref="AA343">XLOOKUP(A:A,'Raw Revenue'!K:K,'Raw Revenue'!L:L,0)</f>
        <v>0</v>
      </c>
      <c r="AB343" s="11">
        <f t="array" ref="AB343">XLOOKUP(A:A,'Raw Revenue'!M:M,'Raw Revenue'!N:N,0)</f>
        <v>0</v>
      </c>
      <c r="AC343" s="3">
        <v>0.0</v>
      </c>
      <c r="AD343" s="3">
        <v>0.0</v>
      </c>
      <c r="AE343" s="3">
        <v>0.0</v>
      </c>
      <c r="AF343" s="3">
        <v>0.0</v>
      </c>
      <c r="AG343" s="3">
        <v>0.0</v>
      </c>
    </row>
    <row r="344">
      <c r="A344" s="3" t="s">
        <v>971</v>
      </c>
      <c r="B344" s="3" t="s">
        <v>972</v>
      </c>
      <c r="C344" s="3" t="str">
        <f t="shared" si="1"/>
        <v>PT. Teknologi Nusantara</v>
      </c>
      <c r="D344" s="3" t="s">
        <v>195</v>
      </c>
      <c r="E344" s="3" t="s">
        <v>104</v>
      </c>
      <c r="F344" s="3" t="s">
        <v>105</v>
      </c>
      <c r="G344" s="3" t="s">
        <v>27</v>
      </c>
      <c r="H344" s="3" t="str">
        <f t="array" ref="H344">XLOOKUP(G:G,'Account Manager Data'!A:A,'Account Manager Data'!B:B,0)</f>
        <v>Dedi Kurniawan</v>
      </c>
      <c r="I344" s="11" t="str">
        <f t="array" ref="I344">XLOOKUP($G:$G,'Account Manager Data'!$A:$A,'Account Manager Data'!C:C)</f>
        <v>Kalimantan</v>
      </c>
      <c r="J344" s="17">
        <v>7783269.0</v>
      </c>
      <c r="K344" s="17">
        <v>6010058.0</v>
      </c>
      <c r="L344" s="17">
        <v>9667685.0</v>
      </c>
      <c r="M344" s="17">
        <v>0.0</v>
      </c>
      <c r="N344" s="17">
        <v>1.4267826E7</v>
      </c>
      <c r="O344" s="17">
        <v>1.3524823E7</v>
      </c>
      <c r="P344" s="17">
        <v>5927486.0</v>
      </c>
      <c r="Q344" s="17">
        <v>1.2290267E7</v>
      </c>
      <c r="R344" s="17">
        <v>451744.0</v>
      </c>
      <c r="S344" s="17">
        <v>1294743.0</v>
      </c>
      <c r="T344" s="17">
        <v>31237.0</v>
      </c>
      <c r="U344" s="17">
        <v>3322327.0</v>
      </c>
      <c r="V344" s="11">
        <f t="array" ref="V344">XLOOKUP(A:A,'Raw Revenue'!A:A,'Raw Revenue'!B:B,0)
</f>
        <v>0</v>
      </c>
      <c r="W344" s="11">
        <f t="array" ref="W344">XLOOKUP(A:A,'Raw Revenue'!C:C,'Raw Revenue'!D:D,0)</f>
        <v>0</v>
      </c>
      <c r="X344" s="11">
        <f t="array" ref="X344">XLOOKUP(A:A,'Raw Revenue'!E:E,'Raw Revenue'!F:F,0)</f>
        <v>0</v>
      </c>
      <c r="Y344" s="11">
        <f t="array" ref="Y344">XLOOKUP(A:A,'Raw Revenue'!G:G,'Raw Revenue'!H:H,0)</f>
        <v>0</v>
      </c>
      <c r="Z344" s="11">
        <f t="array" ref="Z344">XLOOKUP(A:A,'Raw Revenue'!I:I,'Raw Revenue'!J:J,0)</f>
        <v>0</v>
      </c>
      <c r="AA344" s="11">
        <f t="array" ref="AA344">XLOOKUP(A:A,'Raw Revenue'!K:K,'Raw Revenue'!L:L,0)</f>
        <v>0</v>
      </c>
      <c r="AB344" s="11">
        <f t="array" ref="AB344">XLOOKUP(A:A,'Raw Revenue'!M:M,'Raw Revenue'!N:N,0)</f>
        <v>0</v>
      </c>
      <c r="AC344" s="3">
        <v>0.0</v>
      </c>
      <c r="AD344" s="3">
        <v>0.0</v>
      </c>
      <c r="AE344" s="3">
        <v>0.0</v>
      </c>
      <c r="AF344" s="3">
        <v>0.0</v>
      </c>
      <c r="AG344" s="3">
        <v>0.0</v>
      </c>
    </row>
    <row r="345">
      <c r="A345" s="3" t="s">
        <v>973</v>
      </c>
      <c r="B345" s="3" t="s">
        <v>974</v>
      </c>
      <c r="C345" s="3" t="str">
        <f t="shared" si="1"/>
        <v>PT. Bakti Indonesia</v>
      </c>
      <c r="D345" s="3" t="s">
        <v>186</v>
      </c>
      <c r="E345" s="3" t="s">
        <v>215</v>
      </c>
      <c r="F345" s="3" t="s">
        <v>227</v>
      </c>
      <c r="G345" s="3" t="s">
        <v>78</v>
      </c>
      <c r="H345" s="3" t="str">
        <f t="array" ref="H345">XLOOKUP(G:G,'Account Manager Data'!A:A,'Account Manager Data'!B:B,0)</f>
        <v>Ilham Saputra</v>
      </c>
      <c r="I345" s="11" t="str">
        <f t="array" ref="I345">XLOOKUP($G:$G,'Account Manager Data'!$A:$A,'Account Manager Data'!C:C)</f>
        <v>Jawa</v>
      </c>
      <c r="J345" s="17">
        <v>4505228.0</v>
      </c>
      <c r="K345" s="17">
        <v>4912944.0</v>
      </c>
      <c r="L345" s="17">
        <v>41343.0</v>
      </c>
      <c r="M345" s="17">
        <v>3422685.0</v>
      </c>
      <c r="N345" s="17">
        <v>606251.0</v>
      </c>
      <c r="O345" s="17">
        <v>1.0777143E7</v>
      </c>
      <c r="P345" s="17">
        <v>1.0959514E7</v>
      </c>
      <c r="Q345" s="17">
        <v>8584256.0</v>
      </c>
      <c r="R345" s="17">
        <v>1.6438824E7</v>
      </c>
      <c r="S345" s="17">
        <v>9992163.0</v>
      </c>
      <c r="T345" s="17">
        <v>0.0</v>
      </c>
      <c r="U345" s="17">
        <v>1.6502685E7</v>
      </c>
      <c r="V345" s="11">
        <f t="array" ref="V345">XLOOKUP(A:A,'Raw Revenue'!A:A,'Raw Revenue'!B:B,0)
</f>
        <v>0</v>
      </c>
      <c r="W345" s="11">
        <f t="array" ref="W345">XLOOKUP(A:A,'Raw Revenue'!C:C,'Raw Revenue'!D:D,0)</f>
        <v>0</v>
      </c>
      <c r="X345" s="11">
        <f t="array" ref="X345">XLOOKUP(A:A,'Raw Revenue'!E:E,'Raw Revenue'!F:F,0)</f>
        <v>0</v>
      </c>
      <c r="Y345" s="11">
        <f t="array" ref="Y345">XLOOKUP(A:A,'Raw Revenue'!G:G,'Raw Revenue'!H:H,0)</f>
        <v>0</v>
      </c>
      <c r="Z345" s="11">
        <f t="array" ref="Z345">XLOOKUP(A:A,'Raw Revenue'!I:I,'Raw Revenue'!J:J,0)</f>
        <v>0</v>
      </c>
      <c r="AA345" s="11">
        <f t="array" ref="AA345">XLOOKUP(A:A,'Raw Revenue'!K:K,'Raw Revenue'!L:L,0)</f>
        <v>0</v>
      </c>
      <c r="AB345" s="11">
        <f t="array" ref="AB345">XLOOKUP(A:A,'Raw Revenue'!M:M,'Raw Revenue'!N:N,0)</f>
        <v>0</v>
      </c>
      <c r="AC345" s="3">
        <v>0.0</v>
      </c>
      <c r="AD345" s="3">
        <v>0.0</v>
      </c>
      <c r="AE345" s="3">
        <v>0.0</v>
      </c>
      <c r="AF345" s="3">
        <v>0.0</v>
      </c>
      <c r="AG345" s="3">
        <v>0.0</v>
      </c>
    </row>
    <row r="346">
      <c r="A346" s="3" t="s">
        <v>975</v>
      </c>
      <c r="B346" s="3" t="s">
        <v>976</v>
      </c>
      <c r="C346" s="3" t="str">
        <f t="shared" si="1"/>
        <v>CV. Amanah Sejahtera</v>
      </c>
      <c r="D346" s="3" t="s">
        <v>84</v>
      </c>
      <c r="E346" s="3" t="s">
        <v>215</v>
      </c>
      <c r="F346" s="3" t="s">
        <v>227</v>
      </c>
      <c r="G346" s="3" t="s">
        <v>53</v>
      </c>
      <c r="H346" s="3" t="str">
        <f t="array" ref="H346">XLOOKUP(G:G,'Account Manager Data'!A:A,'Account Manager Data'!B:B,0)</f>
        <v>Fajar Ramadhan</v>
      </c>
      <c r="I346" s="11" t="str">
        <f t="array" ref="I346">XLOOKUP($G:$G,'Account Manager Data'!$A:$A,'Account Manager Data'!C:C)</f>
        <v>Sulawesi</v>
      </c>
      <c r="J346" s="17">
        <v>4425640.0</v>
      </c>
      <c r="K346" s="17">
        <v>5212342.0</v>
      </c>
      <c r="L346" s="17">
        <v>7731161.0</v>
      </c>
      <c r="M346" s="17">
        <v>1707980.0</v>
      </c>
      <c r="N346" s="17">
        <v>1.20409E7</v>
      </c>
      <c r="O346" s="17">
        <v>1.3802283E7</v>
      </c>
      <c r="P346" s="17">
        <v>1.1528097E7</v>
      </c>
      <c r="Q346" s="17">
        <v>8730372.0</v>
      </c>
      <c r="R346" s="17">
        <v>4869431.0</v>
      </c>
      <c r="S346" s="17">
        <v>5211501.0</v>
      </c>
      <c r="T346" s="17">
        <v>1.4476546E7</v>
      </c>
      <c r="U346" s="17">
        <v>1.7695905E7</v>
      </c>
      <c r="V346" s="11">
        <f t="array" ref="V346">XLOOKUP(A:A,'Raw Revenue'!A:A,'Raw Revenue'!B:B,0)
</f>
        <v>0</v>
      </c>
      <c r="W346" s="11">
        <f t="array" ref="W346">XLOOKUP(A:A,'Raw Revenue'!C:C,'Raw Revenue'!D:D,0)</f>
        <v>0</v>
      </c>
      <c r="X346" s="11">
        <f t="array" ref="X346">XLOOKUP(A:A,'Raw Revenue'!E:E,'Raw Revenue'!F:F,0)</f>
        <v>0</v>
      </c>
      <c r="Y346" s="11">
        <f t="array" ref="Y346">XLOOKUP(A:A,'Raw Revenue'!G:G,'Raw Revenue'!H:H,0)</f>
        <v>0</v>
      </c>
      <c r="Z346" s="11">
        <f t="array" ref="Z346">XLOOKUP(A:A,'Raw Revenue'!I:I,'Raw Revenue'!J:J,0)</f>
        <v>0</v>
      </c>
      <c r="AA346" s="11">
        <f t="array" ref="AA346">XLOOKUP(A:A,'Raw Revenue'!K:K,'Raw Revenue'!L:L,0)</f>
        <v>0</v>
      </c>
      <c r="AB346" s="11">
        <f t="array" ref="AB346">XLOOKUP(A:A,'Raw Revenue'!M:M,'Raw Revenue'!N:N,0)</f>
        <v>0</v>
      </c>
      <c r="AC346" s="3">
        <v>0.0</v>
      </c>
      <c r="AD346" s="3">
        <v>0.0</v>
      </c>
      <c r="AE346" s="3">
        <v>0.0</v>
      </c>
      <c r="AF346" s="3">
        <v>0.0</v>
      </c>
      <c r="AG346" s="3">
        <v>0.0</v>
      </c>
    </row>
    <row r="347">
      <c r="A347" s="3" t="s">
        <v>977</v>
      </c>
      <c r="B347" s="3" t="s">
        <v>978</v>
      </c>
      <c r="C347" s="3" t="str">
        <f t="shared" si="1"/>
        <v>PT. Digital Solusi Pratama</v>
      </c>
      <c r="D347" s="3" t="s">
        <v>130</v>
      </c>
      <c r="E347" s="3" t="s">
        <v>187</v>
      </c>
      <c r="F347" s="3" t="s">
        <v>269</v>
      </c>
      <c r="G347" s="3" t="s">
        <v>63</v>
      </c>
      <c r="H347" s="3" t="str">
        <f t="array" ref="H347">XLOOKUP(G:G,'Account Manager Data'!A:A,'Account Manager Data'!B:B,0)</f>
        <v>Hendra Gunawan</v>
      </c>
      <c r="I347" s="11" t="str">
        <f t="array" ref="I347">XLOOKUP($G:$G,'Account Manager Data'!$A:$A,'Account Manager Data'!C:C)</f>
        <v>Kalimantan</v>
      </c>
      <c r="J347" s="17">
        <v>6085648.0</v>
      </c>
      <c r="K347" s="17">
        <v>8755696.0</v>
      </c>
      <c r="L347" s="17">
        <v>7863125.0</v>
      </c>
      <c r="M347" s="17">
        <v>6783204.0</v>
      </c>
      <c r="N347" s="17">
        <v>1.2683679E7</v>
      </c>
      <c r="O347" s="17">
        <v>1661170.0</v>
      </c>
      <c r="P347" s="17">
        <v>1.2269584E7</v>
      </c>
      <c r="Q347" s="17">
        <v>1.498925E7</v>
      </c>
      <c r="R347" s="17">
        <v>6425134.0</v>
      </c>
      <c r="S347" s="17">
        <v>0.0</v>
      </c>
      <c r="T347" s="17">
        <v>706715.0</v>
      </c>
      <c r="U347" s="17">
        <v>869668.0</v>
      </c>
      <c r="V347" s="11">
        <f t="array" ref="V347">XLOOKUP(A:A,'Raw Revenue'!A:A,'Raw Revenue'!B:B,0)
</f>
        <v>0</v>
      </c>
      <c r="W347" s="11">
        <f t="array" ref="W347">XLOOKUP(A:A,'Raw Revenue'!C:C,'Raw Revenue'!D:D,0)</f>
        <v>0</v>
      </c>
      <c r="X347" s="11">
        <f t="array" ref="X347">XLOOKUP(A:A,'Raw Revenue'!E:E,'Raw Revenue'!F:F,0)</f>
        <v>0</v>
      </c>
      <c r="Y347" s="11">
        <f t="array" ref="Y347">XLOOKUP(A:A,'Raw Revenue'!G:G,'Raw Revenue'!H:H,0)</f>
        <v>0</v>
      </c>
      <c r="Z347" s="11">
        <f t="array" ref="Z347">XLOOKUP(A:A,'Raw Revenue'!I:I,'Raw Revenue'!J:J,0)</f>
        <v>0</v>
      </c>
      <c r="AA347" s="11">
        <f t="array" ref="AA347">XLOOKUP(A:A,'Raw Revenue'!K:K,'Raw Revenue'!L:L,0)</f>
        <v>0</v>
      </c>
      <c r="AB347" s="11">
        <f t="array" ref="AB347">XLOOKUP(A:A,'Raw Revenue'!M:M,'Raw Revenue'!N:N,0)</f>
        <v>0</v>
      </c>
      <c r="AC347" s="3">
        <v>0.0</v>
      </c>
      <c r="AD347" s="3">
        <v>0.0</v>
      </c>
      <c r="AE347" s="3">
        <v>0.0</v>
      </c>
      <c r="AF347" s="3">
        <v>0.0</v>
      </c>
      <c r="AG347" s="3">
        <v>0.0</v>
      </c>
    </row>
    <row r="348">
      <c r="A348" s="3" t="s">
        <v>979</v>
      </c>
      <c r="B348" s="3" t="s">
        <v>980</v>
      </c>
      <c r="C348" s="3" t="str">
        <f t="shared" si="1"/>
        <v>PT. Global Niaga Abadi</v>
      </c>
      <c r="D348" s="3" t="s">
        <v>130</v>
      </c>
      <c r="E348" s="3" t="s">
        <v>104</v>
      </c>
      <c r="F348" s="3" t="s">
        <v>134</v>
      </c>
      <c r="G348" s="3" t="s">
        <v>35</v>
      </c>
      <c r="H348" s="3" t="str">
        <f t="array" ref="H348">XLOOKUP(G:G,'Account Manager Data'!A:A,'Account Manager Data'!B:B,0)</f>
        <v>Ahmad Fauzi</v>
      </c>
      <c r="I348" s="11" t="str">
        <f t="array" ref="I348">XLOOKUP($G:$G,'Account Manager Data'!$A:$A,'Account Manager Data'!C:C)</f>
        <v>Sumatera</v>
      </c>
      <c r="J348" s="17">
        <v>3536297.0</v>
      </c>
      <c r="K348" s="17">
        <v>1788217.0</v>
      </c>
      <c r="L348" s="17">
        <v>7939561.0</v>
      </c>
      <c r="M348" s="17">
        <v>1.1723786E7</v>
      </c>
      <c r="N348" s="17">
        <v>0.0</v>
      </c>
      <c r="O348" s="17">
        <v>9699133.0</v>
      </c>
      <c r="P348" s="17">
        <v>1.4736469E7</v>
      </c>
      <c r="Q348" s="17">
        <v>1.5677048E7</v>
      </c>
      <c r="R348" s="17">
        <v>1.1746405E7</v>
      </c>
      <c r="S348" s="17">
        <v>1.4983237E7</v>
      </c>
      <c r="T348" s="17">
        <v>1.6218089E7</v>
      </c>
      <c r="U348" s="17">
        <v>1.6310637E7</v>
      </c>
      <c r="V348" s="11">
        <f t="array" ref="V348">XLOOKUP(A:A,'Raw Revenue'!A:A,'Raw Revenue'!B:B,0)
</f>
        <v>0</v>
      </c>
      <c r="W348" s="11">
        <f t="array" ref="W348">XLOOKUP(A:A,'Raw Revenue'!C:C,'Raw Revenue'!D:D,0)</f>
        <v>0</v>
      </c>
      <c r="X348" s="11">
        <f t="array" ref="X348">XLOOKUP(A:A,'Raw Revenue'!E:E,'Raw Revenue'!F:F,0)</f>
        <v>0</v>
      </c>
      <c r="Y348" s="11">
        <f t="array" ref="Y348">XLOOKUP(A:A,'Raw Revenue'!G:G,'Raw Revenue'!H:H,0)</f>
        <v>0</v>
      </c>
      <c r="Z348" s="11">
        <f t="array" ref="Z348">XLOOKUP(A:A,'Raw Revenue'!I:I,'Raw Revenue'!J:J,0)</f>
        <v>0</v>
      </c>
      <c r="AA348" s="11">
        <f t="array" ref="AA348">XLOOKUP(A:A,'Raw Revenue'!K:K,'Raw Revenue'!L:L,0)</f>
        <v>0</v>
      </c>
      <c r="AB348" s="11">
        <f t="array" ref="AB348">XLOOKUP(A:A,'Raw Revenue'!M:M,'Raw Revenue'!N:N,0)</f>
        <v>0</v>
      </c>
      <c r="AC348" s="3">
        <v>0.0</v>
      </c>
      <c r="AD348" s="3">
        <v>0.0</v>
      </c>
      <c r="AE348" s="3">
        <v>0.0</v>
      </c>
      <c r="AF348" s="3">
        <v>0.0</v>
      </c>
      <c r="AG348" s="3">
        <v>0.0</v>
      </c>
    </row>
    <row r="349">
      <c r="A349" s="3" t="s">
        <v>981</v>
      </c>
      <c r="B349" s="3" t="s">
        <v>982</v>
      </c>
      <c r="C349" s="3" t="str">
        <f t="shared" si="1"/>
        <v>PT. Indo Makmur Sentosa</v>
      </c>
      <c r="D349" s="3" t="s">
        <v>214</v>
      </c>
      <c r="E349" s="3" t="s">
        <v>85</v>
      </c>
      <c r="F349" s="3" t="s">
        <v>86</v>
      </c>
      <c r="G349" s="3" t="s">
        <v>74</v>
      </c>
      <c r="H349" s="3" t="str">
        <f t="array" ref="H349">XLOOKUP(G:G,'Account Manager Data'!A:A,'Account Manager Data'!B:B,0)</f>
        <v>Budi Santoso</v>
      </c>
      <c r="I349" s="11" t="str">
        <f t="array" ref="I349">XLOOKUP($G:$G,'Account Manager Data'!$A:$A,'Account Manager Data'!C:C)</f>
        <v>Papua</v>
      </c>
      <c r="J349" s="17">
        <v>3322845.0</v>
      </c>
      <c r="K349" s="17">
        <v>5710154.0</v>
      </c>
      <c r="L349" s="17">
        <v>8659309.0</v>
      </c>
      <c r="M349" s="17">
        <v>6243410.0</v>
      </c>
      <c r="N349" s="17">
        <v>9187627.0</v>
      </c>
      <c r="O349" s="17">
        <v>1803772.0</v>
      </c>
      <c r="P349" s="17">
        <v>1.3335871E7</v>
      </c>
      <c r="Q349" s="17">
        <v>9600372.0</v>
      </c>
      <c r="R349" s="17">
        <v>4014793.0</v>
      </c>
      <c r="S349" s="17">
        <v>1.4017267E7</v>
      </c>
      <c r="T349" s="17">
        <v>1.7551843E7</v>
      </c>
      <c r="U349" s="17">
        <v>3127009.0</v>
      </c>
      <c r="V349" s="11">
        <f t="array" ref="V349">XLOOKUP(A:A,'Raw Revenue'!A:A,'Raw Revenue'!B:B,0)
</f>
        <v>0</v>
      </c>
      <c r="W349" s="11">
        <f t="array" ref="W349">XLOOKUP(A:A,'Raw Revenue'!C:C,'Raw Revenue'!D:D,0)</f>
        <v>0</v>
      </c>
      <c r="X349" s="11">
        <f t="array" ref="X349">XLOOKUP(A:A,'Raw Revenue'!E:E,'Raw Revenue'!F:F,0)</f>
        <v>0</v>
      </c>
      <c r="Y349" s="11">
        <f t="array" ref="Y349">XLOOKUP(A:A,'Raw Revenue'!G:G,'Raw Revenue'!H:H,0)</f>
        <v>0</v>
      </c>
      <c r="Z349" s="11">
        <f t="array" ref="Z349">XLOOKUP(A:A,'Raw Revenue'!I:I,'Raw Revenue'!J:J,0)</f>
        <v>0</v>
      </c>
      <c r="AA349" s="11">
        <f t="array" ref="AA349">XLOOKUP(A:A,'Raw Revenue'!K:K,'Raw Revenue'!L:L,0)</f>
        <v>0</v>
      </c>
      <c r="AB349" s="11">
        <f t="array" ref="AB349">XLOOKUP(A:A,'Raw Revenue'!M:M,'Raw Revenue'!N:N,0)</f>
        <v>0</v>
      </c>
      <c r="AC349" s="3">
        <v>0.0</v>
      </c>
      <c r="AD349" s="3">
        <v>0.0</v>
      </c>
      <c r="AE349" s="3">
        <v>0.0</v>
      </c>
      <c r="AF349" s="3">
        <v>0.0</v>
      </c>
      <c r="AG349" s="3">
        <v>0.0</v>
      </c>
    </row>
    <row r="350">
      <c r="A350" s="3" t="s">
        <v>983</v>
      </c>
      <c r="B350" s="3" t="s">
        <v>984</v>
      </c>
      <c r="C350" s="3" t="str">
        <f t="shared" si="1"/>
        <v>PT. Citra Mandiri Utama</v>
      </c>
      <c r="D350" s="3" t="s">
        <v>130</v>
      </c>
      <c r="E350" s="3" t="s">
        <v>85</v>
      </c>
      <c r="F350" s="3" t="s">
        <v>86</v>
      </c>
      <c r="G350" s="3" t="s">
        <v>43</v>
      </c>
      <c r="H350" s="3" t="str">
        <f t="array" ref="H350">XLOOKUP(G:G,'Account Manager Data'!A:A,'Account Manager Data'!B:B,0)</f>
        <v>Eko Prasetyo</v>
      </c>
      <c r="I350" s="11" t="str">
        <f t="array" ref="I350">XLOOKUP($G:$G,'Account Manager Data'!$A:$A,'Account Manager Data'!C:C)</f>
        <v>Papua</v>
      </c>
      <c r="J350" s="17">
        <v>6935631.0</v>
      </c>
      <c r="K350" s="17">
        <v>7518010.0</v>
      </c>
      <c r="L350" s="17">
        <v>7373269.0</v>
      </c>
      <c r="M350" s="17">
        <v>3053208.0</v>
      </c>
      <c r="N350" s="17">
        <v>4046073.0</v>
      </c>
      <c r="O350" s="17">
        <v>4870248.0</v>
      </c>
      <c r="P350" s="17">
        <v>3440299.0</v>
      </c>
      <c r="Q350" s="17">
        <v>1276470.0</v>
      </c>
      <c r="R350" s="17">
        <v>0.0</v>
      </c>
      <c r="S350" s="17">
        <v>1.2014131E7</v>
      </c>
      <c r="T350" s="17">
        <v>1.7839894E7</v>
      </c>
      <c r="U350" s="17">
        <v>617940.0</v>
      </c>
      <c r="V350" s="11">
        <f t="array" ref="V350">XLOOKUP(A:A,'Raw Revenue'!A:A,'Raw Revenue'!B:B,0)
</f>
        <v>0</v>
      </c>
      <c r="W350" s="11">
        <f t="array" ref="W350">XLOOKUP(A:A,'Raw Revenue'!C:C,'Raw Revenue'!D:D,0)</f>
        <v>0</v>
      </c>
      <c r="X350" s="11">
        <f t="array" ref="X350">XLOOKUP(A:A,'Raw Revenue'!E:E,'Raw Revenue'!F:F,0)</f>
        <v>0</v>
      </c>
      <c r="Y350" s="11">
        <f t="array" ref="Y350">XLOOKUP(A:A,'Raw Revenue'!G:G,'Raw Revenue'!H:H,0)</f>
        <v>0</v>
      </c>
      <c r="Z350" s="11">
        <f t="array" ref="Z350">XLOOKUP(A:A,'Raw Revenue'!I:I,'Raw Revenue'!J:J,0)</f>
        <v>0</v>
      </c>
      <c r="AA350" s="11">
        <f t="array" ref="AA350">XLOOKUP(A:A,'Raw Revenue'!K:K,'Raw Revenue'!L:L,0)</f>
        <v>0</v>
      </c>
      <c r="AB350" s="11">
        <f t="array" ref="AB350">XLOOKUP(A:A,'Raw Revenue'!M:M,'Raw Revenue'!N:N,0)</f>
        <v>0</v>
      </c>
      <c r="AC350" s="3">
        <v>0.0</v>
      </c>
      <c r="AD350" s="3">
        <v>0.0</v>
      </c>
      <c r="AE350" s="3">
        <v>0.0</v>
      </c>
      <c r="AF350" s="3">
        <v>0.0</v>
      </c>
      <c r="AG350" s="3">
        <v>0.0</v>
      </c>
    </row>
    <row r="351">
      <c r="A351" s="3" t="s">
        <v>985</v>
      </c>
      <c r="B351" s="3" t="s">
        <v>986</v>
      </c>
      <c r="C351" s="3" t="str">
        <f t="shared" si="1"/>
        <v>PT. Sinar Dunia Baru</v>
      </c>
      <c r="D351" s="3" t="s">
        <v>84</v>
      </c>
      <c r="E351" s="3" t="s">
        <v>85</v>
      </c>
      <c r="F351" s="3" t="s">
        <v>407</v>
      </c>
      <c r="G351" s="3" t="s">
        <v>76</v>
      </c>
      <c r="H351" s="3" t="str">
        <f t="array" ref="H351">XLOOKUP(G:G,'Account Manager Data'!A:A,'Account Manager Data'!B:B,0)</f>
        <v>Teguh Wijaya</v>
      </c>
      <c r="I351" s="11" t="str">
        <f t="array" ref="I351">XLOOKUP($G:$G,'Account Manager Data'!$A:$A,'Account Manager Data'!C:C)</f>
        <v>Sulawesi</v>
      </c>
      <c r="J351" s="17">
        <v>4413308.0</v>
      </c>
      <c r="K351" s="17">
        <v>6244933.0</v>
      </c>
      <c r="L351" s="17">
        <v>1.0588579E7</v>
      </c>
      <c r="M351" s="17">
        <v>1.1725878E7</v>
      </c>
      <c r="N351" s="17">
        <v>7047222.0</v>
      </c>
      <c r="O351" s="17">
        <v>8154061.0</v>
      </c>
      <c r="P351" s="17">
        <v>0.0</v>
      </c>
      <c r="Q351" s="17">
        <v>1.0475538E7</v>
      </c>
      <c r="R351" s="17">
        <v>1.4947632E7</v>
      </c>
      <c r="S351" s="17">
        <v>0.0</v>
      </c>
      <c r="T351" s="17">
        <v>1.8002211E7</v>
      </c>
      <c r="U351" s="17">
        <v>1.5961842E7</v>
      </c>
      <c r="V351" s="11">
        <f t="array" ref="V351">XLOOKUP(A:A,'Raw Revenue'!A:A,'Raw Revenue'!B:B,0)
</f>
        <v>0</v>
      </c>
      <c r="W351" s="11">
        <f t="array" ref="W351">XLOOKUP(A:A,'Raw Revenue'!C:C,'Raw Revenue'!D:D,0)</f>
        <v>0</v>
      </c>
      <c r="X351" s="11">
        <f t="array" ref="X351">XLOOKUP(A:A,'Raw Revenue'!E:E,'Raw Revenue'!F:F,0)</f>
        <v>0</v>
      </c>
      <c r="Y351" s="11">
        <f t="array" ref="Y351">XLOOKUP(A:A,'Raw Revenue'!G:G,'Raw Revenue'!H:H,0)</f>
        <v>0</v>
      </c>
      <c r="Z351" s="11">
        <f t="array" ref="Z351">XLOOKUP(A:A,'Raw Revenue'!I:I,'Raw Revenue'!J:J,0)</f>
        <v>0</v>
      </c>
      <c r="AA351" s="11">
        <f t="array" ref="AA351">XLOOKUP(A:A,'Raw Revenue'!K:K,'Raw Revenue'!L:L,0)</f>
        <v>0</v>
      </c>
      <c r="AB351" s="11">
        <f t="array" ref="AB351">XLOOKUP(A:A,'Raw Revenue'!M:M,'Raw Revenue'!N:N,0)</f>
        <v>0</v>
      </c>
      <c r="AC351" s="3">
        <v>0.0</v>
      </c>
      <c r="AD351" s="3">
        <v>0.0</v>
      </c>
      <c r="AE351" s="3">
        <v>0.0</v>
      </c>
      <c r="AF351" s="3">
        <v>0.0</v>
      </c>
      <c r="AG351" s="3">
        <v>0.0</v>
      </c>
    </row>
    <row r="352">
      <c r="A352" s="3" t="s">
        <v>987</v>
      </c>
      <c r="B352" s="3" t="s">
        <v>988</v>
      </c>
      <c r="C352" s="3" t="str">
        <f t="shared" si="1"/>
        <v>CV. Karya Utama Mandiri</v>
      </c>
      <c r="D352" s="3" t="s">
        <v>186</v>
      </c>
      <c r="E352" s="3" t="s">
        <v>104</v>
      </c>
      <c r="F352" s="3" t="s">
        <v>105</v>
      </c>
      <c r="G352" s="3" t="s">
        <v>70</v>
      </c>
      <c r="H352" s="3" t="str">
        <f t="array" ref="H352">XLOOKUP(G:G,'Account Manager Data'!A:A,'Account Manager Data'!B:B,0)</f>
        <v>Yusuf Hidayat</v>
      </c>
      <c r="I352" s="11" t="str">
        <f t="array" ref="I352">XLOOKUP($G:$G,'Account Manager Data'!$A:$A,'Account Manager Data'!C:C)</f>
        <v>Sumatera</v>
      </c>
      <c r="J352" s="17">
        <v>5455686.0</v>
      </c>
      <c r="K352" s="17">
        <v>6597628.0</v>
      </c>
      <c r="L352" s="17">
        <v>633316.0</v>
      </c>
      <c r="M352" s="17">
        <v>5656125.0</v>
      </c>
      <c r="N352" s="17">
        <v>7461784.0</v>
      </c>
      <c r="O352" s="17">
        <v>0.0</v>
      </c>
      <c r="P352" s="17">
        <v>2266516.0</v>
      </c>
      <c r="Q352" s="17">
        <v>1.1349532E7</v>
      </c>
      <c r="R352" s="17">
        <v>5577372.0</v>
      </c>
      <c r="S352" s="17">
        <v>1.0452271E7</v>
      </c>
      <c r="T352" s="17">
        <v>1.9314582E7</v>
      </c>
      <c r="U352" s="17">
        <v>1.1208833E7</v>
      </c>
      <c r="V352" s="11">
        <f t="array" ref="V352">XLOOKUP(A:A,'Raw Revenue'!A:A,'Raw Revenue'!B:B,0)
</f>
        <v>0</v>
      </c>
      <c r="W352" s="11">
        <f t="array" ref="W352">XLOOKUP(A:A,'Raw Revenue'!C:C,'Raw Revenue'!D:D,0)</f>
        <v>0</v>
      </c>
      <c r="X352" s="11">
        <f t="array" ref="X352">XLOOKUP(A:A,'Raw Revenue'!E:E,'Raw Revenue'!F:F,0)</f>
        <v>0</v>
      </c>
      <c r="Y352" s="11">
        <f t="array" ref="Y352">XLOOKUP(A:A,'Raw Revenue'!G:G,'Raw Revenue'!H:H,0)</f>
        <v>0</v>
      </c>
      <c r="Z352" s="11">
        <f t="array" ref="Z352">XLOOKUP(A:A,'Raw Revenue'!I:I,'Raw Revenue'!J:J,0)</f>
        <v>0</v>
      </c>
      <c r="AA352" s="11">
        <f t="array" ref="AA352">XLOOKUP(A:A,'Raw Revenue'!K:K,'Raw Revenue'!L:L,0)</f>
        <v>0</v>
      </c>
      <c r="AB352" s="11">
        <f t="array" ref="AB352">XLOOKUP(A:A,'Raw Revenue'!M:M,'Raw Revenue'!N:N,0)</f>
        <v>0</v>
      </c>
      <c r="AC352" s="3">
        <v>0.0</v>
      </c>
      <c r="AD352" s="3">
        <v>0.0</v>
      </c>
      <c r="AE352" s="3">
        <v>0.0</v>
      </c>
      <c r="AF352" s="3">
        <v>0.0</v>
      </c>
      <c r="AG352" s="3">
        <v>0.0</v>
      </c>
    </row>
    <row r="353">
      <c r="A353" s="3" t="s">
        <v>989</v>
      </c>
      <c r="B353" s="3" t="s">
        <v>990</v>
      </c>
      <c r="C353" s="3" t="str">
        <f t="shared" si="1"/>
        <v>PT. Pratama Jaya Sentosa</v>
      </c>
      <c r="D353" s="3" t="s">
        <v>195</v>
      </c>
      <c r="E353" s="3" t="s">
        <v>85</v>
      </c>
      <c r="F353" s="3" t="s">
        <v>407</v>
      </c>
      <c r="G353" s="3" t="s">
        <v>15</v>
      </c>
      <c r="H353" s="3" t="str">
        <f t="array" ref="H353">XLOOKUP(G:G,'Account Manager Data'!A:A,'Account Manager Data'!B:B,0)</f>
        <v>Rizky Maulana</v>
      </c>
      <c r="I353" s="11" t="str">
        <f t="array" ref="I353">XLOOKUP($G:$G,'Account Manager Data'!$A:$A,'Account Manager Data'!C:C)</f>
        <v>Jawa</v>
      </c>
      <c r="J353" s="17">
        <v>4693925.0</v>
      </c>
      <c r="K353" s="17">
        <v>1626643.0</v>
      </c>
      <c r="L353" s="17">
        <v>0.0</v>
      </c>
      <c r="M353" s="17">
        <v>9344258.0</v>
      </c>
      <c r="N353" s="17">
        <v>1.0369225E7</v>
      </c>
      <c r="O353" s="17">
        <v>1.431295E7</v>
      </c>
      <c r="P353" s="17">
        <v>1.3606623E7</v>
      </c>
      <c r="Q353" s="17">
        <v>8166476.0</v>
      </c>
      <c r="R353" s="17">
        <v>4566787.0</v>
      </c>
      <c r="S353" s="17">
        <v>1.1431083E7</v>
      </c>
      <c r="T353" s="17">
        <v>3180525.0</v>
      </c>
      <c r="U353" s="17">
        <v>1938373.0</v>
      </c>
      <c r="V353" s="11">
        <f t="array" ref="V353">XLOOKUP(A:A,'Raw Revenue'!A:A,'Raw Revenue'!B:B,0)
</f>
        <v>0</v>
      </c>
      <c r="W353" s="11">
        <f t="array" ref="W353">XLOOKUP(A:A,'Raw Revenue'!C:C,'Raw Revenue'!D:D,0)</f>
        <v>0</v>
      </c>
      <c r="X353" s="11">
        <f t="array" ref="X353">XLOOKUP(A:A,'Raw Revenue'!E:E,'Raw Revenue'!F:F,0)</f>
        <v>0</v>
      </c>
      <c r="Y353" s="11">
        <f t="array" ref="Y353">XLOOKUP(A:A,'Raw Revenue'!G:G,'Raw Revenue'!H:H,0)</f>
        <v>0</v>
      </c>
      <c r="Z353" s="11">
        <f t="array" ref="Z353">XLOOKUP(A:A,'Raw Revenue'!I:I,'Raw Revenue'!J:J,0)</f>
        <v>0</v>
      </c>
      <c r="AA353" s="11">
        <f t="array" ref="AA353">XLOOKUP(A:A,'Raw Revenue'!K:K,'Raw Revenue'!L:L,0)</f>
        <v>0</v>
      </c>
      <c r="AB353" s="11">
        <f t="array" ref="AB353">XLOOKUP(A:A,'Raw Revenue'!M:M,'Raw Revenue'!N:N,0)</f>
        <v>0</v>
      </c>
      <c r="AC353" s="3">
        <v>0.0</v>
      </c>
      <c r="AD353" s="3">
        <v>0.0</v>
      </c>
      <c r="AE353" s="3">
        <v>0.0</v>
      </c>
      <c r="AF353" s="3">
        <v>0.0</v>
      </c>
      <c r="AG353" s="3">
        <v>0.0</v>
      </c>
    </row>
    <row r="354">
      <c r="A354" s="3" t="s">
        <v>991</v>
      </c>
      <c r="B354" s="3" t="s">
        <v>992</v>
      </c>
      <c r="C354" s="3" t="str">
        <f t="shared" si="1"/>
        <v>PT. Abadi Selamanya Jaya</v>
      </c>
      <c r="D354" s="3" t="s">
        <v>195</v>
      </c>
      <c r="E354" s="3" t="s">
        <v>187</v>
      </c>
      <c r="F354" s="3" t="s">
        <v>269</v>
      </c>
      <c r="G354" s="3" t="s">
        <v>53</v>
      </c>
      <c r="H354" s="3" t="str">
        <f t="array" ref="H354">XLOOKUP(G:G,'Account Manager Data'!A:A,'Account Manager Data'!B:B,0)</f>
        <v>Fajar Ramadhan</v>
      </c>
      <c r="I354" s="11" t="str">
        <f t="array" ref="I354">XLOOKUP($G:$G,'Account Manager Data'!$A:$A,'Account Manager Data'!C:C)</f>
        <v>Sulawesi</v>
      </c>
      <c r="J354" s="17">
        <v>534054.0</v>
      </c>
      <c r="K354" s="17">
        <v>1818835.0</v>
      </c>
      <c r="L354" s="17">
        <v>7596175.0</v>
      </c>
      <c r="M354" s="17">
        <v>1.1455048E7</v>
      </c>
      <c r="N354" s="17">
        <v>3981392.0</v>
      </c>
      <c r="O354" s="17">
        <v>1.3626058E7</v>
      </c>
      <c r="P354" s="17">
        <v>3465187.0</v>
      </c>
      <c r="Q354" s="17">
        <v>482899.0</v>
      </c>
      <c r="R354" s="17">
        <v>1.636236E7</v>
      </c>
      <c r="S354" s="17">
        <v>0.0</v>
      </c>
      <c r="T354" s="17">
        <v>8443060.0</v>
      </c>
      <c r="U354" s="17">
        <v>9878028.0</v>
      </c>
      <c r="V354" s="11">
        <f t="array" ref="V354">XLOOKUP(A:A,'Raw Revenue'!A:A,'Raw Revenue'!B:B,0)
</f>
        <v>0</v>
      </c>
      <c r="W354" s="11">
        <f t="array" ref="W354">XLOOKUP(A:A,'Raw Revenue'!C:C,'Raw Revenue'!D:D,0)</f>
        <v>0</v>
      </c>
      <c r="X354" s="11">
        <f t="array" ref="X354">XLOOKUP(A:A,'Raw Revenue'!E:E,'Raw Revenue'!F:F,0)</f>
        <v>0</v>
      </c>
      <c r="Y354" s="11">
        <f t="array" ref="Y354">XLOOKUP(A:A,'Raw Revenue'!G:G,'Raw Revenue'!H:H,0)</f>
        <v>0</v>
      </c>
      <c r="Z354" s="11">
        <f t="array" ref="Z354">XLOOKUP(A:A,'Raw Revenue'!I:I,'Raw Revenue'!J:J,0)</f>
        <v>0</v>
      </c>
      <c r="AA354" s="11">
        <f t="array" ref="AA354">XLOOKUP(A:A,'Raw Revenue'!K:K,'Raw Revenue'!L:L,0)</f>
        <v>0</v>
      </c>
      <c r="AB354" s="11">
        <f t="array" ref="AB354">XLOOKUP(A:A,'Raw Revenue'!M:M,'Raw Revenue'!N:N,0)</f>
        <v>0</v>
      </c>
      <c r="AC354" s="3">
        <v>0.0</v>
      </c>
      <c r="AD354" s="3">
        <v>0.0</v>
      </c>
      <c r="AE354" s="3">
        <v>0.0</v>
      </c>
      <c r="AF354" s="3">
        <v>0.0</v>
      </c>
      <c r="AG354" s="3">
        <v>0.0</v>
      </c>
    </row>
    <row r="355">
      <c r="A355" s="3" t="s">
        <v>993</v>
      </c>
      <c r="B355" s="3" t="s">
        <v>994</v>
      </c>
      <c r="C355" s="3" t="str">
        <f t="shared" si="1"/>
        <v>PT. Mandiri Sejahtera Bersama</v>
      </c>
      <c r="D355" s="3" t="s">
        <v>130</v>
      </c>
      <c r="E355" s="3" t="s">
        <v>215</v>
      </c>
      <c r="F355" s="3" t="s">
        <v>216</v>
      </c>
      <c r="G355" s="3" t="s">
        <v>27</v>
      </c>
      <c r="H355" s="3" t="str">
        <f t="array" ref="H355">XLOOKUP(G:G,'Account Manager Data'!A:A,'Account Manager Data'!B:B,0)</f>
        <v>Dedi Kurniawan</v>
      </c>
      <c r="I355" s="11" t="str">
        <f t="array" ref="I355">XLOOKUP($G:$G,'Account Manager Data'!$A:$A,'Account Manager Data'!C:C)</f>
        <v>Kalimantan</v>
      </c>
      <c r="J355" s="17">
        <v>222163.0</v>
      </c>
      <c r="K355" s="17">
        <v>4868623.0</v>
      </c>
      <c r="L355" s="17">
        <v>3235911.0</v>
      </c>
      <c r="M355" s="17">
        <v>8833626.0</v>
      </c>
      <c r="N355" s="17">
        <v>4569950.0</v>
      </c>
      <c r="O355" s="17">
        <v>2382873.0</v>
      </c>
      <c r="P355" s="17">
        <v>959773.0</v>
      </c>
      <c r="Q355" s="17">
        <v>2785464.0</v>
      </c>
      <c r="R355" s="17">
        <v>0.0</v>
      </c>
      <c r="S355" s="17">
        <v>2439955.0</v>
      </c>
      <c r="T355" s="17">
        <v>3771036.0</v>
      </c>
      <c r="U355" s="17">
        <v>1.5645433E7</v>
      </c>
      <c r="V355" s="11">
        <f t="array" ref="V355">XLOOKUP(A:A,'Raw Revenue'!A:A,'Raw Revenue'!B:B,0)
</f>
        <v>0</v>
      </c>
      <c r="W355" s="11">
        <f t="array" ref="W355">XLOOKUP(A:A,'Raw Revenue'!C:C,'Raw Revenue'!D:D,0)</f>
        <v>0</v>
      </c>
      <c r="X355" s="11">
        <f t="array" ref="X355">XLOOKUP(A:A,'Raw Revenue'!E:E,'Raw Revenue'!F:F,0)</f>
        <v>0</v>
      </c>
      <c r="Y355" s="11">
        <f t="array" ref="Y355">XLOOKUP(A:A,'Raw Revenue'!G:G,'Raw Revenue'!H:H,0)</f>
        <v>0</v>
      </c>
      <c r="Z355" s="11">
        <f t="array" ref="Z355">XLOOKUP(A:A,'Raw Revenue'!I:I,'Raw Revenue'!J:J,0)</f>
        <v>0</v>
      </c>
      <c r="AA355" s="11">
        <f t="array" ref="AA355">XLOOKUP(A:A,'Raw Revenue'!K:K,'Raw Revenue'!L:L,0)</f>
        <v>0</v>
      </c>
      <c r="AB355" s="11">
        <f t="array" ref="AB355">XLOOKUP(A:A,'Raw Revenue'!M:M,'Raw Revenue'!N:N,0)</f>
        <v>0</v>
      </c>
      <c r="AC355" s="3">
        <v>0.0</v>
      </c>
      <c r="AD355" s="3">
        <v>0.0</v>
      </c>
      <c r="AE355" s="3">
        <v>0.0</v>
      </c>
      <c r="AF355" s="3">
        <v>0.0</v>
      </c>
      <c r="AG355" s="3">
        <v>0.0</v>
      </c>
    </row>
    <row r="356">
      <c r="A356" s="3" t="s">
        <v>995</v>
      </c>
      <c r="B356" s="3" t="s">
        <v>996</v>
      </c>
      <c r="C356" s="3" t="str">
        <f t="shared" si="1"/>
        <v>PT. Sejahtera Alam Indonesia</v>
      </c>
      <c r="D356" s="3" t="s">
        <v>186</v>
      </c>
      <c r="E356" s="3" t="s">
        <v>215</v>
      </c>
      <c r="F356" s="3" t="s">
        <v>300</v>
      </c>
      <c r="G356" s="3" t="s">
        <v>78</v>
      </c>
      <c r="H356" s="3" t="str">
        <f t="array" ref="H356">XLOOKUP(G:G,'Account Manager Data'!A:A,'Account Manager Data'!B:B,0)</f>
        <v>Ilham Saputra</v>
      </c>
      <c r="I356" s="11" t="str">
        <f t="array" ref="I356">XLOOKUP($G:$G,'Account Manager Data'!$A:$A,'Account Manager Data'!C:C)</f>
        <v>Jawa</v>
      </c>
      <c r="J356" s="17">
        <v>7528577.0</v>
      </c>
      <c r="K356" s="17">
        <v>1454244.0</v>
      </c>
      <c r="L356" s="17">
        <v>8605535.0</v>
      </c>
      <c r="M356" s="17">
        <v>1.1170192E7</v>
      </c>
      <c r="N356" s="17">
        <v>1.1778731E7</v>
      </c>
      <c r="O356" s="17">
        <v>1.3520237E7</v>
      </c>
      <c r="P356" s="17">
        <v>9030064.0</v>
      </c>
      <c r="Q356" s="17">
        <v>5538497.0</v>
      </c>
      <c r="R356" s="17">
        <v>1.5536621E7</v>
      </c>
      <c r="S356" s="17">
        <v>2998208.0</v>
      </c>
      <c r="T356" s="17">
        <v>0.0</v>
      </c>
      <c r="U356" s="17">
        <v>1.3167826E7</v>
      </c>
      <c r="V356" s="11">
        <f t="array" ref="V356">XLOOKUP(A:A,'Raw Revenue'!A:A,'Raw Revenue'!B:B,0)
</f>
        <v>0</v>
      </c>
      <c r="W356" s="11">
        <f t="array" ref="W356">XLOOKUP(A:A,'Raw Revenue'!C:C,'Raw Revenue'!D:D,0)</f>
        <v>0</v>
      </c>
      <c r="X356" s="11">
        <f t="array" ref="X356">XLOOKUP(A:A,'Raw Revenue'!E:E,'Raw Revenue'!F:F,0)</f>
        <v>0</v>
      </c>
      <c r="Y356" s="11">
        <f t="array" ref="Y356">XLOOKUP(A:A,'Raw Revenue'!G:G,'Raw Revenue'!H:H,0)</f>
        <v>0</v>
      </c>
      <c r="Z356" s="11">
        <f t="array" ref="Z356">XLOOKUP(A:A,'Raw Revenue'!I:I,'Raw Revenue'!J:J,0)</f>
        <v>0</v>
      </c>
      <c r="AA356" s="11">
        <f t="array" ref="AA356">XLOOKUP(A:A,'Raw Revenue'!K:K,'Raw Revenue'!L:L,0)</f>
        <v>0</v>
      </c>
      <c r="AB356" s="11">
        <f t="array" ref="AB356">XLOOKUP(A:A,'Raw Revenue'!M:M,'Raw Revenue'!N:N,0)</f>
        <v>0</v>
      </c>
      <c r="AC356" s="3">
        <v>0.0</v>
      </c>
      <c r="AD356" s="3">
        <v>0.0</v>
      </c>
      <c r="AE356" s="3">
        <v>0.0</v>
      </c>
      <c r="AF356" s="3">
        <v>0.0</v>
      </c>
      <c r="AG356" s="3">
        <v>0.0</v>
      </c>
    </row>
    <row r="357">
      <c r="A357" s="3" t="s">
        <v>997</v>
      </c>
      <c r="B357" s="3" t="s">
        <v>998</v>
      </c>
      <c r="C357" s="3" t="str">
        <f t="shared" si="1"/>
        <v>PT. Indah Kargo Logistik</v>
      </c>
      <c r="D357" s="3" t="s">
        <v>214</v>
      </c>
      <c r="E357" s="3" t="s">
        <v>187</v>
      </c>
      <c r="F357" s="3" t="s">
        <v>269</v>
      </c>
      <c r="G357" s="3" t="s">
        <v>63</v>
      </c>
      <c r="H357" s="3" t="str">
        <f t="array" ref="H357">XLOOKUP(G:G,'Account Manager Data'!A:A,'Account Manager Data'!B:B,0)</f>
        <v>Hendra Gunawan</v>
      </c>
      <c r="I357" s="11" t="str">
        <f t="array" ref="I357">XLOOKUP($G:$G,'Account Manager Data'!$A:$A,'Account Manager Data'!C:C)</f>
        <v>Kalimantan</v>
      </c>
      <c r="J357" s="17">
        <v>4200335.0</v>
      </c>
      <c r="K357" s="17">
        <v>4383391.0</v>
      </c>
      <c r="L357" s="17">
        <v>7354267.0</v>
      </c>
      <c r="M357" s="17">
        <v>0.0</v>
      </c>
      <c r="N357" s="17">
        <v>0.0</v>
      </c>
      <c r="O357" s="17">
        <v>1.0477175E7</v>
      </c>
      <c r="P357" s="17">
        <v>1.4522923E7</v>
      </c>
      <c r="Q357" s="17">
        <v>9695292.0</v>
      </c>
      <c r="R357" s="17">
        <v>9511212.0</v>
      </c>
      <c r="S357" s="17">
        <v>388563.0</v>
      </c>
      <c r="T357" s="17">
        <v>7897595.0</v>
      </c>
      <c r="U357" s="17">
        <v>1475439.0</v>
      </c>
      <c r="V357" s="11">
        <f t="array" ref="V357">XLOOKUP(A:A,'Raw Revenue'!A:A,'Raw Revenue'!B:B,0)
</f>
        <v>0</v>
      </c>
      <c r="W357" s="11">
        <f t="array" ref="W357">XLOOKUP(A:A,'Raw Revenue'!C:C,'Raw Revenue'!D:D,0)</f>
        <v>0</v>
      </c>
      <c r="X357" s="11">
        <f t="array" ref="X357">XLOOKUP(A:A,'Raw Revenue'!E:E,'Raw Revenue'!F:F,0)</f>
        <v>0</v>
      </c>
      <c r="Y357" s="11">
        <f t="array" ref="Y357">XLOOKUP(A:A,'Raw Revenue'!G:G,'Raw Revenue'!H:H,0)</f>
        <v>0</v>
      </c>
      <c r="Z357" s="11">
        <f t="array" ref="Z357">XLOOKUP(A:A,'Raw Revenue'!I:I,'Raw Revenue'!J:J,0)</f>
        <v>0</v>
      </c>
      <c r="AA357" s="11">
        <f t="array" ref="AA357">XLOOKUP(A:A,'Raw Revenue'!K:K,'Raw Revenue'!L:L,0)</f>
        <v>0</v>
      </c>
      <c r="AB357" s="11">
        <f t="array" ref="AB357">XLOOKUP(A:A,'Raw Revenue'!M:M,'Raw Revenue'!N:N,0)</f>
        <v>0</v>
      </c>
      <c r="AC357" s="3">
        <v>0.0</v>
      </c>
      <c r="AD357" s="3">
        <v>0.0</v>
      </c>
      <c r="AE357" s="3">
        <v>0.0</v>
      </c>
      <c r="AF357" s="3">
        <v>0.0</v>
      </c>
      <c r="AG357" s="3">
        <v>0.0</v>
      </c>
    </row>
    <row r="358">
      <c r="A358" s="3" t="s">
        <v>209</v>
      </c>
      <c r="B358" s="3" t="s">
        <v>999</v>
      </c>
      <c r="C358" s="3" t="str">
        <f t="shared" si="1"/>
        <v>PT. Berkah Alam Semesta</v>
      </c>
      <c r="D358" s="3" t="s">
        <v>103</v>
      </c>
      <c r="E358" s="3" t="s">
        <v>196</v>
      </c>
      <c r="F358" s="3" t="s">
        <v>315</v>
      </c>
      <c r="G358" s="3" t="s">
        <v>35</v>
      </c>
      <c r="H358" s="3" t="str">
        <f t="array" ref="H358">XLOOKUP(G:G,'Account Manager Data'!A:A,'Account Manager Data'!B:B,0)</f>
        <v>Ahmad Fauzi</v>
      </c>
      <c r="I358" s="11" t="str">
        <f t="array" ref="I358">XLOOKUP($G:$G,'Account Manager Data'!$A:$A,'Account Manager Data'!C:C)</f>
        <v>Sumatera</v>
      </c>
      <c r="J358" s="17">
        <v>149053.0</v>
      </c>
      <c r="K358" s="17">
        <v>6871875.0</v>
      </c>
      <c r="L358" s="17">
        <v>8081517.0</v>
      </c>
      <c r="M358" s="17">
        <v>3073003.0</v>
      </c>
      <c r="N358" s="17">
        <v>1.3448248E7</v>
      </c>
      <c r="O358" s="17">
        <v>0.0</v>
      </c>
      <c r="P358" s="17">
        <v>5589935.0</v>
      </c>
      <c r="Q358" s="17">
        <v>1.2004887E7</v>
      </c>
      <c r="R358" s="17">
        <v>769514.0</v>
      </c>
      <c r="S358" s="17">
        <v>1.2155515E7</v>
      </c>
      <c r="T358" s="17">
        <v>1.0550845E7</v>
      </c>
      <c r="U358" s="17">
        <v>6875912.0</v>
      </c>
      <c r="V358" s="11">
        <f t="array" ref="V358">XLOOKUP(A:A,'Raw Revenue'!A:A,'Raw Revenue'!B:B,0)
</f>
        <v>12852940.21</v>
      </c>
      <c r="W358" s="11">
        <f t="array" ref="W358">XLOOKUP(A:A,'Raw Revenue'!C:C,'Raw Revenue'!D:D,0)</f>
        <v>12852940.21</v>
      </c>
      <c r="X358" s="11">
        <f t="array" ref="X358">XLOOKUP(A:A,'Raw Revenue'!E:E,'Raw Revenue'!F:F,0)</f>
        <v>25705880.42</v>
      </c>
      <c r="Y358" s="11">
        <f t="array" ref="Y358">XLOOKUP(A:A,'Raw Revenue'!G:G,'Raw Revenue'!H:H,0)</f>
        <v>20993135.67</v>
      </c>
      <c r="Z358" s="11">
        <f t="array" ref="Z358">XLOOKUP(A:A,'Raw Revenue'!I:I,'Raw Revenue'!J:J,0)</f>
        <v>18850978.97</v>
      </c>
      <c r="AA358" s="11">
        <f t="array" ref="AA358">XLOOKUP(A:A,'Raw Revenue'!K:K,'Raw Revenue'!L:L,0)</f>
        <v>48198525.78</v>
      </c>
      <c r="AB358" s="11">
        <f t="array" ref="AB358">XLOOKUP(A:A,'Raw Revenue'!M:M,'Raw Revenue'!N:N,0)</f>
        <v>44342643.72</v>
      </c>
      <c r="AC358" s="3">
        <v>0.0</v>
      </c>
      <c r="AD358" s="3">
        <v>0.0</v>
      </c>
      <c r="AE358" s="3">
        <v>0.0</v>
      </c>
      <c r="AF358" s="3">
        <v>0.0</v>
      </c>
      <c r="AG358" s="3">
        <v>0.0</v>
      </c>
    </row>
    <row r="359">
      <c r="A359" s="3" t="s">
        <v>1000</v>
      </c>
      <c r="B359" s="3" t="s">
        <v>1001</v>
      </c>
      <c r="C359" s="3" t="str">
        <f t="shared" si="1"/>
        <v>PT. Cahaya Baru Indonesia</v>
      </c>
      <c r="D359" s="3" t="s">
        <v>186</v>
      </c>
      <c r="E359" s="3" t="s">
        <v>196</v>
      </c>
      <c r="F359" s="3" t="s">
        <v>315</v>
      </c>
      <c r="G359" s="3" t="s">
        <v>43</v>
      </c>
      <c r="H359" s="3" t="str">
        <f t="array" ref="H359">XLOOKUP(G:G,'Account Manager Data'!A:A,'Account Manager Data'!B:B,0)</f>
        <v>Eko Prasetyo</v>
      </c>
      <c r="I359" s="11" t="str">
        <f t="array" ref="I359">XLOOKUP($G:$G,'Account Manager Data'!$A:$A,'Account Manager Data'!C:C)</f>
        <v>Papua</v>
      </c>
      <c r="J359" s="17">
        <v>5251903.0</v>
      </c>
      <c r="K359" s="17">
        <v>1487030.0</v>
      </c>
      <c r="L359" s="17">
        <v>1720638.0</v>
      </c>
      <c r="M359" s="17">
        <v>0.0</v>
      </c>
      <c r="N359" s="17">
        <v>4988536.0</v>
      </c>
      <c r="O359" s="17">
        <v>1344505.0</v>
      </c>
      <c r="P359" s="17">
        <v>8443355.0</v>
      </c>
      <c r="Q359" s="17">
        <v>8293094.0</v>
      </c>
      <c r="R359" s="17">
        <v>1.4935353E7</v>
      </c>
      <c r="S359" s="17">
        <v>9904511.0</v>
      </c>
      <c r="T359" s="17">
        <v>1.5468229E7</v>
      </c>
      <c r="U359" s="17">
        <v>1.8179554E7</v>
      </c>
      <c r="V359" s="11">
        <f t="array" ref="V359">XLOOKUP(A:A,'Raw Revenue'!A:A,'Raw Revenue'!B:B,0)
</f>
        <v>0</v>
      </c>
      <c r="W359" s="11">
        <f t="array" ref="W359">XLOOKUP(A:A,'Raw Revenue'!C:C,'Raw Revenue'!D:D,0)</f>
        <v>0</v>
      </c>
      <c r="X359" s="11">
        <f t="array" ref="X359">XLOOKUP(A:A,'Raw Revenue'!E:E,'Raw Revenue'!F:F,0)</f>
        <v>0</v>
      </c>
      <c r="Y359" s="11">
        <f t="array" ref="Y359">XLOOKUP(A:A,'Raw Revenue'!G:G,'Raw Revenue'!H:H,0)</f>
        <v>0</v>
      </c>
      <c r="Z359" s="11">
        <f t="array" ref="Z359">XLOOKUP(A:A,'Raw Revenue'!I:I,'Raw Revenue'!J:J,0)</f>
        <v>0</v>
      </c>
      <c r="AA359" s="11">
        <f t="array" ref="AA359">XLOOKUP(A:A,'Raw Revenue'!K:K,'Raw Revenue'!L:L,0)</f>
        <v>0</v>
      </c>
      <c r="AB359" s="11">
        <f t="array" ref="AB359">XLOOKUP(A:A,'Raw Revenue'!M:M,'Raw Revenue'!N:N,0)</f>
        <v>0</v>
      </c>
      <c r="AC359" s="3">
        <v>0.0</v>
      </c>
      <c r="AD359" s="3">
        <v>0.0</v>
      </c>
      <c r="AE359" s="3">
        <v>0.0</v>
      </c>
      <c r="AF359" s="3">
        <v>0.0</v>
      </c>
      <c r="AG359" s="3">
        <v>0.0</v>
      </c>
    </row>
    <row r="360">
      <c r="A360" s="3" t="s">
        <v>1002</v>
      </c>
      <c r="B360" s="3" t="s">
        <v>1003</v>
      </c>
      <c r="C360" s="3" t="str">
        <f t="shared" si="1"/>
        <v>PT. Mentari Pagi Sejahtera</v>
      </c>
      <c r="D360" s="3" t="s">
        <v>84</v>
      </c>
      <c r="E360" s="3" t="s">
        <v>104</v>
      </c>
      <c r="F360" s="3" t="s">
        <v>105</v>
      </c>
      <c r="G360" s="3" t="s">
        <v>74</v>
      </c>
      <c r="H360" s="3" t="str">
        <f t="array" ref="H360">XLOOKUP(G:G,'Account Manager Data'!A:A,'Account Manager Data'!B:B,0)</f>
        <v>Budi Santoso</v>
      </c>
      <c r="I360" s="11" t="str">
        <f t="array" ref="I360">XLOOKUP($G:$G,'Account Manager Data'!$A:$A,'Account Manager Data'!C:C)</f>
        <v>Papua</v>
      </c>
      <c r="J360" s="17">
        <v>3720032.0</v>
      </c>
      <c r="K360" s="17">
        <v>7425388.0</v>
      </c>
      <c r="L360" s="17">
        <v>1545098.0</v>
      </c>
      <c r="M360" s="17">
        <v>5732802.0</v>
      </c>
      <c r="N360" s="17">
        <v>3024529.0</v>
      </c>
      <c r="O360" s="17">
        <v>8162541.0</v>
      </c>
      <c r="P360" s="17">
        <v>1204797.0</v>
      </c>
      <c r="Q360" s="17">
        <v>1.6058039E7</v>
      </c>
      <c r="R360" s="17">
        <v>2329624.0</v>
      </c>
      <c r="S360" s="17">
        <v>1.3617853E7</v>
      </c>
      <c r="T360" s="17">
        <v>0.0</v>
      </c>
      <c r="U360" s="17">
        <v>1.5768274E7</v>
      </c>
      <c r="V360" s="11">
        <f t="array" ref="V360">XLOOKUP(A:A,'Raw Revenue'!A:A,'Raw Revenue'!B:B,0)
</f>
        <v>0</v>
      </c>
      <c r="W360" s="11">
        <f t="array" ref="W360">XLOOKUP(A:A,'Raw Revenue'!C:C,'Raw Revenue'!D:D,0)</f>
        <v>0</v>
      </c>
      <c r="X360" s="11">
        <f t="array" ref="X360">XLOOKUP(A:A,'Raw Revenue'!E:E,'Raw Revenue'!F:F,0)</f>
        <v>0</v>
      </c>
      <c r="Y360" s="11">
        <f t="array" ref="Y360">XLOOKUP(A:A,'Raw Revenue'!G:G,'Raw Revenue'!H:H,0)</f>
        <v>0</v>
      </c>
      <c r="Z360" s="11">
        <f t="array" ref="Z360">XLOOKUP(A:A,'Raw Revenue'!I:I,'Raw Revenue'!J:J,0)</f>
        <v>0</v>
      </c>
      <c r="AA360" s="11">
        <f t="array" ref="AA360">XLOOKUP(A:A,'Raw Revenue'!K:K,'Raw Revenue'!L:L,0)</f>
        <v>0</v>
      </c>
      <c r="AB360" s="11">
        <f t="array" ref="AB360">XLOOKUP(A:A,'Raw Revenue'!M:M,'Raw Revenue'!N:N,0)</f>
        <v>0</v>
      </c>
      <c r="AC360" s="3">
        <v>0.0</v>
      </c>
      <c r="AD360" s="3">
        <v>0.0</v>
      </c>
      <c r="AE360" s="3">
        <v>0.0</v>
      </c>
      <c r="AF360" s="3">
        <v>0.0</v>
      </c>
      <c r="AG360" s="3">
        <v>0.0</v>
      </c>
    </row>
    <row r="361">
      <c r="A361" s="3" t="s">
        <v>1004</v>
      </c>
      <c r="B361" s="3" t="s">
        <v>1005</v>
      </c>
      <c r="C361" s="3" t="str">
        <f t="shared" si="1"/>
        <v>PT. Bintang Kejora Nusantara</v>
      </c>
      <c r="D361" s="3" t="s">
        <v>195</v>
      </c>
      <c r="E361" s="3" t="s">
        <v>215</v>
      </c>
      <c r="F361" s="3" t="s">
        <v>216</v>
      </c>
      <c r="G361" s="3" t="s">
        <v>76</v>
      </c>
      <c r="H361" s="3" t="str">
        <f t="array" ref="H361">XLOOKUP(G:G,'Account Manager Data'!A:A,'Account Manager Data'!B:B,0)</f>
        <v>Teguh Wijaya</v>
      </c>
      <c r="I361" s="11" t="str">
        <f t="array" ref="I361">XLOOKUP($G:$G,'Account Manager Data'!$A:$A,'Account Manager Data'!C:C)</f>
        <v>Sulawesi</v>
      </c>
      <c r="J361" s="17">
        <v>1431799.0</v>
      </c>
      <c r="K361" s="17">
        <v>6775091.0</v>
      </c>
      <c r="L361" s="17">
        <v>6105339.0</v>
      </c>
      <c r="M361" s="17">
        <v>1.097995E7</v>
      </c>
      <c r="N361" s="17">
        <v>0.0</v>
      </c>
      <c r="O361" s="17">
        <v>1.1033262E7</v>
      </c>
      <c r="P361" s="17">
        <v>649270.0</v>
      </c>
      <c r="Q361" s="17">
        <v>1258811.0</v>
      </c>
      <c r="R361" s="17">
        <v>6749634.0</v>
      </c>
      <c r="S361" s="17">
        <v>0.0</v>
      </c>
      <c r="T361" s="17">
        <v>1.5837019E7</v>
      </c>
      <c r="U361" s="17">
        <v>1675281.0</v>
      </c>
      <c r="V361" s="11">
        <f t="array" ref="V361">XLOOKUP(A:A,'Raw Revenue'!A:A,'Raw Revenue'!B:B,0)
</f>
        <v>0</v>
      </c>
      <c r="W361" s="11">
        <f t="array" ref="W361">XLOOKUP(A:A,'Raw Revenue'!C:C,'Raw Revenue'!D:D,0)</f>
        <v>0</v>
      </c>
      <c r="X361" s="11">
        <f t="array" ref="X361">XLOOKUP(A:A,'Raw Revenue'!E:E,'Raw Revenue'!F:F,0)</f>
        <v>0</v>
      </c>
      <c r="Y361" s="11">
        <f t="array" ref="Y361">XLOOKUP(A:A,'Raw Revenue'!G:G,'Raw Revenue'!H:H,0)</f>
        <v>0</v>
      </c>
      <c r="Z361" s="11">
        <f t="array" ref="Z361">XLOOKUP(A:A,'Raw Revenue'!I:I,'Raw Revenue'!J:J,0)</f>
        <v>0</v>
      </c>
      <c r="AA361" s="11">
        <f t="array" ref="AA361">XLOOKUP(A:A,'Raw Revenue'!K:K,'Raw Revenue'!L:L,0)</f>
        <v>0</v>
      </c>
      <c r="AB361" s="11">
        <f t="array" ref="AB361">XLOOKUP(A:A,'Raw Revenue'!M:M,'Raw Revenue'!N:N,0)</f>
        <v>0</v>
      </c>
      <c r="AC361" s="3">
        <v>0.0</v>
      </c>
      <c r="AD361" s="3">
        <v>0.0</v>
      </c>
      <c r="AE361" s="3">
        <v>0.0</v>
      </c>
      <c r="AF361" s="3">
        <v>0.0</v>
      </c>
      <c r="AG361" s="3">
        <v>0.0</v>
      </c>
    </row>
    <row r="362">
      <c r="A362" s="3" t="s">
        <v>459</v>
      </c>
      <c r="B362" s="3" t="s">
        <v>1006</v>
      </c>
      <c r="C362" s="3" t="str">
        <f t="shared" si="1"/>
        <v>PT. Maju Jaya</v>
      </c>
      <c r="D362" s="3" t="s">
        <v>103</v>
      </c>
      <c r="E362" s="3" t="s">
        <v>215</v>
      </c>
      <c r="F362" s="3" t="s">
        <v>216</v>
      </c>
      <c r="G362" s="3" t="s">
        <v>70</v>
      </c>
      <c r="H362" s="3" t="str">
        <f t="array" ref="H362">XLOOKUP(G:G,'Account Manager Data'!A:A,'Account Manager Data'!B:B,0)</f>
        <v>Yusuf Hidayat</v>
      </c>
      <c r="I362" s="11" t="str">
        <f t="array" ref="I362">XLOOKUP($G:$G,'Account Manager Data'!$A:$A,'Account Manager Data'!C:C)</f>
        <v>Sumatera</v>
      </c>
      <c r="J362" s="17">
        <v>2745490.0</v>
      </c>
      <c r="K362" s="17">
        <v>3703956.0</v>
      </c>
      <c r="L362" s="17">
        <v>7311006.0</v>
      </c>
      <c r="M362" s="17">
        <v>8188714.0</v>
      </c>
      <c r="N362" s="17">
        <v>1397055.0</v>
      </c>
      <c r="O362" s="17">
        <v>8413300.0</v>
      </c>
      <c r="P362" s="17">
        <v>1.4770746E7</v>
      </c>
      <c r="Q362" s="17">
        <v>0.0</v>
      </c>
      <c r="R362" s="17">
        <v>1.1868166E7</v>
      </c>
      <c r="S362" s="17">
        <v>3439756.0</v>
      </c>
      <c r="T362" s="17">
        <v>5662202.0</v>
      </c>
      <c r="U362" s="17">
        <v>8374086.0</v>
      </c>
      <c r="V362" s="11">
        <f t="array" ref="V362">XLOOKUP(A:A,'Raw Revenue'!A:A,'Raw Revenue'!B:B,0)
</f>
        <v>580167.4399</v>
      </c>
      <c r="W362" s="11">
        <f t="array" ref="W362">XLOOKUP(A:A,'Raw Revenue'!C:C,'Raw Revenue'!D:D,0)</f>
        <v>290083.72</v>
      </c>
      <c r="X362" s="11">
        <f t="array" ref="X362">XLOOKUP(A:A,'Raw Revenue'!E:E,'Raw Revenue'!F:F,0)</f>
        <v>174050.232</v>
      </c>
      <c r="Y362" s="11">
        <f t="array" ref="Y362">XLOOKUP(A:A,'Raw Revenue'!G:G,'Raw Revenue'!H:H,0)</f>
        <v>2030586.04</v>
      </c>
      <c r="Z362" s="11">
        <f t="array" ref="Z362">XLOOKUP(A:A,'Raw Revenue'!I:I,'Raw Revenue'!J:J,0)</f>
        <v>464133.952</v>
      </c>
      <c r="AA362" s="11">
        <f t="array" ref="AA362">XLOOKUP(A:A,'Raw Revenue'!K:K,'Raw Revenue'!L:L,0)</f>
        <v>13053.7674</v>
      </c>
      <c r="AB362" s="11">
        <f t="array" ref="AB362">XLOOKUP(A:A,'Raw Revenue'!M:M,'Raw Revenue'!N:N,0)</f>
        <v>1749204.831</v>
      </c>
      <c r="AC362" s="3">
        <v>0.0</v>
      </c>
      <c r="AD362" s="3">
        <v>0.0</v>
      </c>
      <c r="AE362" s="3">
        <v>0.0</v>
      </c>
      <c r="AF362" s="3">
        <v>0.0</v>
      </c>
      <c r="AG362" s="3">
        <v>0.0</v>
      </c>
    </row>
    <row r="363">
      <c r="A363" s="3" t="s">
        <v>1007</v>
      </c>
      <c r="B363" s="3" t="s">
        <v>1008</v>
      </c>
      <c r="C363" s="3" t="str">
        <f t="shared" si="1"/>
        <v>CV. Sumber Makmur</v>
      </c>
      <c r="D363" s="3" t="s">
        <v>195</v>
      </c>
      <c r="E363" s="3" t="s">
        <v>85</v>
      </c>
      <c r="F363" s="3" t="s">
        <v>407</v>
      </c>
      <c r="G363" s="3" t="s">
        <v>15</v>
      </c>
      <c r="H363" s="3" t="str">
        <f t="array" ref="H363">XLOOKUP(G:G,'Account Manager Data'!A:A,'Account Manager Data'!B:B,0)</f>
        <v>Rizky Maulana</v>
      </c>
      <c r="I363" s="11" t="str">
        <f t="array" ref="I363">XLOOKUP($G:$G,'Account Manager Data'!$A:$A,'Account Manager Data'!C:C)</f>
        <v>Jawa</v>
      </c>
      <c r="J363" s="17">
        <v>3267606.0</v>
      </c>
      <c r="K363" s="17">
        <v>5032661.0</v>
      </c>
      <c r="L363" s="17">
        <v>3415342.0</v>
      </c>
      <c r="M363" s="17">
        <v>143928.0</v>
      </c>
      <c r="N363" s="17">
        <v>1.3655011E7</v>
      </c>
      <c r="O363" s="17">
        <v>5929444.0</v>
      </c>
      <c r="P363" s="17">
        <v>9973415.0</v>
      </c>
      <c r="Q363" s="17">
        <v>8268143.0</v>
      </c>
      <c r="R363" s="17">
        <v>1.3268979E7</v>
      </c>
      <c r="S363" s="17">
        <v>1.6909038E7</v>
      </c>
      <c r="T363" s="17">
        <v>1.054795E7</v>
      </c>
      <c r="U363" s="17">
        <v>9603455.0</v>
      </c>
      <c r="V363" s="11">
        <f t="array" ref="V363">XLOOKUP(A:A,'Raw Revenue'!A:A,'Raw Revenue'!B:B,0)
</f>
        <v>0</v>
      </c>
      <c r="W363" s="11">
        <f t="array" ref="W363">XLOOKUP(A:A,'Raw Revenue'!C:C,'Raw Revenue'!D:D,0)</f>
        <v>0</v>
      </c>
      <c r="X363" s="11">
        <f t="array" ref="X363">XLOOKUP(A:A,'Raw Revenue'!E:E,'Raw Revenue'!F:F,0)</f>
        <v>0</v>
      </c>
      <c r="Y363" s="11">
        <f t="array" ref="Y363">XLOOKUP(A:A,'Raw Revenue'!G:G,'Raw Revenue'!H:H,0)</f>
        <v>0</v>
      </c>
      <c r="Z363" s="11">
        <f t="array" ref="Z363">XLOOKUP(A:A,'Raw Revenue'!I:I,'Raw Revenue'!J:J,0)</f>
        <v>0</v>
      </c>
      <c r="AA363" s="11">
        <f t="array" ref="AA363">XLOOKUP(A:A,'Raw Revenue'!K:K,'Raw Revenue'!L:L,0)</f>
        <v>0</v>
      </c>
      <c r="AB363" s="11">
        <f t="array" ref="AB363">XLOOKUP(A:A,'Raw Revenue'!M:M,'Raw Revenue'!N:N,0)</f>
        <v>0</v>
      </c>
      <c r="AC363" s="3">
        <v>0.0</v>
      </c>
      <c r="AD363" s="3">
        <v>0.0</v>
      </c>
      <c r="AE363" s="3">
        <v>0.0</v>
      </c>
      <c r="AF363" s="3">
        <v>0.0</v>
      </c>
      <c r="AG363" s="3">
        <v>0.0</v>
      </c>
    </row>
    <row r="364">
      <c r="A364" s="3" t="s">
        <v>189</v>
      </c>
      <c r="B364" s="3" t="s">
        <v>1009</v>
      </c>
      <c r="C364" s="3" t="str">
        <f t="shared" si="1"/>
        <v>PT. Teknologi Nusantara</v>
      </c>
      <c r="D364" s="3" t="s">
        <v>103</v>
      </c>
      <c r="E364" s="3" t="s">
        <v>85</v>
      </c>
      <c r="F364" s="3" t="s">
        <v>248</v>
      </c>
      <c r="G364" s="3" t="s">
        <v>27</v>
      </c>
      <c r="H364" s="3" t="str">
        <f t="array" ref="H364">XLOOKUP(G:G,'Account Manager Data'!A:A,'Account Manager Data'!B:B,0)</f>
        <v>Dedi Kurniawan</v>
      </c>
      <c r="I364" s="11" t="str">
        <f t="array" ref="I364">XLOOKUP($G:$G,'Account Manager Data'!$A:$A,'Account Manager Data'!C:C)</f>
        <v>Kalimantan</v>
      </c>
      <c r="J364" s="17">
        <v>3604926.0</v>
      </c>
      <c r="K364" s="17">
        <v>6657646.0</v>
      </c>
      <c r="L364" s="17">
        <v>1054661.0</v>
      </c>
      <c r="M364" s="17">
        <v>1842410.0</v>
      </c>
      <c r="N364" s="17">
        <v>7523897.0</v>
      </c>
      <c r="O364" s="17">
        <v>1.0094554E7</v>
      </c>
      <c r="P364" s="17">
        <v>1.4723678E7</v>
      </c>
      <c r="Q364" s="17">
        <v>4362257.0</v>
      </c>
      <c r="R364" s="17">
        <v>1.3072585E7</v>
      </c>
      <c r="S364" s="17">
        <v>4661455.0</v>
      </c>
      <c r="T364" s="17">
        <v>1.6629883E7</v>
      </c>
      <c r="U364" s="17">
        <v>2172179.0</v>
      </c>
      <c r="V364" s="11">
        <f t="array" ref="V364">XLOOKUP(A:A,'Raw Revenue'!A:A,'Raw Revenue'!B:B,0)
</f>
        <v>1392401.856</v>
      </c>
      <c r="W364" s="11">
        <f t="array" ref="W364">XLOOKUP(A:A,'Raw Revenue'!C:C,'Raw Revenue'!D:D,0)</f>
        <v>1392401.856</v>
      </c>
      <c r="X364" s="11">
        <f t="array" ref="X364">XLOOKUP(A:A,'Raw Revenue'!E:E,'Raw Revenue'!F:F,0)</f>
        <v>2784803.712</v>
      </c>
      <c r="Y364" s="11">
        <f t="array" ref="Y364">XLOOKUP(A:A,'Raw Revenue'!G:G,'Raw Revenue'!H:H,0)</f>
        <v>2274256.365</v>
      </c>
      <c r="Z364" s="11">
        <f t="array" ref="Z364">XLOOKUP(A:A,'Raw Revenue'!I:I,'Raw Revenue'!J:J,0)</f>
        <v>2042189.389</v>
      </c>
      <c r="AA364" s="11">
        <f t="array" ref="AA364">XLOOKUP(A:A,'Raw Revenue'!K:K,'Raw Revenue'!L:L,0)</f>
        <v>5221506.96</v>
      </c>
      <c r="AB364" s="11">
        <f t="array" ref="AB364">XLOOKUP(A:A,'Raw Revenue'!M:M,'Raw Revenue'!N:N,0)</f>
        <v>4803786.403</v>
      </c>
      <c r="AC364" s="3">
        <v>0.0</v>
      </c>
      <c r="AD364" s="3">
        <v>0.0</v>
      </c>
      <c r="AE364" s="3">
        <v>0.0</v>
      </c>
      <c r="AF364" s="3">
        <v>0.0</v>
      </c>
      <c r="AG364" s="3">
        <v>0.0</v>
      </c>
    </row>
    <row r="365">
      <c r="A365" s="3" t="s">
        <v>1010</v>
      </c>
      <c r="B365" s="3" t="s">
        <v>1011</v>
      </c>
      <c r="C365" s="3" t="str">
        <f t="shared" si="1"/>
        <v>PT. Bakti Indonesia</v>
      </c>
      <c r="D365" s="3" t="s">
        <v>84</v>
      </c>
      <c r="E365" s="3" t="s">
        <v>85</v>
      </c>
      <c r="F365" s="3" t="s">
        <v>86</v>
      </c>
      <c r="G365" s="3" t="s">
        <v>78</v>
      </c>
      <c r="H365" s="3" t="str">
        <f t="array" ref="H365">XLOOKUP(G:G,'Account Manager Data'!A:A,'Account Manager Data'!B:B,0)</f>
        <v>Ilham Saputra</v>
      </c>
      <c r="I365" s="11" t="str">
        <f t="array" ref="I365">XLOOKUP($G:$G,'Account Manager Data'!$A:$A,'Account Manager Data'!C:C)</f>
        <v>Jawa</v>
      </c>
      <c r="J365" s="17">
        <v>6757599.0</v>
      </c>
      <c r="K365" s="17">
        <v>4572300.0</v>
      </c>
      <c r="L365" s="17">
        <v>0.0</v>
      </c>
      <c r="M365" s="17">
        <v>0.0</v>
      </c>
      <c r="N365" s="17">
        <v>5559121.0</v>
      </c>
      <c r="O365" s="17">
        <v>1.4567547E7</v>
      </c>
      <c r="P365" s="17">
        <v>1.4455035E7</v>
      </c>
      <c r="Q365" s="17">
        <v>340373.0</v>
      </c>
      <c r="R365" s="17">
        <v>1900018.0</v>
      </c>
      <c r="S365" s="17">
        <v>0.0</v>
      </c>
      <c r="T365" s="17">
        <v>7604137.0</v>
      </c>
      <c r="U365" s="17">
        <v>1.4300912E7</v>
      </c>
      <c r="V365" s="11">
        <f t="array" ref="V365">XLOOKUP(A:A,'Raw Revenue'!A:A,'Raw Revenue'!B:B,0)
</f>
        <v>0</v>
      </c>
      <c r="W365" s="11">
        <f t="array" ref="W365">XLOOKUP(A:A,'Raw Revenue'!C:C,'Raw Revenue'!D:D,0)</f>
        <v>0</v>
      </c>
      <c r="X365" s="11">
        <f t="array" ref="X365">XLOOKUP(A:A,'Raw Revenue'!E:E,'Raw Revenue'!F:F,0)</f>
        <v>0</v>
      </c>
      <c r="Y365" s="11">
        <f t="array" ref="Y365">XLOOKUP(A:A,'Raw Revenue'!G:G,'Raw Revenue'!H:H,0)</f>
        <v>0</v>
      </c>
      <c r="Z365" s="11">
        <f t="array" ref="Z365">XLOOKUP(A:A,'Raw Revenue'!I:I,'Raw Revenue'!J:J,0)</f>
        <v>0</v>
      </c>
      <c r="AA365" s="11">
        <f t="array" ref="AA365">XLOOKUP(A:A,'Raw Revenue'!K:K,'Raw Revenue'!L:L,0)</f>
        <v>0</v>
      </c>
      <c r="AB365" s="11">
        <f t="array" ref="AB365">XLOOKUP(A:A,'Raw Revenue'!M:M,'Raw Revenue'!N:N,0)</f>
        <v>0</v>
      </c>
      <c r="AC365" s="3">
        <v>0.0</v>
      </c>
      <c r="AD365" s="3">
        <v>0.0</v>
      </c>
      <c r="AE365" s="3">
        <v>0.0</v>
      </c>
      <c r="AF365" s="3">
        <v>0.0</v>
      </c>
      <c r="AG365" s="3">
        <v>0.0</v>
      </c>
    </row>
    <row r="366">
      <c r="A366" s="3" t="s">
        <v>1012</v>
      </c>
      <c r="B366" s="3" t="s">
        <v>1013</v>
      </c>
      <c r="C366" s="3" t="str">
        <f t="shared" si="1"/>
        <v>CV. Amanah Sejahtera</v>
      </c>
      <c r="D366" s="3" t="s">
        <v>214</v>
      </c>
      <c r="E366" s="3" t="s">
        <v>187</v>
      </c>
      <c r="F366" s="3" t="s">
        <v>295</v>
      </c>
      <c r="G366" s="3" t="s">
        <v>53</v>
      </c>
      <c r="H366" s="3" t="str">
        <f t="array" ref="H366">XLOOKUP(G:G,'Account Manager Data'!A:A,'Account Manager Data'!B:B,0)</f>
        <v>Fajar Ramadhan</v>
      </c>
      <c r="I366" s="11" t="str">
        <f t="array" ref="I366">XLOOKUP($G:$G,'Account Manager Data'!$A:$A,'Account Manager Data'!C:C)</f>
        <v>Sulawesi</v>
      </c>
      <c r="J366" s="17">
        <v>4538521.0</v>
      </c>
      <c r="K366" s="17">
        <v>481145.0</v>
      </c>
      <c r="L366" s="17">
        <v>0.0</v>
      </c>
      <c r="M366" s="17">
        <v>0.0</v>
      </c>
      <c r="N366" s="17">
        <v>8065363.0</v>
      </c>
      <c r="O366" s="17">
        <v>5221739.0</v>
      </c>
      <c r="P366" s="17">
        <v>387778.0</v>
      </c>
      <c r="Q366" s="17">
        <v>1.0994846E7</v>
      </c>
      <c r="R366" s="17">
        <v>3170707.0</v>
      </c>
      <c r="S366" s="17">
        <v>484433.0</v>
      </c>
      <c r="T366" s="17">
        <v>1.2287857E7</v>
      </c>
      <c r="U366" s="17">
        <v>0.0</v>
      </c>
      <c r="V366" s="11">
        <f t="array" ref="V366">XLOOKUP(A:A,'Raw Revenue'!A:A,'Raw Revenue'!B:B,0)
</f>
        <v>0</v>
      </c>
      <c r="W366" s="11">
        <f t="array" ref="W366">XLOOKUP(A:A,'Raw Revenue'!C:C,'Raw Revenue'!D:D,0)</f>
        <v>0</v>
      </c>
      <c r="X366" s="11">
        <f t="array" ref="X366">XLOOKUP(A:A,'Raw Revenue'!E:E,'Raw Revenue'!F:F,0)</f>
        <v>0</v>
      </c>
      <c r="Y366" s="11">
        <f t="array" ref="Y366">XLOOKUP(A:A,'Raw Revenue'!G:G,'Raw Revenue'!H:H,0)</f>
        <v>0</v>
      </c>
      <c r="Z366" s="11">
        <f t="array" ref="Z366">XLOOKUP(A:A,'Raw Revenue'!I:I,'Raw Revenue'!J:J,0)</f>
        <v>0</v>
      </c>
      <c r="AA366" s="11">
        <f t="array" ref="AA366">XLOOKUP(A:A,'Raw Revenue'!K:K,'Raw Revenue'!L:L,0)</f>
        <v>0</v>
      </c>
      <c r="AB366" s="11">
        <f t="array" ref="AB366">XLOOKUP(A:A,'Raw Revenue'!M:M,'Raw Revenue'!N:N,0)</f>
        <v>0</v>
      </c>
      <c r="AC366" s="3">
        <v>0.0</v>
      </c>
      <c r="AD366" s="3">
        <v>0.0</v>
      </c>
      <c r="AE366" s="3">
        <v>0.0</v>
      </c>
      <c r="AF366" s="3">
        <v>0.0</v>
      </c>
      <c r="AG366" s="3">
        <v>0.0</v>
      </c>
    </row>
    <row r="367">
      <c r="A367" s="3" t="s">
        <v>1014</v>
      </c>
      <c r="B367" s="3" t="s">
        <v>1015</v>
      </c>
      <c r="C367" s="3" t="str">
        <f t="shared" si="1"/>
        <v>PT. Digital Solusi Pratama</v>
      </c>
      <c r="D367" s="3" t="s">
        <v>84</v>
      </c>
      <c r="E367" s="3" t="s">
        <v>215</v>
      </c>
      <c r="F367" s="3" t="s">
        <v>300</v>
      </c>
      <c r="G367" s="3" t="s">
        <v>63</v>
      </c>
      <c r="H367" s="3" t="str">
        <f t="array" ref="H367">XLOOKUP(G:G,'Account Manager Data'!A:A,'Account Manager Data'!B:B,0)</f>
        <v>Hendra Gunawan</v>
      </c>
      <c r="I367" s="11" t="str">
        <f t="array" ref="I367">XLOOKUP($G:$G,'Account Manager Data'!$A:$A,'Account Manager Data'!C:C)</f>
        <v>Kalimantan</v>
      </c>
      <c r="J367" s="17">
        <v>1258315.0</v>
      </c>
      <c r="K367" s="17">
        <v>6549377.0</v>
      </c>
      <c r="L367" s="17">
        <v>9075773.0</v>
      </c>
      <c r="M367" s="17">
        <v>4906578.0</v>
      </c>
      <c r="N367" s="17">
        <v>1.0419321E7</v>
      </c>
      <c r="O367" s="17">
        <v>0.0</v>
      </c>
      <c r="P367" s="17">
        <v>1.4366234E7</v>
      </c>
      <c r="Q367" s="17">
        <v>1.1549911E7</v>
      </c>
      <c r="R367" s="17">
        <v>1572153.0</v>
      </c>
      <c r="S367" s="17">
        <v>1.666491E7</v>
      </c>
      <c r="T367" s="17">
        <v>1.0770744E7</v>
      </c>
      <c r="U367" s="17">
        <v>1.9199219E7</v>
      </c>
      <c r="V367" s="11">
        <f t="array" ref="V367">XLOOKUP(A:A,'Raw Revenue'!A:A,'Raw Revenue'!B:B,0)
</f>
        <v>0</v>
      </c>
      <c r="W367" s="11">
        <f t="array" ref="W367">XLOOKUP(A:A,'Raw Revenue'!C:C,'Raw Revenue'!D:D,0)</f>
        <v>0</v>
      </c>
      <c r="X367" s="11">
        <f t="array" ref="X367">XLOOKUP(A:A,'Raw Revenue'!E:E,'Raw Revenue'!F:F,0)</f>
        <v>0</v>
      </c>
      <c r="Y367" s="11">
        <f t="array" ref="Y367">XLOOKUP(A:A,'Raw Revenue'!G:G,'Raw Revenue'!H:H,0)</f>
        <v>0</v>
      </c>
      <c r="Z367" s="11">
        <f t="array" ref="Z367">XLOOKUP(A:A,'Raw Revenue'!I:I,'Raw Revenue'!J:J,0)</f>
        <v>0</v>
      </c>
      <c r="AA367" s="11">
        <f t="array" ref="AA367">XLOOKUP(A:A,'Raw Revenue'!K:K,'Raw Revenue'!L:L,0)</f>
        <v>0</v>
      </c>
      <c r="AB367" s="11">
        <f t="array" ref="AB367">XLOOKUP(A:A,'Raw Revenue'!M:M,'Raw Revenue'!N:N,0)</f>
        <v>0</v>
      </c>
      <c r="AC367" s="3">
        <v>0.0</v>
      </c>
      <c r="AD367" s="3">
        <v>0.0</v>
      </c>
      <c r="AE367" s="3">
        <v>0.0</v>
      </c>
      <c r="AF367" s="3">
        <v>0.0</v>
      </c>
      <c r="AG367" s="3">
        <v>0.0</v>
      </c>
    </row>
    <row r="368">
      <c r="A368" s="3" t="s">
        <v>210</v>
      </c>
      <c r="B368" s="3" t="s">
        <v>1016</v>
      </c>
      <c r="C368" s="3" t="str">
        <f t="shared" si="1"/>
        <v>PT. Global Niaga Abadi</v>
      </c>
      <c r="D368" s="3" t="s">
        <v>103</v>
      </c>
      <c r="E368" s="3" t="s">
        <v>85</v>
      </c>
      <c r="F368" s="3" t="s">
        <v>86</v>
      </c>
      <c r="G368" s="3" t="s">
        <v>35</v>
      </c>
      <c r="H368" s="3" t="str">
        <f t="array" ref="H368">XLOOKUP(G:G,'Account Manager Data'!A:A,'Account Manager Data'!B:B,0)</f>
        <v>Ahmad Fauzi</v>
      </c>
      <c r="I368" s="11" t="str">
        <f t="array" ref="I368">XLOOKUP($G:$G,'Account Manager Data'!$A:$A,'Account Manager Data'!C:C)</f>
        <v>Sumatera</v>
      </c>
      <c r="J368" s="17">
        <v>947962.0</v>
      </c>
      <c r="K368" s="17">
        <v>2256810.0</v>
      </c>
      <c r="L368" s="17">
        <v>2792821.0</v>
      </c>
      <c r="M368" s="17">
        <v>1.0280241E7</v>
      </c>
      <c r="N368" s="17">
        <v>1.1126862E7</v>
      </c>
      <c r="O368" s="17">
        <v>4894062.0</v>
      </c>
      <c r="P368" s="17">
        <v>5753817.0</v>
      </c>
      <c r="Q368" s="17">
        <v>1.2853749E7</v>
      </c>
      <c r="R368" s="17">
        <v>1.7004114E7</v>
      </c>
      <c r="S368" s="17">
        <v>2502670.0</v>
      </c>
      <c r="T368" s="17">
        <v>1.7190384E7</v>
      </c>
      <c r="U368" s="17">
        <v>1.1067551E7</v>
      </c>
      <c r="V368" s="11">
        <f t="array" ref="V368">XLOOKUP(A:A,'Raw Revenue'!A:A,'Raw Revenue'!B:B,0)
</f>
        <v>5141176.083</v>
      </c>
      <c r="W368" s="11">
        <f t="array" ref="W368">XLOOKUP(A:A,'Raw Revenue'!C:C,'Raw Revenue'!D:D,0)</f>
        <v>5141176.083</v>
      </c>
      <c r="X368" s="11">
        <f t="array" ref="X368">XLOOKUP(A:A,'Raw Revenue'!E:E,'Raw Revenue'!F:F,0)</f>
        <v>10282352.17</v>
      </c>
      <c r="Y368" s="11">
        <f t="array" ref="Y368">XLOOKUP(A:A,'Raw Revenue'!G:G,'Raw Revenue'!H:H,0)</f>
        <v>8397254.269</v>
      </c>
      <c r="Z368" s="11">
        <f t="array" ref="Z368">XLOOKUP(A:A,'Raw Revenue'!I:I,'Raw Revenue'!J:J,0)</f>
        <v>7540391.589</v>
      </c>
      <c r="AA368" s="11">
        <f t="array" ref="AA368">XLOOKUP(A:A,'Raw Revenue'!K:K,'Raw Revenue'!L:L,0)</f>
        <v>19279410.31</v>
      </c>
      <c r="AB368" s="11">
        <f t="array" ref="AB368">XLOOKUP(A:A,'Raw Revenue'!M:M,'Raw Revenue'!N:N,0)</f>
        <v>17737057.49</v>
      </c>
      <c r="AC368" s="3">
        <v>0.0</v>
      </c>
      <c r="AD368" s="3">
        <v>0.0</v>
      </c>
      <c r="AE368" s="3">
        <v>0.0</v>
      </c>
      <c r="AF368" s="3">
        <v>0.0</v>
      </c>
      <c r="AG368" s="3">
        <v>0.0</v>
      </c>
    </row>
    <row r="369">
      <c r="A369" s="3" t="s">
        <v>1017</v>
      </c>
      <c r="B369" s="3" t="s">
        <v>1018</v>
      </c>
      <c r="C369" s="3" t="str">
        <f t="shared" si="1"/>
        <v>PT. Indo Makmur Sentosa</v>
      </c>
      <c r="D369" s="3" t="s">
        <v>84</v>
      </c>
      <c r="E369" s="3" t="s">
        <v>104</v>
      </c>
      <c r="F369" s="3" t="s">
        <v>105</v>
      </c>
      <c r="G369" s="3" t="s">
        <v>74</v>
      </c>
      <c r="H369" s="3" t="str">
        <f t="array" ref="H369">XLOOKUP(G:G,'Account Manager Data'!A:A,'Account Manager Data'!B:B,0)</f>
        <v>Budi Santoso</v>
      </c>
      <c r="I369" s="11" t="str">
        <f t="array" ref="I369">XLOOKUP($G:$G,'Account Manager Data'!$A:$A,'Account Manager Data'!C:C)</f>
        <v>Papua</v>
      </c>
      <c r="J369" s="17">
        <v>7782692.0</v>
      </c>
      <c r="K369" s="17">
        <v>8803251.0</v>
      </c>
      <c r="L369" s="17">
        <v>806064.0</v>
      </c>
      <c r="M369" s="17">
        <v>8453886.0</v>
      </c>
      <c r="N369" s="17">
        <v>4293059.0</v>
      </c>
      <c r="O369" s="17">
        <v>1.1175303E7</v>
      </c>
      <c r="P369" s="17">
        <v>1.1079549E7</v>
      </c>
      <c r="Q369" s="17">
        <v>4649144.0</v>
      </c>
      <c r="R369" s="17">
        <v>1.0986639E7</v>
      </c>
      <c r="S369" s="17">
        <v>5198329.0</v>
      </c>
      <c r="T369" s="17">
        <v>8628457.0</v>
      </c>
      <c r="U369" s="17">
        <v>1.0444862E7</v>
      </c>
      <c r="V369" s="11">
        <f t="array" ref="V369">XLOOKUP(A:A,'Raw Revenue'!A:A,'Raw Revenue'!B:B,0)
</f>
        <v>0</v>
      </c>
      <c r="W369" s="11">
        <f t="array" ref="W369">XLOOKUP(A:A,'Raw Revenue'!C:C,'Raw Revenue'!D:D,0)</f>
        <v>0</v>
      </c>
      <c r="X369" s="11">
        <f t="array" ref="X369">XLOOKUP(A:A,'Raw Revenue'!E:E,'Raw Revenue'!F:F,0)</f>
        <v>0</v>
      </c>
      <c r="Y369" s="11">
        <f t="array" ref="Y369">XLOOKUP(A:A,'Raw Revenue'!G:G,'Raw Revenue'!H:H,0)</f>
        <v>0</v>
      </c>
      <c r="Z369" s="11">
        <f t="array" ref="Z369">XLOOKUP(A:A,'Raw Revenue'!I:I,'Raw Revenue'!J:J,0)</f>
        <v>0</v>
      </c>
      <c r="AA369" s="11">
        <f t="array" ref="AA369">XLOOKUP(A:A,'Raw Revenue'!K:K,'Raw Revenue'!L:L,0)</f>
        <v>0</v>
      </c>
      <c r="AB369" s="11">
        <f t="array" ref="AB369">XLOOKUP(A:A,'Raw Revenue'!M:M,'Raw Revenue'!N:N,0)</f>
        <v>0</v>
      </c>
      <c r="AC369" s="3">
        <v>0.0</v>
      </c>
      <c r="AD369" s="3">
        <v>0.0</v>
      </c>
      <c r="AE369" s="3">
        <v>0.0</v>
      </c>
      <c r="AF369" s="3">
        <v>0.0</v>
      </c>
      <c r="AG369" s="3">
        <v>0.0</v>
      </c>
    </row>
    <row r="370">
      <c r="A370" s="3" t="s">
        <v>1019</v>
      </c>
      <c r="B370" s="3" t="s">
        <v>1020</v>
      </c>
      <c r="C370" s="3" t="str">
        <f t="shared" si="1"/>
        <v>PT. Citra Mandiri Utama</v>
      </c>
      <c r="D370" s="3" t="s">
        <v>186</v>
      </c>
      <c r="E370" s="3" t="s">
        <v>104</v>
      </c>
      <c r="F370" s="3" t="s">
        <v>252</v>
      </c>
      <c r="G370" s="3" t="s">
        <v>43</v>
      </c>
      <c r="H370" s="3" t="str">
        <f t="array" ref="H370">XLOOKUP(G:G,'Account Manager Data'!A:A,'Account Manager Data'!B:B,0)</f>
        <v>Eko Prasetyo</v>
      </c>
      <c r="I370" s="11" t="str">
        <f t="array" ref="I370">XLOOKUP($G:$G,'Account Manager Data'!$A:$A,'Account Manager Data'!C:C)</f>
        <v>Papua</v>
      </c>
      <c r="J370" s="17">
        <v>571743.0</v>
      </c>
      <c r="K370" s="17">
        <v>4288715.0</v>
      </c>
      <c r="L370" s="17">
        <v>2998377.0</v>
      </c>
      <c r="M370" s="17">
        <v>3917925.0</v>
      </c>
      <c r="N370" s="17">
        <v>0.0</v>
      </c>
      <c r="O370" s="17">
        <v>1.1754325E7</v>
      </c>
      <c r="P370" s="17">
        <v>2553099.0</v>
      </c>
      <c r="Q370" s="17">
        <v>9535984.0</v>
      </c>
      <c r="R370" s="17">
        <v>2081327.0</v>
      </c>
      <c r="S370" s="17">
        <v>6296598.0</v>
      </c>
      <c r="T370" s="17">
        <v>1.1738158E7</v>
      </c>
      <c r="U370" s="17">
        <v>6769443.0</v>
      </c>
      <c r="V370" s="11">
        <f t="array" ref="V370">XLOOKUP(A:A,'Raw Revenue'!A:A,'Raw Revenue'!B:B,0)
</f>
        <v>0</v>
      </c>
      <c r="W370" s="11">
        <f t="array" ref="W370">XLOOKUP(A:A,'Raw Revenue'!C:C,'Raw Revenue'!D:D,0)</f>
        <v>0</v>
      </c>
      <c r="X370" s="11">
        <f t="array" ref="X370">XLOOKUP(A:A,'Raw Revenue'!E:E,'Raw Revenue'!F:F,0)</f>
        <v>0</v>
      </c>
      <c r="Y370" s="11">
        <f t="array" ref="Y370">XLOOKUP(A:A,'Raw Revenue'!G:G,'Raw Revenue'!H:H,0)</f>
        <v>0</v>
      </c>
      <c r="Z370" s="11">
        <f t="array" ref="Z370">XLOOKUP(A:A,'Raw Revenue'!I:I,'Raw Revenue'!J:J,0)</f>
        <v>0</v>
      </c>
      <c r="AA370" s="11">
        <f t="array" ref="AA370">XLOOKUP(A:A,'Raw Revenue'!K:K,'Raw Revenue'!L:L,0)</f>
        <v>0</v>
      </c>
      <c r="AB370" s="11">
        <f t="array" ref="AB370">XLOOKUP(A:A,'Raw Revenue'!M:M,'Raw Revenue'!N:N,0)</f>
        <v>0</v>
      </c>
      <c r="AC370" s="3">
        <v>0.0</v>
      </c>
      <c r="AD370" s="3">
        <v>0.0</v>
      </c>
      <c r="AE370" s="3">
        <v>0.0</v>
      </c>
      <c r="AF370" s="3">
        <v>0.0</v>
      </c>
      <c r="AG370" s="3">
        <v>0.0</v>
      </c>
    </row>
    <row r="371">
      <c r="A371" s="3" t="s">
        <v>1021</v>
      </c>
      <c r="B371" s="3" t="s">
        <v>1022</v>
      </c>
      <c r="C371" s="3" t="str">
        <f t="shared" si="1"/>
        <v>PT. Sinar Dunia Baru</v>
      </c>
      <c r="D371" s="3" t="s">
        <v>186</v>
      </c>
      <c r="E371" s="3" t="s">
        <v>215</v>
      </c>
      <c r="F371" s="3" t="s">
        <v>300</v>
      </c>
      <c r="G371" s="3" t="s">
        <v>76</v>
      </c>
      <c r="H371" s="3" t="str">
        <f t="array" ref="H371">XLOOKUP(G:G,'Account Manager Data'!A:A,'Account Manager Data'!B:B,0)</f>
        <v>Teguh Wijaya</v>
      </c>
      <c r="I371" s="11" t="str">
        <f t="array" ref="I371">XLOOKUP($G:$G,'Account Manager Data'!$A:$A,'Account Manager Data'!C:C)</f>
        <v>Sulawesi</v>
      </c>
      <c r="J371" s="17">
        <v>5705856.0</v>
      </c>
      <c r="K371" s="17">
        <v>5278028.0</v>
      </c>
      <c r="L371" s="17">
        <v>637715.0</v>
      </c>
      <c r="M371" s="17">
        <v>9881519.0</v>
      </c>
      <c r="N371" s="17">
        <v>3442932.0</v>
      </c>
      <c r="O371" s="17">
        <v>8567646.0</v>
      </c>
      <c r="P371" s="17">
        <v>1.0565636E7</v>
      </c>
      <c r="Q371" s="17">
        <v>1.1760324E7</v>
      </c>
      <c r="R371" s="17">
        <v>9041898.0</v>
      </c>
      <c r="S371" s="17">
        <v>1.5370713E7</v>
      </c>
      <c r="T371" s="17">
        <v>1.3039889E7</v>
      </c>
      <c r="U371" s="17">
        <v>1.2772546E7</v>
      </c>
      <c r="V371" s="11">
        <f t="array" ref="V371">XLOOKUP(A:A,'Raw Revenue'!A:A,'Raw Revenue'!B:B,0)
</f>
        <v>0</v>
      </c>
      <c r="W371" s="11">
        <f t="array" ref="W371">XLOOKUP(A:A,'Raw Revenue'!C:C,'Raw Revenue'!D:D,0)</f>
        <v>0</v>
      </c>
      <c r="X371" s="11">
        <f t="array" ref="X371">XLOOKUP(A:A,'Raw Revenue'!E:E,'Raw Revenue'!F:F,0)</f>
        <v>0</v>
      </c>
      <c r="Y371" s="11">
        <f t="array" ref="Y371">XLOOKUP(A:A,'Raw Revenue'!G:G,'Raw Revenue'!H:H,0)</f>
        <v>0</v>
      </c>
      <c r="Z371" s="11">
        <f t="array" ref="Z371">XLOOKUP(A:A,'Raw Revenue'!I:I,'Raw Revenue'!J:J,0)</f>
        <v>0</v>
      </c>
      <c r="AA371" s="11">
        <f t="array" ref="AA371">XLOOKUP(A:A,'Raw Revenue'!K:K,'Raw Revenue'!L:L,0)</f>
        <v>0</v>
      </c>
      <c r="AB371" s="11">
        <f t="array" ref="AB371">XLOOKUP(A:A,'Raw Revenue'!M:M,'Raw Revenue'!N:N,0)</f>
        <v>0</v>
      </c>
      <c r="AC371" s="3">
        <v>0.0</v>
      </c>
      <c r="AD371" s="3">
        <v>0.0</v>
      </c>
      <c r="AE371" s="3">
        <v>0.0</v>
      </c>
      <c r="AF371" s="3">
        <v>0.0</v>
      </c>
      <c r="AG371" s="3">
        <v>0.0</v>
      </c>
    </row>
    <row r="372">
      <c r="A372" s="3" t="s">
        <v>1023</v>
      </c>
      <c r="B372" s="3" t="s">
        <v>1024</v>
      </c>
      <c r="C372" s="3" t="str">
        <f t="shared" si="1"/>
        <v>CV. Karya Utama Mandiri</v>
      </c>
      <c r="D372" s="3" t="s">
        <v>84</v>
      </c>
      <c r="E372" s="3" t="s">
        <v>104</v>
      </c>
      <c r="F372" s="3" t="s">
        <v>252</v>
      </c>
      <c r="G372" s="3" t="s">
        <v>70</v>
      </c>
      <c r="H372" s="3" t="str">
        <f t="array" ref="H372">XLOOKUP(G:G,'Account Manager Data'!A:A,'Account Manager Data'!B:B,0)</f>
        <v>Yusuf Hidayat</v>
      </c>
      <c r="I372" s="11" t="str">
        <f t="array" ref="I372">XLOOKUP($G:$G,'Account Manager Data'!$A:$A,'Account Manager Data'!C:C)</f>
        <v>Sumatera</v>
      </c>
      <c r="J372" s="17">
        <v>1513688.0</v>
      </c>
      <c r="K372" s="17">
        <v>3965834.0</v>
      </c>
      <c r="L372" s="17">
        <v>9433957.0</v>
      </c>
      <c r="M372" s="17">
        <v>1864344.0</v>
      </c>
      <c r="N372" s="17">
        <v>4388799.0</v>
      </c>
      <c r="O372" s="17">
        <v>9432695.0</v>
      </c>
      <c r="P372" s="17">
        <v>729207.0</v>
      </c>
      <c r="Q372" s="17">
        <v>1.4610332E7</v>
      </c>
      <c r="R372" s="17">
        <v>4186939.0</v>
      </c>
      <c r="S372" s="17">
        <v>1774820.0</v>
      </c>
      <c r="T372" s="17">
        <v>1.7366359E7</v>
      </c>
      <c r="U372" s="17">
        <v>1.123691E7</v>
      </c>
      <c r="V372" s="11">
        <f t="array" ref="V372">XLOOKUP(A:A,'Raw Revenue'!A:A,'Raw Revenue'!B:B,0)
</f>
        <v>0</v>
      </c>
      <c r="W372" s="11">
        <f t="array" ref="W372">XLOOKUP(A:A,'Raw Revenue'!C:C,'Raw Revenue'!D:D,0)</f>
        <v>0</v>
      </c>
      <c r="X372" s="11">
        <f t="array" ref="X372">XLOOKUP(A:A,'Raw Revenue'!E:E,'Raw Revenue'!F:F,0)</f>
        <v>0</v>
      </c>
      <c r="Y372" s="11">
        <f t="array" ref="Y372">XLOOKUP(A:A,'Raw Revenue'!G:G,'Raw Revenue'!H:H,0)</f>
        <v>0</v>
      </c>
      <c r="Z372" s="11">
        <f t="array" ref="Z372">XLOOKUP(A:A,'Raw Revenue'!I:I,'Raw Revenue'!J:J,0)</f>
        <v>0</v>
      </c>
      <c r="AA372" s="11">
        <f t="array" ref="AA372">XLOOKUP(A:A,'Raw Revenue'!K:K,'Raw Revenue'!L:L,0)</f>
        <v>0</v>
      </c>
      <c r="AB372" s="11">
        <f t="array" ref="AB372">XLOOKUP(A:A,'Raw Revenue'!M:M,'Raw Revenue'!N:N,0)</f>
        <v>0</v>
      </c>
      <c r="AC372" s="3">
        <v>0.0</v>
      </c>
      <c r="AD372" s="3">
        <v>0.0</v>
      </c>
      <c r="AE372" s="3">
        <v>0.0</v>
      </c>
      <c r="AF372" s="3">
        <v>0.0</v>
      </c>
      <c r="AG372" s="3">
        <v>0.0</v>
      </c>
    </row>
    <row r="373">
      <c r="A373" s="3" t="s">
        <v>101</v>
      </c>
      <c r="B373" s="3" t="s">
        <v>1025</v>
      </c>
      <c r="C373" s="3" t="str">
        <f t="shared" si="1"/>
        <v>PT. Pratama Jaya Sentosa</v>
      </c>
      <c r="D373" s="3" t="s">
        <v>103</v>
      </c>
      <c r="E373" s="3" t="s">
        <v>104</v>
      </c>
      <c r="F373" s="3" t="s">
        <v>105</v>
      </c>
      <c r="G373" s="3" t="s">
        <v>15</v>
      </c>
      <c r="H373" s="3" t="str">
        <f t="array" ref="H373">XLOOKUP(G:G,'Account Manager Data'!A:A,'Account Manager Data'!B:B,0)</f>
        <v>Rizky Maulana</v>
      </c>
      <c r="I373" s="11" t="str">
        <f t="array" ref="I373">XLOOKUP($G:$G,'Account Manager Data'!$A:$A,'Account Manager Data'!C:C)</f>
        <v>Jawa</v>
      </c>
      <c r="J373" s="17">
        <v>4321140.0</v>
      </c>
      <c r="K373" s="83">
        <v>9411765.0</v>
      </c>
      <c r="L373" s="84">
        <v>4048193.0</v>
      </c>
      <c r="M373" s="84">
        <v>1714286.0</v>
      </c>
      <c r="N373" s="84">
        <v>7690141.0</v>
      </c>
      <c r="O373" s="17">
        <v>1.3499019E7</v>
      </c>
      <c r="P373" s="84">
        <v>4310345.0</v>
      </c>
      <c r="Q373" s="84">
        <v>7.6470588E7</v>
      </c>
      <c r="R373" s="17">
        <v>1.0364225E7</v>
      </c>
      <c r="S373" s="17">
        <v>1.571687E7</v>
      </c>
      <c r="T373" s="17">
        <v>1.4953323E7</v>
      </c>
      <c r="U373" s="17">
        <v>5259243.0</v>
      </c>
      <c r="V373" s="85">
        <f t="array" ref="V373">XLOOKUP(A:A,'Raw Revenue'!A:A,'Raw Revenue'!B:B,0)
</f>
        <v>7000000</v>
      </c>
      <c r="W373" s="22">
        <f t="array" ref="W373">XLOOKUP(A:A,'Raw Revenue'!C:C,'Raw Revenue'!D:D,0)</f>
        <v>9411765</v>
      </c>
      <c r="X373" s="22">
        <f t="array" ref="X373">XLOOKUP(A:A,'Raw Revenue'!E:E,'Raw Revenue'!F:F,0)</f>
        <v>4048193</v>
      </c>
      <c r="Y373" s="22">
        <f t="array" ref="Y373">XLOOKUP(A:A,'Raw Revenue'!G:G,'Raw Revenue'!H:H,0)</f>
        <v>1714286</v>
      </c>
      <c r="Z373" s="22">
        <f t="array" ref="Z373">XLOOKUP(A:A,'Raw Revenue'!I:I,'Raw Revenue'!J:J,0)</f>
        <v>7690141</v>
      </c>
      <c r="AA373" s="22">
        <f t="array" ref="AA373">XLOOKUP(A:A,'Raw Revenue'!K:K,'Raw Revenue'!L:L,0)</f>
        <v>13499019</v>
      </c>
      <c r="AB373" s="22">
        <f t="array" ref="AB373">XLOOKUP(A:A,'Raw Revenue'!M:M,'Raw Revenue'!N:N,0)</f>
        <v>4310345</v>
      </c>
      <c r="AC373" s="3">
        <v>0.0</v>
      </c>
      <c r="AD373" s="3">
        <v>0.0</v>
      </c>
      <c r="AE373" s="3">
        <v>0.0</v>
      </c>
      <c r="AF373" s="3">
        <v>0.0</v>
      </c>
      <c r="AG373" s="3">
        <v>0.0</v>
      </c>
    </row>
    <row r="374">
      <c r="A374" s="3" t="s">
        <v>1026</v>
      </c>
      <c r="B374" s="3" t="s">
        <v>1027</v>
      </c>
      <c r="C374" s="3" t="str">
        <f t="shared" si="1"/>
        <v>PT. Abadi Selamanya Jaya</v>
      </c>
      <c r="D374" s="3" t="s">
        <v>214</v>
      </c>
      <c r="E374" s="3" t="s">
        <v>104</v>
      </c>
      <c r="F374" s="3" t="s">
        <v>134</v>
      </c>
      <c r="G374" s="3" t="s">
        <v>53</v>
      </c>
      <c r="H374" s="3" t="str">
        <f t="array" ref="H374">XLOOKUP(G:G,'Account Manager Data'!A:A,'Account Manager Data'!B:B,0)</f>
        <v>Fajar Ramadhan</v>
      </c>
      <c r="I374" s="11" t="str">
        <f t="array" ref="I374">XLOOKUP($G:$G,'Account Manager Data'!$A:$A,'Account Manager Data'!C:C)</f>
        <v>Sulawesi</v>
      </c>
      <c r="J374" s="17">
        <v>4574462.0</v>
      </c>
      <c r="K374" s="17">
        <v>4752241.0</v>
      </c>
      <c r="L374" s="17">
        <v>2239340.0</v>
      </c>
      <c r="M374" s="17">
        <v>2294242.0</v>
      </c>
      <c r="N374" s="17">
        <v>0.0</v>
      </c>
      <c r="O374" s="17">
        <v>1.0234761E7</v>
      </c>
      <c r="P374" s="17">
        <v>3314872.0</v>
      </c>
      <c r="Q374" s="17">
        <v>9838483.0</v>
      </c>
      <c r="R374" s="17">
        <v>1.1585617E7</v>
      </c>
      <c r="S374" s="17">
        <v>9264022.0</v>
      </c>
      <c r="T374" s="17">
        <v>1.7554145E7</v>
      </c>
      <c r="U374" s="17">
        <v>1.6392228E7</v>
      </c>
      <c r="V374" s="11">
        <f t="array" ref="V374">XLOOKUP(A:A,'Raw Revenue'!A:A,'Raw Revenue'!B:B,0)
</f>
        <v>0</v>
      </c>
      <c r="W374" s="11">
        <f t="array" ref="W374">XLOOKUP(A:A,'Raw Revenue'!C:C,'Raw Revenue'!D:D,0)</f>
        <v>0</v>
      </c>
      <c r="X374" s="11">
        <f t="array" ref="X374">XLOOKUP(A:A,'Raw Revenue'!E:E,'Raw Revenue'!F:F,0)</f>
        <v>0</v>
      </c>
      <c r="Y374" s="11">
        <f t="array" ref="Y374">XLOOKUP(A:A,'Raw Revenue'!G:G,'Raw Revenue'!H:H,0)</f>
        <v>0</v>
      </c>
      <c r="Z374" s="11">
        <f t="array" ref="Z374">XLOOKUP(A:A,'Raw Revenue'!I:I,'Raw Revenue'!J:J,0)</f>
        <v>0</v>
      </c>
      <c r="AA374" s="11">
        <f t="array" ref="AA374">XLOOKUP(A:A,'Raw Revenue'!K:K,'Raw Revenue'!L:L,0)</f>
        <v>0</v>
      </c>
      <c r="AB374" s="11">
        <f t="array" ref="AB374">XLOOKUP(A:A,'Raw Revenue'!M:M,'Raw Revenue'!N:N,0)</f>
        <v>0</v>
      </c>
      <c r="AC374" s="3">
        <v>0.0</v>
      </c>
      <c r="AD374" s="3">
        <v>0.0</v>
      </c>
      <c r="AE374" s="3">
        <v>0.0</v>
      </c>
      <c r="AF374" s="3">
        <v>0.0</v>
      </c>
      <c r="AG374" s="3">
        <v>0.0</v>
      </c>
    </row>
    <row r="375">
      <c r="A375" s="3" t="s">
        <v>1028</v>
      </c>
      <c r="B375" s="3" t="s">
        <v>1029</v>
      </c>
      <c r="C375" s="3" t="str">
        <f t="shared" si="1"/>
        <v>PT. Mandiri Sejahtera Bersama</v>
      </c>
      <c r="D375" s="3" t="s">
        <v>195</v>
      </c>
      <c r="E375" s="3" t="s">
        <v>104</v>
      </c>
      <c r="F375" s="3" t="s">
        <v>105</v>
      </c>
      <c r="G375" s="3" t="s">
        <v>27</v>
      </c>
      <c r="H375" s="3" t="str">
        <f t="array" ref="H375">XLOOKUP(G:G,'Account Manager Data'!A:A,'Account Manager Data'!B:B,0)</f>
        <v>Dedi Kurniawan</v>
      </c>
      <c r="I375" s="11" t="str">
        <f t="array" ref="I375">XLOOKUP($G:$G,'Account Manager Data'!$A:$A,'Account Manager Data'!C:C)</f>
        <v>Kalimantan</v>
      </c>
      <c r="J375" s="17">
        <v>5205805.0</v>
      </c>
      <c r="K375" s="17">
        <v>1140179.0</v>
      </c>
      <c r="L375" s="17">
        <v>1864327.0</v>
      </c>
      <c r="M375" s="17">
        <v>7475670.0</v>
      </c>
      <c r="N375" s="17">
        <v>8074837.0</v>
      </c>
      <c r="O375" s="17">
        <v>1684555.0</v>
      </c>
      <c r="P375" s="17">
        <v>5797038.0</v>
      </c>
      <c r="Q375" s="17">
        <v>6957787.0</v>
      </c>
      <c r="R375" s="17">
        <v>1.057913E7</v>
      </c>
      <c r="S375" s="17">
        <v>1.3946562E7</v>
      </c>
      <c r="T375" s="17">
        <v>1.0485936E7</v>
      </c>
      <c r="U375" s="17">
        <v>1.0788387E7</v>
      </c>
      <c r="V375" s="11">
        <f t="array" ref="V375">XLOOKUP(A:A,'Raw Revenue'!A:A,'Raw Revenue'!B:B,0)
</f>
        <v>0</v>
      </c>
      <c r="W375" s="11">
        <f t="array" ref="W375">XLOOKUP(A:A,'Raw Revenue'!C:C,'Raw Revenue'!D:D,0)</f>
        <v>0</v>
      </c>
      <c r="X375" s="11">
        <f t="array" ref="X375">XLOOKUP(A:A,'Raw Revenue'!E:E,'Raw Revenue'!F:F,0)</f>
        <v>0</v>
      </c>
      <c r="Y375" s="11">
        <f t="array" ref="Y375">XLOOKUP(A:A,'Raw Revenue'!G:G,'Raw Revenue'!H:H,0)</f>
        <v>0</v>
      </c>
      <c r="Z375" s="11">
        <f t="array" ref="Z375">XLOOKUP(A:A,'Raw Revenue'!I:I,'Raw Revenue'!J:J,0)</f>
        <v>0</v>
      </c>
      <c r="AA375" s="11">
        <f t="array" ref="AA375">XLOOKUP(A:A,'Raw Revenue'!K:K,'Raw Revenue'!L:L,0)</f>
        <v>0</v>
      </c>
      <c r="AB375" s="11">
        <f t="array" ref="AB375">XLOOKUP(A:A,'Raw Revenue'!M:M,'Raw Revenue'!N:N,0)</f>
        <v>0</v>
      </c>
      <c r="AC375" s="3">
        <v>0.0</v>
      </c>
      <c r="AD375" s="3">
        <v>0.0</v>
      </c>
      <c r="AE375" s="3">
        <v>0.0</v>
      </c>
      <c r="AF375" s="3">
        <v>0.0</v>
      </c>
      <c r="AG375" s="3">
        <v>0.0</v>
      </c>
    </row>
    <row r="376">
      <c r="A376" s="3" t="s">
        <v>1030</v>
      </c>
      <c r="B376" s="3" t="s">
        <v>1031</v>
      </c>
      <c r="C376" s="3" t="str">
        <f t="shared" si="1"/>
        <v>PT. Sejahtera Alam Indonesia</v>
      </c>
      <c r="D376" s="3" t="s">
        <v>186</v>
      </c>
      <c r="E376" s="3" t="s">
        <v>104</v>
      </c>
      <c r="F376" s="3" t="s">
        <v>134</v>
      </c>
      <c r="G376" s="3" t="s">
        <v>78</v>
      </c>
      <c r="H376" s="3" t="str">
        <f t="array" ref="H376">XLOOKUP(G:G,'Account Manager Data'!A:A,'Account Manager Data'!B:B,0)</f>
        <v>Ilham Saputra</v>
      </c>
      <c r="I376" s="11" t="str">
        <f t="array" ref="I376">XLOOKUP($G:$G,'Account Manager Data'!$A:$A,'Account Manager Data'!C:C)</f>
        <v>Jawa</v>
      </c>
      <c r="J376" s="17">
        <v>6184340.0</v>
      </c>
      <c r="K376" s="17">
        <v>4392856.0</v>
      </c>
      <c r="L376" s="17">
        <v>2014515.0</v>
      </c>
      <c r="M376" s="17">
        <v>4148371.0</v>
      </c>
      <c r="N376" s="17">
        <v>3843800.0</v>
      </c>
      <c r="O376" s="17">
        <v>9043503.0</v>
      </c>
      <c r="P376" s="17">
        <v>9835947.0</v>
      </c>
      <c r="Q376" s="17">
        <v>9668445.0</v>
      </c>
      <c r="R376" s="17">
        <v>1890361.0</v>
      </c>
      <c r="S376" s="17">
        <v>3648379.0</v>
      </c>
      <c r="T376" s="17">
        <v>1.2831063E7</v>
      </c>
      <c r="U376" s="17">
        <v>5579753.0</v>
      </c>
      <c r="V376" s="11">
        <f t="array" ref="V376">XLOOKUP(A:A,'Raw Revenue'!A:A,'Raw Revenue'!B:B,0)
</f>
        <v>0</v>
      </c>
      <c r="W376" s="11">
        <f t="array" ref="W376">XLOOKUP(A:A,'Raw Revenue'!C:C,'Raw Revenue'!D:D,0)</f>
        <v>0</v>
      </c>
      <c r="X376" s="11">
        <f t="array" ref="X376">XLOOKUP(A:A,'Raw Revenue'!E:E,'Raw Revenue'!F:F,0)</f>
        <v>0</v>
      </c>
      <c r="Y376" s="11">
        <f t="array" ref="Y376">XLOOKUP(A:A,'Raw Revenue'!G:G,'Raw Revenue'!H:H,0)</f>
        <v>0</v>
      </c>
      <c r="Z376" s="11">
        <f t="array" ref="Z376">XLOOKUP(A:A,'Raw Revenue'!I:I,'Raw Revenue'!J:J,0)</f>
        <v>0</v>
      </c>
      <c r="AA376" s="11">
        <f t="array" ref="AA376">XLOOKUP(A:A,'Raw Revenue'!K:K,'Raw Revenue'!L:L,0)</f>
        <v>0</v>
      </c>
      <c r="AB376" s="11">
        <f t="array" ref="AB376">XLOOKUP(A:A,'Raw Revenue'!M:M,'Raw Revenue'!N:N,0)</f>
        <v>0</v>
      </c>
      <c r="AC376" s="3">
        <v>0.0</v>
      </c>
      <c r="AD376" s="3">
        <v>0.0</v>
      </c>
      <c r="AE376" s="3">
        <v>0.0</v>
      </c>
      <c r="AF376" s="3">
        <v>0.0</v>
      </c>
      <c r="AG376" s="3">
        <v>0.0</v>
      </c>
    </row>
    <row r="377">
      <c r="A377" s="3" t="s">
        <v>451</v>
      </c>
      <c r="B377" s="3" t="s">
        <v>1032</v>
      </c>
      <c r="C377" s="3" t="str">
        <f t="shared" si="1"/>
        <v>PT. Indah Kargo Logistik</v>
      </c>
      <c r="D377" s="3" t="s">
        <v>103</v>
      </c>
      <c r="E377" s="3" t="s">
        <v>85</v>
      </c>
      <c r="F377" s="3" t="s">
        <v>248</v>
      </c>
      <c r="G377" s="3" t="s">
        <v>63</v>
      </c>
      <c r="H377" s="3" t="str">
        <f t="array" ref="H377">XLOOKUP(G:G,'Account Manager Data'!A:A,'Account Manager Data'!B:B,0)</f>
        <v>Hendra Gunawan</v>
      </c>
      <c r="I377" s="11" t="str">
        <f t="array" ref="I377">XLOOKUP($G:$G,'Account Manager Data'!$A:$A,'Account Manager Data'!C:C)</f>
        <v>Kalimantan</v>
      </c>
      <c r="J377" s="17">
        <v>2352423.0</v>
      </c>
      <c r="K377" s="17">
        <v>8628870.0</v>
      </c>
      <c r="L377" s="17">
        <v>9030028.0</v>
      </c>
      <c r="M377" s="17">
        <v>642132.0</v>
      </c>
      <c r="N377" s="17">
        <v>1.172293E7</v>
      </c>
      <c r="O377" s="17">
        <v>1.1104598E7</v>
      </c>
      <c r="P377" s="17">
        <v>1.1679057E7</v>
      </c>
      <c r="Q377" s="17">
        <v>1.2880576E7</v>
      </c>
      <c r="R377" s="17">
        <v>1.5772744E7</v>
      </c>
      <c r="S377" s="17">
        <v>0.0</v>
      </c>
      <c r="T377" s="17">
        <v>1.1185175E7</v>
      </c>
      <c r="U377" s="17">
        <v>1.7328858E7</v>
      </c>
      <c r="V377" s="11">
        <f t="array" ref="V377">XLOOKUP(A:A,'Raw Revenue'!A:A,'Raw Revenue'!B:B,0)
</f>
        <v>3978291.017</v>
      </c>
      <c r="W377" s="11">
        <f t="array" ref="W377">XLOOKUP(A:A,'Raw Revenue'!C:C,'Raw Revenue'!D:D,0)</f>
        <v>3978291.017</v>
      </c>
      <c r="X377" s="11">
        <f t="array" ref="X377">XLOOKUP(A:A,'Raw Revenue'!E:E,'Raw Revenue'!F:F,0)</f>
        <v>7956582.034</v>
      </c>
      <c r="Y377" s="11">
        <f t="array" ref="Y377">XLOOKUP(A:A,'Raw Revenue'!G:G,'Raw Revenue'!H:H,0)</f>
        <v>6497875.327</v>
      </c>
      <c r="Z377" s="11">
        <f t="array" ref="Z377">XLOOKUP(A:A,'Raw Revenue'!I:I,'Raw Revenue'!J:J,0)</f>
        <v>5834826.825</v>
      </c>
      <c r="AA377" s="11">
        <f t="array" ref="AA377">XLOOKUP(A:A,'Raw Revenue'!K:K,'Raw Revenue'!L:L,0)</f>
        <v>14918591.31</v>
      </c>
      <c r="AB377" s="11">
        <f t="array" ref="AB377">XLOOKUP(A:A,'Raw Revenue'!M:M,'Raw Revenue'!N:N,0)</f>
        <v>13725104.01</v>
      </c>
      <c r="AC377" s="3">
        <v>0.0</v>
      </c>
      <c r="AD377" s="3">
        <v>0.0</v>
      </c>
      <c r="AE377" s="3">
        <v>0.0</v>
      </c>
      <c r="AF377" s="3">
        <v>0.0</v>
      </c>
      <c r="AG377" s="3">
        <v>0.0</v>
      </c>
    </row>
    <row r="378">
      <c r="A378" s="3" t="s">
        <v>1033</v>
      </c>
      <c r="B378" s="3" t="s">
        <v>1034</v>
      </c>
      <c r="C378" s="3" t="str">
        <f t="shared" si="1"/>
        <v>PT. Berkah Alam Semesta</v>
      </c>
      <c r="D378" s="3" t="s">
        <v>84</v>
      </c>
      <c r="E378" s="3" t="s">
        <v>85</v>
      </c>
      <c r="F378" s="3" t="s">
        <v>407</v>
      </c>
      <c r="G378" s="3" t="s">
        <v>35</v>
      </c>
      <c r="H378" s="3" t="str">
        <f t="array" ref="H378">XLOOKUP(G:G,'Account Manager Data'!A:A,'Account Manager Data'!B:B,0)</f>
        <v>Ahmad Fauzi</v>
      </c>
      <c r="I378" s="11" t="str">
        <f t="array" ref="I378">XLOOKUP($G:$G,'Account Manager Data'!$A:$A,'Account Manager Data'!C:C)</f>
        <v>Sumatera</v>
      </c>
      <c r="J378" s="17">
        <v>6604454.0</v>
      </c>
      <c r="K378" s="17">
        <v>3257004.0</v>
      </c>
      <c r="L378" s="17">
        <v>400125.0</v>
      </c>
      <c r="M378" s="17">
        <v>5621520.0</v>
      </c>
      <c r="N378" s="17">
        <v>4203090.0</v>
      </c>
      <c r="O378" s="17">
        <v>1.4856821E7</v>
      </c>
      <c r="P378" s="17">
        <v>1.5526435E7</v>
      </c>
      <c r="Q378" s="17">
        <v>6426030.0</v>
      </c>
      <c r="R378" s="17">
        <v>1424516.0</v>
      </c>
      <c r="S378" s="17">
        <v>8217215.0</v>
      </c>
      <c r="T378" s="17">
        <v>432635.0</v>
      </c>
      <c r="U378" s="17">
        <v>9799676.0</v>
      </c>
      <c r="V378" s="11">
        <f t="array" ref="V378">XLOOKUP(A:A,'Raw Revenue'!A:A,'Raw Revenue'!B:B,0)
</f>
        <v>0</v>
      </c>
      <c r="W378" s="11">
        <f t="array" ref="W378">XLOOKUP(A:A,'Raw Revenue'!C:C,'Raw Revenue'!D:D,0)</f>
        <v>0</v>
      </c>
      <c r="X378" s="11">
        <f t="array" ref="X378">XLOOKUP(A:A,'Raw Revenue'!E:E,'Raw Revenue'!F:F,0)</f>
        <v>0</v>
      </c>
      <c r="Y378" s="11">
        <f t="array" ref="Y378">XLOOKUP(A:A,'Raw Revenue'!G:G,'Raw Revenue'!H:H,0)</f>
        <v>0</v>
      </c>
      <c r="Z378" s="11">
        <f t="array" ref="Z378">XLOOKUP(A:A,'Raw Revenue'!I:I,'Raw Revenue'!J:J,0)</f>
        <v>0</v>
      </c>
      <c r="AA378" s="11">
        <f t="array" ref="AA378">XLOOKUP(A:A,'Raw Revenue'!K:K,'Raw Revenue'!L:L,0)</f>
        <v>0</v>
      </c>
      <c r="AB378" s="11">
        <f t="array" ref="AB378">XLOOKUP(A:A,'Raw Revenue'!M:M,'Raw Revenue'!N:N,0)</f>
        <v>0</v>
      </c>
      <c r="AC378" s="3">
        <v>0.0</v>
      </c>
      <c r="AD378" s="3">
        <v>0.0</v>
      </c>
      <c r="AE378" s="3">
        <v>0.0</v>
      </c>
      <c r="AF378" s="3">
        <v>0.0</v>
      </c>
      <c r="AG378" s="3">
        <v>0.0</v>
      </c>
    </row>
    <row r="379">
      <c r="A379" s="3" t="s">
        <v>246</v>
      </c>
      <c r="B379" s="3" t="s">
        <v>1035</v>
      </c>
      <c r="C379" s="3" t="str">
        <f t="shared" si="1"/>
        <v>PT. Cahaya Baru Indonesia</v>
      </c>
      <c r="D379" s="3" t="s">
        <v>103</v>
      </c>
      <c r="E379" s="3" t="s">
        <v>196</v>
      </c>
      <c r="F379" s="3" t="s">
        <v>197</v>
      </c>
      <c r="G379" s="3" t="s">
        <v>43</v>
      </c>
      <c r="H379" s="3" t="str">
        <f t="array" ref="H379">XLOOKUP(G:G,'Account Manager Data'!A:A,'Account Manager Data'!B:B,0)</f>
        <v>Eko Prasetyo</v>
      </c>
      <c r="I379" s="11" t="str">
        <f t="array" ref="I379">XLOOKUP($G:$G,'Account Manager Data'!$A:$A,'Account Manager Data'!C:C)</f>
        <v>Papua</v>
      </c>
      <c r="J379" s="17">
        <v>1946965.0</v>
      </c>
      <c r="K379" s="17">
        <v>4022515.0</v>
      </c>
      <c r="L379" s="17">
        <v>7921532.0</v>
      </c>
      <c r="M379" s="17">
        <v>9982404.0</v>
      </c>
      <c r="N379" s="17">
        <v>7187716.0</v>
      </c>
      <c r="O379" s="17">
        <v>1.2055824E7</v>
      </c>
      <c r="P379" s="17">
        <v>6676747.0</v>
      </c>
      <c r="Q379" s="17">
        <v>7971897.0</v>
      </c>
      <c r="R379" s="17">
        <v>6893389.0</v>
      </c>
      <c r="S379" s="17">
        <v>1159504.0</v>
      </c>
      <c r="T379" s="17">
        <v>1.7985601E7</v>
      </c>
      <c r="U379" s="17">
        <v>1.936338E7</v>
      </c>
      <c r="V379" s="11">
        <f t="array" ref="V379">XLOOKUP(A:A,'Raw Revenue'!A:A,'Raw Revenue'!B:B,0)
</f>
        <v>3433319.645</v>
      </c>
      <c r="W379" s="11">
        <f t="array" ref="W379">XLOOKUP(A:A,'Raw Revenue'!C:C,'Raw Revenue'!D:D,0)</f>
        <v>3433319.645</v>
      </c>
      <c r="X379" s="11">
        <f t="array" ref="X379">XLOOKUP(A:A,'Raw Revenue'!E:E,'Raw Revenue'!F:F,0)</f>
        <v>6866639.289</v>
      </c>
      <c r="Y379" s="11">
        <f t="array" ref="Y379">XLOOKUP(A:A,'Raw Revenue'!G:G,'Raw Revenue'!H:H,0)</f>
        <v>5607755.42</v>
      </c>
      <c r="Z379" s="11">
        <f t="array" ref="Z379">XLOOKUP(A:A,'Raw Revenue'!I:I,'Raw Revenue'!J:J,0)</f>
        <v>5035535.479</v>
      </c>
      <c r="AA379" s="11">
        <f t="array" ref="AA379">XLOOKUP(A:A,'Raw Revenue'!K:K,'Raw Revenue'!L:L,0)</f>
        <v>12874948.67</v>
      </c>
      <c r="AB379" s="11">
        <f t="array" ref="AB379">XLOOKUP(A:A,'Raw Revenue'!M:M,'Raw Revenue'!N:N,0)</f>
        <v>11844952.77</v>
      </c>
      <c r="AC379" s="3">
        <v>0.0</v>
      </c>
      <c r="AD379" s="3">
        <v>0.0</v>
      </c>
      <c r="AE379" s="3">
        <v>0.0</v>
      </c>
      <c r="AF379" s="3">
        <v>0.0</v>
      </c>
      <c r="AG379" s="3">
        <v>0.0</v>
      </c>
    </row>
    <row r="380">
      <c r="A380" s="3" t="s">
        <v>1036</v>
      </c>
      <c r="B380" s="3" t="s">
        <v>1037</v>
      </c>
      <c r="C380" s="3" t="str">
        <f t="shared" si="1"/>
        <v>PT. Mentari Pagi Sejahtera</v>
      </c>
      <c r="D380" s="3" t="s">
        <v>186</v>
      </c>
      <c r="E380" s="3" t="s">
        <v>187</v>
      </c>
      <c r="F380" s="3" t="s">
        <v>188</v>
      </c>
      <c r="G380" s="3" t="s">
        <v>74</v>
      </c>
      <c r="H380" s="3" t="str">
        <f t="array" ref="H380">XLOOKUP(G:G,'Account Manager Data'!A:A,'Account Manager Data'!B:B,0)</f>
        <v>Budi Santoso</v>
      </c>
      <c r="I380" s="11" t="str">
        <f t="array" ref="I380">XLOOKUP($G:$G,'Account Manager Data'!$A:$A,'Account Manager Data'!C:C)</f>
        <v>Papua</v>
      </c>
      <c r="J380" s="17">
        <v>2606161.0</v>
      </c>
      <c r="K380" s="17">
        <v>3653617.0</v>
      </c>
      <c r="L380" s="17">
        <v>8419611.0</v>
      </c>
      <c r="M380" s="17">
        <v>5157322.0</v>
      </c>
      <c r="N380" s="17">
        <v>5390863.0</v>
      </c>
      <c r="O380" s="17">
        <v>1.0353691E7</v>
      </c>
      <c r="P380" s="17">
        <v>9334224.0</v>
      </c>
      <c r="Q380" s="17">
        <v>1.1515173E7</v>
      </c>
      <c r="R380" s="17">
        <v>775264.0</v>
      </c>
      <c r="S380" s="17">
        <v>3260894.0</v>
      </c>
      <c r="T380" s="17">
        <v>1531448.0</v>
      </c>
      <c r="U380" s="17">
        <v>3624170.0</v>
      </c>
      <c r="V380" s="11">
        <f t="array" ref="V380">XLOOKUP(A:A,'Raw Revenue'!A:A,'Raw Revenue'!B:B,0)
</f>
        <v>0</v>
      </c>
      <c r="W380" s="11">
        <f t="array" ref="W380">XLOOKUP(A:A,'Raw Revenue'!C:C,'Raw Revenue'!D:D,0)</f>
        <v>0</v>
      </c>
      <c r="X380" s="11">
        <f t="array" ref="X380">XLOOKUP(A:A,'Raw Revenue'!E:E,'Raw Revenue'!F:F,0)</f>
        <v>0</v>
      </c>
      <c r="Y380" s="11">
        <f t="array" ref="Y380">XLOOKUP(A:A,'Raw Revenue'!G:G,'Raw Revenue'!H:H,0)</f>
        <v>0</v>
      </c>
      <c r="Z380" s="11">
        <f t="array" ref="Z380">XLOOKUP(A:A,'Raw Revenue'!I:I,'Raw Revenue'!J:J,0)</f>
        <v>0</v>
      </c>
      <c r="AA380" s="11">
        <f t="array" ref="AA380">XLOOKUP(A:A,'Raw Revenue'!K:K,'Raw Revenue'!L:L,0)</f>
        <v>0</v>
      </c>
      <c r="AB380" s="11">
        <f t="array" ref="AB380">XLOOKUP(A:A,'Raw Revenue'!M:M,'Raw Revenue'!N:N,0)</f>
        <v>0</v>
      </c>
      <c r="AC380" s="3">
        <v>0.0</v>
      </c>
      <c r="AD380" s="3">
        <v>0.0</v>
      </c>
      <c r="AE380" s="3">
        <v>0.0</v>
      </c>
      <c r="AF380" s="3">
        <v>0.0</v>
      </c>
      <c r="AG380" s="3">
        <v>0.0</v>
      </c>
    </row>
    <row r="381">
      <c r="A381" s="3" t="s">
        <v>1038</v>
      </c>
      <c r="B381" s="3" t="s">
        <v>1039</v>
      </c>
      <c r="C381" s="3" t="str">
        <f t="shared" si="1"/>
        <v>PT. Bintang Kejora Nusantara</v>
      </c>
      <c r="D381" s="3" t="s">
        <v>186</v>
      </c>
      <c r="E381" s="3" t="s">
        <v>85</v>
      </c>
      <c r="F381" s="3" t="s">
        <v>86</v>
      </c>
      <c r="G381" s="3" t="s">
        <v>76</v>
      </c>
      <c r="H381" s="3" t="str">
        <f t="array" ref="H381">XLOOKUP(G:G,'Account Manager Data'!A:A,'Account Manager Data'!B:B,0)</f>
        <v>Teguh Wijaya</v>
      </c>
      <c r="I381" s="11" t="str">
        <f t="array" ref="I381">XLOOKUP($G:$G,'Account Manager Data'!$A:$A,'Account Manager Data'!C:C)</f>
        <v>Sulawesi</v>
      </c>
      <c r="J381" s="17">
        <v>6405786.0</v>
      </c>
      <c r="K381" s="17">
        <v>5094356.0</v>
      </c>
      <c r="L381" s="17">
        <v>1.0527703E7</v>
      </c>
      <c r="M381" s="17">
        <v>6879364.0</v>
      </c>
      <c r="N381" s="17">
        <v>8225574.0</v>
      </c>
      <c r="O381" s="17">
        <v>7027718.0</v>
      </c>
      <c r="P381" s="17">
        <v>1.5297964E7</v>
      </c>
      <c r="Q381" s="17">
        <v>2651662.0</v>
      </c>
      <c r="R381" s="17">
        <v>1819784.0</v>
      </c>
      <c r="S381" s="17">
        <v>7922701.0</v>
      </c>
      <c r="T381" s="17">
        <v>1.6767474E7</v>
      </c>
      <c r="U381" s="17">
        <v>7099125.0</v>
      </c>
      <c r="V381" s="11">
        <f t="array" ref="V381">XLOOKUP(A:A,'Raw Revenue'!A:A,'Raw Revenue'!B:B,0)
</f>
        <v>0</v>
      </c>
      <c r="W381" s="11">
        <f t="array" ref="W381">XLOOKUP(A:A,'Raw Revenue'!C:C,'Raw Revenue'!D:D,0)</f>
        <v>0</v>
      </c>
      <c r="X381" s="11">
        <f t="array" ref="X381">XLOOKUP(A:A,'Raw Revenue'!E:E,'Raw Revenue'!F:F,0)</f>
        <v>0</v>
      </c>
      <c r="Y381" s="11">
        <f t="array" ref="Y381">XLOOKUP(A:A,'Raw Revenue'!G:G,'Raw Revenue'!H:H,0)</f>
        <v>0</v>
      </c>
      <c r="Z381" s="11">
        <f t="array" ref="Z381">XLOOKUP(A:A,'Raw Revenue'!I:I,'Raw Revenue'!J:J,0)</f>
        <v>0</v>
      </c>
      <c r="AA381" s="11">
        <f t="array" ref="AA381">XLOOKUP(A:A,'Raw Revenue'!K:K,'Raw Revenue'!L:L,0)</f>
        <v>0</v>
      </c>
      <c r="AB381" s="11">
        <f t="array" ref="AB381">XLOOKUP(A:A,'Raw Revenue'!M:M,'Raw Revenue'!N:N,0)</f>
        <v>0</v>
      </c>
      <c r="AC381" s="3">
        <v>0.0</v>
      </c>
      <c r="AD381" s="3">
        <v>0.0</v>
      </c>
      <c r="AE381" s="3">
        <v>0.0</v>
      </c>
      <c r="AF381" s="3">
        <v>0.0</v>
      </c>
      <c r="AG381" s="3">
        <v>0.0</v>
      </c>
    </row>
    <row r="382">
      <c r="A382" s="3" t="s">
        <v>1040</v>
      </c>
      <c r="B382" s="3" t="s">
        <v>1041</v>
      </c>
      <c r="C382" s="3" t="str">
        <f t="shared" si="1"/>
        <v>PT. Maju Jaya</v>
      </c>
      <c r="D382" s="3" t="s">
        <v>195</v>
      </c>
      <c r="E382" s="3" t="s">
        <v>85</v>
      </c>
      <c r="F382" s="3" t="s">
        <v>86</v>
      </c>
      <c r="G382" s="3" t="s">
        <v>70</v>
      </c>
      <c r="H382" s="3" t="str">
        <f t="array" ref="H382">XLOOKUP(G:G,'Account Manager Data'!A:A,'Account Manager Data'!B:B,0)</f>
        <v>Yusuf Hidayat</v>
      </c>
      <c r="I382" s="11" t="str">
        <f t="array" ref="I382">XLOOKUP($G:$G,'Account Manager Data'!$A:$A,'Account Manager Data'!C:C)</f>
        <v>Sumatera</v>
      </c>
      <c r="J382" s="17">
        <v>268314.0</v>
      </c>
      <c r="K382" s="17">
        <v>4431036.0</v>
      </c>
      <c r="L382" s="17">
        <v>0.0</v>
      </c>
      <c r="M382" s="17">
        <v>6159417.0</v>
      </c>
      <c r="N382" s="17">
        <v>1.0189626E7</v>
      </c>
      <c r="O382" s="17">
        <v>7817893.0</v>
      </c>
      <c r="P382" s="17">
        <v>7602404.0</v>
      </c>
      <c r="Q382" s="17">
        <v>4005188.0</v>
      </c>
      <c r="R382" s="17">
        <v>8969465.0</v>
      </c>
      <c r="S382" s="17">
        <v>0.0</v>
      </c>
      <c r="T382" s="17">
        <v>1.0500875E7</v>
      </c>
      <c r="U382" s="17">
        <v>5739794.0</v>
      </c>
      <c r="V382" s="11">
        <f t="array" ref="V382">XLOOKUP(A:A,'Raw Revenue'!A:A,'Raw Revenue'!B:B,0)
</f>
        <v>0</v>
      </c>
      <c r="W382" s="11">
        <f t="array" ref="W382">XLOOKUP(A:A,'Raw Revenue'!C:C,'Raw Revenue'!D:D,0)</f>
        <v>0</v>
      </c>
      <c r="X382" s="11">
        <f t="array" ref="X382">XLOOKUP(A:A,'Raw Revenue'!E:E,'Raw Revenue'!F:F,0)</f>
        <v>0</v>
      </c>
      <c r="Y382" s="11">
        <f t="array" ref="Y382">XLOOKUP(A:A,'Raw Revenue'!G:G,'Raw Revenue'!H:H,0)</f>
        <v>0</v>
      </c>
      <c r="Z382" s="11">
        <f t="array" ref="Z382">XLOOKUP(A:A,'Raw Revenue'!I:I,'Raw Revenue'!J:J,0)</f>
        <v>0</v>
      </c>
      <c r="AA382" s="11">
        <f t="array" ref="AA382">XLOOKUP(A:A,'Raw Revenue'!K:K,'Raw Revenue'!L:L,0)</f>
        <v>0</v>
      </c>
      <c r="AB382" s="11">
        <f t="array" ref="AB382">XLOOKUP(A:A,'Raw Revenue'!M:M,'Raw Revenue'!N:N,0)</f>
        <v>0</v>
      </c>
      <c r="AC382" s="3">
        <v>0.0</v>
      </c>
      <c r="AD382" s="3">
        <v>0.0</v>
      </c>
      <c r="AE382" s="3">
        <v>0.0</v>
      </c>
      <c r="AF382" s="3">
        <v>0.0</v>
      </c>
      <c r="AG382" s="3">
        <v>0.0</v>
      </c>
    </row>
    <row r="383">
      <c r="A383" s="3" t="s">
        <v>1042</v>
      </c>
      <c r="B383" s="3" t="s">
        <v>1043</v>
      </c>
      <c r="C383" s="3" t="str">
        <f t="shared" si="1"/>
        <v>CV. Sumber Makmur</v>
      </c>
      <c r="D383" s="3" t="s">
        <v>186</v>
      </c>
      <c r="E383" s="3" t="s">
        <v>196</v>
      </c>
      <c r="F383" s="3" t="s">
        <v>315</v>
      </c>
      <c r="G383" s="3" t="s">
        <v>15</v>
      </c>
      <c r="H383" s="3" t="str">
        <f t="array" ref="H383">XLOOKUP(G:G,'Account Manager Data'!A:A,'Account Manager Data'!B:B,0)</f>
        <v>Rizky Maulana</v>
      </c>
      <c r="I383" s="11" t="str">
        <f t="array" ref="I383">XLOOKUP($G:$G,'Account Manager Data'!$A:$A,'Account Manager Data'!C:C)</f>
        <v>Jawa</v>
      </c>
      <c r="J383" s="17">
        <v>5984320.0</v>
      </c>
      <c r="K383" s="17">
        <v>2356336.0</v>
      </c>
      <c r="L383" s="17">
        <v>2935498.0</v>
      </c>
      <c r="M383" s="17">
        <v>9883353.0</v>
      </c>
      <c r="N383" s="17">
        <v>4959405.0</v>
      </c>
      <c r="O383" s="17">
        <v>7081075.0</v>
      </c>
      <c r="P383" s="17">
        <v>4403992.0</v>
      </c>
      <c r="Q383" s="17">
        <v>1.173421E7</v>
      </c>
      <c r="R383" s="17">
        <v>1.3582454E7</v>
      </c>
      <c r="S383" s="17">
        <v>9702990.0</v>
      </c>
      <c r="T383" s="17">
        <v>8366329.0</v>
      </c>
      <c r="U383" s="17">
        <v>1.1070153E7</v>
      </c>
      <c r="V383" s="11">
        <f t="array" ref="V383">XLOOKUP(A:A,'Raw Revenue'!A:A,'Raw Revenue'!B:B,0)
</f>
        <v>0</v>
      </c>
      <c r="W383" s="11">
        <f t="array" ref="W383">XLOOKUP(A:A,'Raw Revenue'!C:C,'Raw Revenue'!D:D,0)</f>
        <v>0</v>
      </c>
      <c r="X383" s="11">
        <f t="array" ref="X383">XLOOKUP(A:A,'Raw Revenue'!E:E,'Raw Revenue'!F:F,0)</f>
        <v>0</v>
      </c>
      <c r="Y383" s="11">
        <f t="array" ref="Y383">XLOOKUP(A:A,'Raw Revenue'!G:G,'Raw Revenue'!H:H,0)</f>
        <v>0</v>
      </c>
      <c r="Z383" s="11">
        <f t="array" ref="Z383">XLOOKUP(A:A,'Raw Revenue'!I:I,'Raw Revenue'!J:J,0)</f>
        <v>0</v>
      </c>
      <c r="AA383" s="11">
        <f t="array" ref="AA383">XLOOKUP(A:A,'Raw Revenue'!K:K,'Raw Revenue'!L:L,0)</f>
        <v>0</v>
      </c>
      <c r="AB383" s="11">
        <f t="array" ref="AB383">XLOOKUP(A:A,'Raw Revenue'!M:M,'Raw Revenue'!N:N,0)</f>
        <v>0</v>
      </c>
      <c r="AC383" s="3">
        <v>0.0</v>
      </c>
      <c r="AD383" s="3">
        <v>0.0</v>
      </c>
      <c r="AE383" s="3">
        <v>0.0</v>
      </c>
      <c r="AF383" s="3">
        <v>0.0</v>
      </c>
      <c r="AG383" s="3">
        <v>0.0</v>
      </c>
    </row>
    <row r="384">
      <c r="A384" s="3" t="s">
        <v>1044</v>
      </c>
      <c r="B384" s="3" t="s">
        <v>1045</v>
      </c>
      <c r="C384" s="3" t="str">
        <f t="shared" si="1"/>
        <v>PT. Teknologi Nusantara</v>
      </c>
      <c r="D384" s="3" t="s">
        <v>186</v>
      </c>
      <c r="E384" s="3" t="s">
        <v>215</v>
      </c>
      <c r="F384" s="3" t="s">
        <v>300</v>
      </c>
      <c r="G384" s="3" t="s">
        <v>27</v>
      </c>
      <c r="H384" s="3" t="str">
        <f t="array" ref="H384">XLOOKUP(G:G,'Account Manager Data'!A:A,'Account Manager Data'!B:B,0)</f>
        <v>Dedi Kurniawan</v>
      </c>
      <c r="I384" s="11" t="str">
        <f t="array" ref="I384">XLOOKUP($G:$G,'Account Manager Data'!$A:$A,'Account Manager Data'!C:C)</f>
        <v>Kalimantan</v>
      </c>
      <c r="J384" s="17">
        <v>0.0</v>
      </c>
      <c r="K384" s="17">
        <v>4833410.0</v>
      </c>
      <c r="L384" s="17">
        <v>3505044.0</v>
      </c>
      <c r="M384" s="17">
        <v>8384276.0</v>
      </c>
      <c r="N384" s="17">
        <v>7098775.0</v>
      </c>
      <c r="O384" s="17">
        <v>6224206.0</v>
      </c>
      <c r="P384" s="17">
        <v>1.0263524E7</v>
      </c>
      <c r="Q384" s="17">
        <v>0.0</v>
      </c>
      <c r="R384" s="17">
        <v>5814155.0</v>
      </c>
      <c r="S384" s="17">
        <v>7338366.0</v>
      </c>
      <c r="T384" s="17">
        <v>1185919.0</v>
      </c>
      <c r="U384" s="17">
        <v>1.6232696E7</v>
      </c>
      <c r="V384" s="11">
        <f t="array" ref="V384">XLOOKUP(A:A,'Raw Revenue'!A:A,'Raw Revenue'!B:B,0)
</f>
        <v>0</v>
      </c>
      <c r="W384" s="11">
        <f t="array" ref="W384">XLOOKUP(A:A,'Raw Revenue'!C:C,'Raw Revenue'!D:D,0)</f>
        <v>0</v>
      </c>
      <c r="X384" s="11">
        <f t="array" ref="X384">XLOOKUP(A:A,'Raw Revenue'!E:E,'Raw Revenue'!F:F,0)</f>
        <v>0</v>
      </c>
      <c r="Y384" s="11">
        <f t="array" ref="Y384">XLOOKUP(A:A,'Raw Revenue'!G:G,'Raw Revenue'!H:H,0)</f>
        <v>0</v>
      </c>
      <c r="Z384" s="11">
        <f t="array" ref="Z384">XLOOKUP(A:A,'Raw Revenue'!I:I,'Raw Revenue'!J:J,0)</f>
        <v>0</v>
      </c>
      <c r="AA384" s="11">
        <f t="array" ref="AA384">XLOOKUP(A:A,'Raw Revenue'!K:K,'Raw Revenue'!L:L,0)</f>
        <v>0</v>
      </c>
      <c r="AB384" s="11">
        <f t="array" ref="AB384">XLOOKUP(A:A,'Raw Revenue'!M:M,'Raw Revenue'!N:N,0)</f>
        <v>0</v>
      </c>
      <c r="AC384" s="3">
        <v>0.0</v>
      </c>
      <c r="AD384" s="3">
        <v>0.0</v>
      </c>
      <c r="AE384" s="3">
        <v>0.0</v>
      </c>
      <c r="AF384" s="3">
        <v>0.0</v>
      </c>
      <c r="AG384" s="3">
        <v>0.0</v>
      </c>
    </row>
    <row r="385">
      <c r="A385" s="3" t="s">
        <v>1046</v>
      </c>
      <c r="B385" s="3" t="s">
        <v>1047</v>
      </c>
      <c r="C385" s="3" t="str">
        <f t="shared" si="1"/>
        <v>PT. Bakti Indonesia</v>
      </c>
      <c r="D385" s="3" t="s">
        <v>214</v>
      </c>
      <c r="E385" s="3" t="s">
        <v>104</v>
      </c>
      <c r="F385" s="3" t="s">
        <v>252</v>
      </c>
      <c r="G385" s="3" t="s">
        <v>78</v>
      </c>
      <c r="H385" s="3" t="str">
        <f t="array" ref="H385">XLOOKUP(G:G,'Account Manager Data'!A:A,'Account Manager Data'!B:B,0)</f>
        <v>Ilham Saputra</v>
      </c>
      <c r="I385" s="11" t="str">
        <f t="array" ref="I385">XLOOKUP($G:$G,'Account Manager Data'!$A:$A,'Account Manager Data'!C:C)</f>
        <v>Jawa</v>
      </c>
      <c r="J385" s="17">
        <v>6608792.0</v>
      </c>
      <c r="K385" s="17">
        <v>6561186.0</v>
      </c>
      <c r="L385" s="17">
        <v>4705260.0</v>
      </c>
      <c r="M385" s="17">
        <v>1.0761497E7</v>
      </c>
      <c r="N385" s="17">
        <v>5595515.0</v>
      </c>
      <c r="O385" s="17">
        <v>7171752.0</v>
      </c>
      <c r="P385" s="17">
        <v>3919143.0</v>
      </c>
      <c r="Q385" s="17">
        <v>1.1770219E7</v>
      </c>
      <c r="R385" s="17">
        <v>1.1958069E7</v>
      </c>
      <c r="S385" s="17">
        <v>1.3310874E7</v>
      </c>
      <c r="T385" s="17">
        <v>1.4677138E7</v>
      </c>
      <c r="U385" s="17">
        <v>8974797.0</v>
      </c>
      <c r="V385" s="11">
        <f t="array" ref="V385">XLOOKUP(A:A,'Raw Revenue'!A:A,'Raw Revenue'!B:B,0)
</f>
        <v>0</v>
      </c>
      <c r="W385" s="11">
        <f t="array" ref="W385">XLOOKUP(A:A,'Raw Revenue'!C:C,'Raw Revenue'!D:D,0)</f>
        <v>0</v>
      </c>
      <c r="X385" s="11">
        <f t="array" ref="X385">XLOOKUP(A:A,'Raw Revenue'!E:E,'Raw Revenue'!F:F,0)</f>
        <v>0</v>
      </c>
      <c r="Y385" s="11">
        <f t="array" ref="Y385">XLOOKUP(A:A,'Raw Revenue'!G:G,'Raw Revenue'!H:H,0)</f>
        <v>0</v>
      </c>
      <c r="Z385" s="11">
        <f t="array" ref="Z385">XLOOKUP(A:A,'Raw Revenue'!I:I,'Raw Revenue'!J:J,0)</f>
        <v>0</v>
      </c>
      <c r="AA385" s="11">
        <f t="array" ref="AA385">XLOOKUP(A:A,'Raw Revenue'!K:K,'Raw Revenue'!L:L,0)</f>
        <v>0</v>
      </c>
      <c r="AB385" s="11">
        <f t="array" ref="AB385">XLOOKUP(A:A,'Raw Revenue'!M:M,'Raw Revenue'!N:N,0)</f>
        <v>0</v>
      </c>
      <c r="AC385" s="3">
        <v>0.0</v>
      </c>
      <c r="AD385" s="3">
        <v>0.0</v>
      </c>
      <c r="AE385" s="3">
        <v>0.0</v>
      </c>
      <c r="AF385" s="3">
        <v>0.0</v>
      </c>
      <c r="AG385" s="3">
        <v>0.0</v>
      </c>
    </row>
    <row r="386">
      <c r="A386" s="3" t="s">
        <v>1048</v>
      </c>
      <c r="B386" s="3" t="s">
        <v>1049</v>
      </c>
      <c r="C386" s="3" t="str">
        <f t="shared" si="1"/>
        <v>CV. Amanah Sejahtera</v>
      </c>
      <c r="D386" s="3" t="s">
        <v>214</v>
      </c>
      <c r="E386" s="3" t="s">
        <v>187</v>
      </c>
      <c r="F386" s="3" t="s">
        <v>295</v>
      </c>
      <c r="G386" s="3" t="s">
        <v>53</v>
      </c>
      <c r="H386" s="3" t="str">
        <f t="array" ref="H386">XLOOKUP(G:G,'Account Manager Data'!A:A,'Account Manager Data'!B:B,0)</f>
        <v>Fajar Ramadhan</v>
      </c>
      <c r="I386" s="11" t="str">
        <f t="array" ref="I386">XLOOKUP($G:$G,'Account Manager Data'!$A:$A,'Account Manager Data'!C:C)</f>
        <v>Sulawesi</v>
      </c>
      <c r="J386" s="17">
        <v>5557854.0</v>
      </c>
      <c r="K386" s="17">
        <v>8240823.0</v>
      </c>
      <c r="L386" s="17">
        <v>9956602.0</v>
      </c>
      <c r="M386" s="17">
        <v>6108276.0</v>
      </c>
      <c r="N386" s="17">
        <v>5936247.0</v>
      </c>
      <c r="O386" s="17">
        <v>4484091.0</v>
      </c>
      <c r="P386" s="17">
        <v>0.0</v>
      </c>
      <c r="Q386" s="17">
        <v>1.4341882E7</v>
      </c>
      <c r="R386" s="17">
        <v>4731231.0</v>
      </c>
      <c r="S386" s="17">
        <v>3527273.0</v>
      </c>
      <c r="T386" s="17">
        <v>1.8983754E7</v>
      </c>
      <c r="U386" s="17">
        <v>6459971.0</v>
      </c>
      <c r="V386" s="11">
        <f t="array" ref="V386">XLOOKUP(A:A,'Raw Revenue'!A:A,'Raw Revenue'!B:B,0)
</f>
        <v>0</v>
      </c>
      <c r="W386" s="11">
        <f t="array" ref="W386">XLOOKUP(A:A,'Raw Revenue'!C:C,'Raw Revenue'!D:D,0)</f>
        <v>0</v>
      </c>
      <c r="X386" s="11">
        <f t="array" ref="X386">XLOOKUP(A:A,'Raw Revenue'!E:E,'Raw Revenue'!F:F,0)</f>
        <v>0</v>
      </c>
      <c r="Y386" s="11">
        <f t="array" ref="Y386">XLOOKUP(A:A,'Raw Revenue'!G:G,'Raw Revenue'!H:H,0)</f>
        <v>0</v>
      </c>
      <c r="Z386" s="11">
        <f t="array" ref="Z386">XLOOKUP(A:A,'Raw Revenue'!I:I,'Raw Revenue'!J:J,0)</f>
        <v>0</v>
      </c>
      <c r="AA386" s="11">
        <f t="array" ref="AA386">XLOOKUP(A:A,'Raw Revenue'!K:K,'Raw Revenue'!L:L,0)</f>
        <v>0</v>
      </c>
      <c r="AB386" s="11">
        <f t="array" ref="AB386">XLOOKUP(A:A,'Raw Revenue'!M:M,'Raw Revenue'!N:N,0)</f>
        <v>0</v>
      </c>
      <c r="AC386" s="3">
        <v>0.0</v>
      </c>
      <c r="AD386" s="3">
        <v>0.0</v>
      </c>
      <c r="AE386" s="3">
        <v>0.0</v>
      </c>
      <c r="AF386" s="3">
        <v>0.0</v>
      </c>
      <c r="AG386" s="3">
        <v>0.0</v>
      </c>
    </row>
    <row r="387">
      <c r="A387" s="3" t="s">
        <v>1050</v>
      </c>
      <c r="B387" s="3" t="s">
        <v>1051</v>
      </c>
      <c r="C387" s="3" t="str">
        <f t="shared" si="1"/>
        <v>PT. Digital Solusi Pratama</v>
      </c>
      <c r="D387" s="3" t="s">
        <v>130</v>
      </c>
      <c r="E387" s="3" t="s">
        <v>104</v>
      </c>
      <c r="F387" s="3" t="s">
        <v>134</v>
      </c>
      <c r="G387" s="3" t="s">
        <v>63</v>
      </c>
      <c r="H387" s="3" t="str">
        <f t="array" ref="H387">XLOOKUP(G:G,'Account Manager Data'!A:A,'Account Manager Data'!B:B,0)</f>
        <v>Hendra Gunawan</v>
      </c>
      <c r="I387" s="11" t="str">
        <f t="array" ref="I387">XLOOKUP($G:$G,'Account Manager Data'!$A:$A,'Account Manager Data'!C:C)</f>
        <v>Kalimantan</v>
      </c>
      <c r="J387" s="17">
        <v>2637826.0</v>
      </c>
      <c r="K387" s="17">
        <v>1088606.0</v>
      </c>
      <c r="L387" s="17">
        <v>8136028.0</v>
      </c>
      <c r="M387" s="17">
        <v>528082.0</v>
      </c>
      <c r="N387" s="17">
        <v>1.1495595E7</v>
      </c>
      <c r="O387" s="17">
        <v>8561741.0</v>
      </c>
      <c r="P387" s="17">
        <v>7989969.0</v>
      </c>
      <c r="Q387" s="17">
        <v>6307081.0</v>
      </c>
      <c r="R387" s="17">
        <v>8713835.0</v>
      </c>
      <c r="S387" s="17">
        <v>1.207037E7</v>
      </c>
      <c r="T387" s="17">
        <v>2439639.0</v>
      </c>
      <c r="U387" s="17">
        <v>1703045.0</v>
      </c>
      <c r="V387" s="11">
        <f t="array" ref="V387">XLOOKUP(A:A,'Raw Revenue'!A:A,'Raw Revenue'!B:B,0)
</f>
        <v>0</v>
      </c>
      <c r="W387" s="11">
        <f t="array" ref="W387">XLOOKUP(A:A,'Raw Revenue'!C:C,'Raw Revenue'!D:D,0)</f>
        <v>0</v>
      </c>
      <c r="X387" s="11">
        <f t="array" ref="X387">XLOOKUP(A:A,'Raw Revenue'!E:E,'Raw Revenue'!F:F,0)</f>
        <v>0</v>
      </c>
      <c r="Y387" s="11">
        <f t="array" ref="Y387">XLOOKUP(A:A,'Raw Revenue'!G:G,'Raw Revenue'!H:H,0)</f>
        <v>0</v>
      </c>
      <c r="Z387" s="11">
        <f t="array" ref="Z387">XLOOKUP(A:A,'Raw Revenue'!I:I,'Raw Revenue'!J:J,0)</f>
        <v>0</v>
      </c>
      <c r="AA387" s="11">
        <f t="array" ref="AA387">XLOOKUP(A:A,'Raw Revenue'!K:K,'Raw Revenue'!L:L,0)</f>
        <v>0</v>
      </c>
      <c r="AB387" s="11">
        <f t="array" ref="AB387">XLOOKUP(A:A,'Raw Revenue'!M:M,'Raw Revenue'!N:N,0)</f>
        <v>0</v>
      </c>
      <c r="AC387" s="3">
        <v>0.0</v>
      </c>
      <c r="AD387" s="3">
        <v>0.0</v>
      </c>
      <c r="AE387" s="3">
        <v>0.0</v>
      </c>
      <c r="AF387" s="3">
        <v>0.0</v>
      </c>
      <c r="AG387" s="3">
        <v>0.0</v>
      </c>
    </row>
    <row r="388">
      <c r="A388" s="3" t="s">
        <v>1052</v>
      </c>
      <c r="B388" s="3" t="s">
        <v>1053</v>
      </c>
      <c r="C388" s="3" t="str">
        <f t="shared" si="1"/>
        <v>PT. Global Niaga Abadi</v>
      </c>
      <c r="D388" s="3" t="s">
        <v>84</v>
      </c>
      <c r="E388" s="3" t="s">
        <v>104</v>
      </c>
      <c r="F388" s="3" t="s">
        <v>134</v>
      </c>
      <c r="G388" s="3" t="s">
        <v>35</v>
      </c>
      <c r="H388" s="3" t="str">
        <f t="array" ref="H388">XLOOKUP(G:G,'Account Manager Data'!A:A,'Account Manager Data'!B:B,0)</f>
        <v>Ahmad Fauzi</v>
      </c>
      <c r="I388" s="11" t="str">
        <f t="array" ref="I388">XLOOKUP($G:$G,'Account Manager Data'!$A:$A,'Account Manager Data'!C:C)</f>
        <v>Sumatera</v>
      </c>
      <c r="J388" s="17">
        <v>5221440.0</v>
      </c>
      <c r="K388" s="17">
        <v>5990018.0</v>
      </c>
      <c r="L388" s="17">
        <v>4589606.0</v>
      </c>
      <c r="M388" s="17">
        <v>1.052545E7</v>
      </c>
      <c r="N388" s="17">
        <v>6270285.0</v>
      </c>
      <c r="O388" s="17">
        <v>3269774.0</v>
      </c>
      <c r="P388" s="17">
        <v>358544.0</v>
      </c>
      <c r="Q388" s="17">
        <v>5580339.0</v>
      </c>
      <c r="R388" s="17">
        <v>1.6067819E7</v>
      </c>
      <c r="S388" s="17">
        <v>8711612.0</v>
      </c>
      <c r="T388" s="17">
        <v>1.1972778E7</v>
      </c>
      <c r="U388" s="17">
        <v>1.4928646E7</v>
      </c>
      <c r="V388" s="11">
        <f t="array" ref="V388">XLOOKUP(A:A,'Raw Revenue'!A:A,'Raw Revenue'!B:B,0)
</f>
        <v>0</v>
      </c>
      <c r="W388" s="11">
        <f t="array" ref="W388">XLOOKUP(A:A,'Raw Revenue'!C:C,'Raw Revenue'!D:D,0)</f>
        <v>0</v>
      </c>
      <c r="X388" s="11">
        <f t="array" ref="X388">XLOOKUP(A:A,'Raw Revenue'!E:E,'Raw Revenue'!F:F,0)</f>
        <v>0</v>
      </c>
      <c r="Y388" s="11">
        <f t="array" ref="Y388">XLOOKUP(A:A,'Raw Revenue'!G:G,'Raw Revenue'!H:H,0)</f>
        <v>0</v>
      </c>
      <c r="Z388" s="11">
        <f t="array" ref="Z388">XLOOKUP(A:A,'Raw Revenue'!I:I,'Raw Revenue'!J:J,0)</f>
        <v>0</v>
      </c>
      <c r="AA388" s="11">
        <f t="array" ref="AA388">XLOOKUP(A:A,'Raw Revenue'!K:K,'Raw Revenue'!L:L,0)</f>
        <v>0</v>
      </c>
      <c r="AB388" s="11">
        <f t="array" ref="AB388">XLOOKUP(A:A,'Raw Revenue'!M:M,'Raw Revenue'!N:N,0)</f>
        <v>0</v>
      </c>
      <c r="AC388" s="3">
        <v>0.0</v>
      </c>
      <c r="AD388" s="3">
        <v>0.0</v>
      </c>
      <c r="AE388" s="3">
        <v>0.0</v>
      </c>
      <c r="AF388" s="3">
        <v>0.0</v>
      </c>
      <c r="AG388" s="3">
        <v>0.0</v>
      </c>
    </row>
    <row r="389">
      <c r="A389" s="3" t="s">
        <v>1054</v>
      </c>
      <c r="B389" s="3" t="s">
        <v>1055</v>
      </c>
      <c r="C389" s="3" t="str">
        <f t="shared" si="1"/>
        <v>PT. Indo Makmur Sentosa</v>
      </c>
      <c r="D389" s="3" t="s">
        <v>186</v>
      </c>
      <c r="E389" s="3" t="s">
        <v>196</v>
      </c>
      <c r="F389" s="3" t="s">
        <v>315</v>
      </c>
      <c r="G389" s="3" t="s">
        <v>74</v>
      </c>
      <c r="H389" s="3" t="str">
        <f t="array" ref="H389">XLOOKUP(G:G,'Account Manager Data'!A:A,'Account Manager Data'!B:B,0)</f>
        <v>Budi Santoso</v>
      </c>
      <c r="I389" s="11" t="str">
        <f t="array" ref="I389">XLOOKUP($G:$G,'Account Manager Data'!$A:$A,'Account Manager Data'!C:C)</f>
        <v>Papua</v>
      </c>
      <c r="J389" s="17">
        <v>5927912.0</v>
      </c>
      <c r="K389" s="17">
        <v>2318264.0</v>
      </c>
      <c r="L389" s="17">
        <v>1968758.0</v>
      </c>
      <c r="M389" s="17">
        <v>1.1210031E7</v>
      </c>
      <c r="N389" s="17">
        <v>5956391.0</v>
      </c>
      <c r="O389" s="17">
        <v>1.1550449E7</v>
      </c>
      <c r="P389" s="17">
        <v>939187.0</v>
      </c>
      <c r="Q389" s="17">
        <v>6226844.0</v>
      </c>
      <c r="R389" s="17">
        <v>377031.0</v>
      </c>
      <c r="S389" s="17">
        <v>1911224.0</v>
      </c>
      <c r="T389" s="17">
        <v>0.0</v>
      </c>
      <c r="U389" s="17">
        <v>1.7850586E7</v>
      </c>
      <c r="V389" s="11">
        <f t="array" ref="V389">XLOOKUP(A:A,'Raw Revenue'!A:A,'Raw Revenue'!B:B,0)
</f>
        <v>0</v>
      </c>
      <c r="W389" s="11">
        <f t="array" ref="W389">XLOOKUP(A:A,'Raw Revenue'!C:C,'Raw Revenue'!D:D,0)</f>
        <v>0</v>
      </c>
      <c r="X389" s="11">
        <f t="array" ref="X389">XLOOKUP(A:A,'Raw Revenue'!E:E,'Raw Revenue'!F:F,0)</f>
        <v>0</v>
      </c>
      <c r="Y389" s="11">
        <f t="array" ref="Y389">XLOOKUP(A:A,'Raw Revenue'!G:G,'Raw Revenue'!H:H,0)</f>
        <v>0</v>
      </c>
      <c r="Z389" s="11">
        <f t="array" ref="Z389">XLOOKUP(A:A,'Raw Revenue'!I:I,'Raw Revenue'!J:J,0)</f>
        <v>0</v>
      </c>
      <c r="AA389" s="11">
        <f t="array" ref="AA389">XLOOKUP(A:A,'Raw Revenue'!K:K,'Raw Revenue'!L:L,0)</f>
        <v>0</v>
      </c>
      <c r="AB389" s="11">
        <f t="array" ref="AB389">XLOOKUP(A:A,'Raw Revenue'!M:M,'Raw Revenue'!N:N,0)</f>
        <v>0</v>
      </c>
      <c r="AC389" s="3">
        <v>0.0</v>
      </c>
      <c r="AD389" s="3">
        <v>0.0</v>
      </c>
      <c r="AE389" s="3">
        <v>0.0</v>
      </c>
      <c r="AF389" s="3">
        <v>0.0</v>
      </c>
      <c r="AG389" s="3">
        <v>0.0</v>
      </c>
    </row>
    <row r="390">
      <c r="A390" s="3" t="s">
        <v>1056</v>
      </c>
      <c r="B390" s="3" t="s">
        <v>1057</v>
      </c>
      <c r="C390" s="3" t="str">
        <f t="shared" si="1"/>
        <v>PT. Citra Mandiri Utama</v>
      </c>
      <c r="D390" s="3" t="s">
        <v>195</v>
      </c>
      <c r="E390" s="3" t="s">
        <v>104</v>
      </c>
      <c r="F390" s="3" t="s">
        <v>105</v>
      </c>
      <c r="G390" s="3" t="s">
        <v>43</v>
      </c>
      <c r="H390" s="3" t="str">
        <f t="array" ref="H390">XLOOKUP(G:G,'Account Manager Data'!A:A,'Account Manager Data'!B:B,0)</f>
        <v>Eko Prasetyo</v>
      </c>
      <c r="I390" s="11" t="str">
        <f t="array" ref="I390">XLOOKUP($G:$G,'Account Manager Data'!$A:$A,'Account Manager Data'!C:C)</f>
        <v>Papua</v>
      </c>
      <c r="J390" s="17">
        <v>6790538.0</v>
      </c>
      <c r="K390" s="17">
        <v>6609903.0</v>
      </c>
      <c r="L390" s="17">
        <v>728365.0</v>
      </c>
      <c r="M390" s="17">
        <v>81280.0</v>
      </c>
      <c r="N390" s="17">
        <v>1.2793403E7</v>
      </c>
      <c r="O390" s="17">
        <v>0.0</v>
      </c>
      <c r="P390" s="17">
        <v>1.1177538E7</v>
      </c>
      <c r="Q390" s="17">
        <v>8728646.0</v>
      </c>
      <c r="R390" s="17">
        <v>1.2029407E7</v>
      </c>
      <c r="S390" s="17">
        <v>1.4078892E7</v>
      </c>
      <c r="T390" s="17">
        <v>6743997.0</v>
      </c>
      <c r="U390" s="17">
        <v>1.9438616E7</v>
      </c>
      <c r="V390" s="11">
        <f t="array" ref="V390">XLOOKUP(A:A,'Raw Revenue'!A:A,'Raw Revenue'!B:B,0)
</f>
        <v>0</v>
      </c>
      <c r="W390" s="11">
        <f t="array" ref="W390">XLOOKUP(A:A,'Raw Revenue'!C:C,'Raw Revenue'!D:D,0)</f>
        <v>0</v>
      </c>
      <c r="X390" s="11">
        <f t="array" ref="X390">XLOOKUP(A:A,'Raw Revenue'!E:E,'Raw Revenue'!F:F,0)</f>
        <v>0</v>
      </c>
      <c r="Y390" s="11">
        <f t="array" ref="Y390">XLOOKUP(A:A,'Raw Revenue'!G:G,'Raw Revenue'!H:H,0)</f>
        <v>0</v>
      </c>
      <c r="Z390" s="11">
        <f t="array" ref="Z390">XLOOKUP(A:A,'Raw Revenue'!I:I,'Raw Revenue'!J:J,0)</f>
        <v>0</v>
      </c>
      <c r="AA390" s="11">
        <f t="array" ref="AA390">XLOOKUP(A:A,'Raw Revenue'!K:K,'Raw Revenue'!L:L,0)</f>
        <v>0</v>
      </c>
      <c r="AB390" s="11">
        <f t="array" ref="AB390">XLOOKUP(A:A,'Raw Revenue'!M:M,'Raw Revenue'!N:N,0)</f>
        <v>0</v>
      </c>
      <c r="AC390" s="3">
        <v>0.0</v>
      </c>
      <c r="AD390" s="3">
        <v>0.0</v>
      </c>
      <c r="AE390" s="3">
        <v>0.0</v>
      </c>
      <c r="AF390" s="3">
        <v>0.0</v>
      </c>
      <c r="AG390" s="3">
        <v>0.0</v>
      </c>
    </row>
    <row r="391">
      <c r="A391" s="3" t="s">
        <v>1058</v>
      </c>
      <c r="B391" s="3" t="s">
        <v>1059</v>
      </c>
      <c r="C391" s="3" t="str">
        <f t="shared" si="1"/>
        <v>PT. Sinar Dunia Baru</v>
      </c>
      <c r="D391" s="3" t="s">
        <v>186</v>
      </c>
      <c r="E391" s="3" t="s">
        <v>85</v>
      </c>
      <c r="F391" s="3" t="s">
        <v>86</v>
      </c>
      <c r="G391" s="3" t="s">
        <v>76</v>
      </c>
      <c r="H391" s="3" t="str">
        <f t="array" ref="H391">XLOOKUP(G:G,'Account Manager Data'!A:A,'Account Manager Data'!B:B,0)</f>
        <v>Teguh Wijaya</v>
      </c>
      <c r="I391" s="11" t="str">
        <f t="array" ref="I391">XLOOKUP($G:$G,'Account Manager Data'!$A:$A,'Account Manager Data'!C:C)</f>
        <v>Sulawesi</v>
      </c>
      <c r="J391" s="17">
        <v>3522237.0</v>
      </c>
      <c r="K391" s="17">
        <v>2661426.0</v>
      </c>
      <c r="L391" s="17">
        <v>905898.0</v>
      </c>
      <c r="M391" s="17">
        <v>7495710.0</v>
      </c>
      <c r="N391" s="17">
        <v>7909839.0</v>
      </c>
      <c r="O391" s="17">
        <v>4910723.0</v>
      </c>
      <c r="P391" s="17">
        <v>1.5645218E7</v>
      </c>
      <c r="Q391" s="17">
        <v>3759885.0</v>
      </c>
      <c r="R391" s="17">
        <v>1.3840628E7</v>
      </c>
      <c r="S391" s="17">
        <v>582218.0</v>
      </c>
      <c r="T391" s="17">
        <v>1.6687901E7</v>
      </c>
      <c r="U391" s="17">
        <v>857838.0</v>
      </c>
      <c r="V391" s="11">
        <f t="array" ref="V391">XLOOKUP(A:A,'Raw Revenue'!A:A,'Raw Revenue'!B:B,0)
</f>
        <v>0</v>
      </c>
      <c r="W391" s="11">
        <f t="array" ref="W391">XLOOKUP(A:A,'Raw Revenue'!C:C,'Raw Revenue'!D:D,0)</f>
        <v>0</v>
      </c>
      <c r="X391" s="11">
        <f t="array" ref="X391">XLOOKUP(A:A,'Raw Revenue'!E:E,'Raw Revenue'!F:F,0)</f>
        <v>0</v>
      </c>
      <c r="Y391" s="11">
        <f t="array" ref="Y391">XLOOKUP(A:A,'Raw Revenue'!G:G,'Raw Revenue'!H:H,0)</f>
        <v>0</v>
      </c>
      <c r="Z391" s="11">
        <f t="array" ref="Z391">XLOOKUP(A:A,'Raw Revenue'!I:I,'Raw Revenue'!J:J,0)</f>
        <v>0</v>
      </c>
      <c r="AA391" s="11">
        <f t="array" ref="AA391">XLOOKUP(A:A,'Raw Revenue'!K:K,'Raw Revenue'!L:L,0)</f>
        <v>0</v>
      </c>
      <c r="AB391" s="11">
        <f t="array" ref="AB391">XLOOKUP(A:A,'Raw Revenue'!M:M,'Raw Revenue'!N:N,0)</f>
        <v>0</v>
      </c>
      <c r="AC391" s="3">
        <v>0.0</v>
      </c>
      <c r="AD391" s="3">
        <v>0.0</v>
      </c>
      <c r="AE391" s="3">
        <v>0.0</v>
      </c>
      <c r="AF391" s="3">
        <v>0.0</v>
      </c>
      <c r="AG391" s="3">
        <v>0.0</v>
      </c>
    </row>
    <row r="392">
      <c r="A392" s="3" t="s">
        <v>1060</v>
      </c>
      <c r="B392" s="3" t="s">
        <v>1061</v>
      </c>
      <c r="C392" s="3" t="str">
        <f t="shared" si="1"/>
        <v>CV. Karya Utama Mandiri</v>
      </c>
      <c r="D392" s="3" t="s">
        <v>186</v>
      </c>
      <c r="E392" s="3" t="s">
        <v>196</v>
      </c>
      <c r="F392" s="3" t="s">
        <v>315</v>
      </c>
      <c r="G392" s="3" t="s">
        <v>70</v>
      </c>
      <c r="H392" s="3" t="str">
        <f t="array" ref="H392">XLOOKUP(G:G,'Account Manager Data'!A:A,'Account Manager Data'!B:B,0)</f>
        <v>Yusuf Hidayat</v>
      </c>
      <c r="I392" s="11" t="str">
        <f t="array" ref="I392">XLOOKUP($G:$G,'Account Manager Data'!$A:$A,'Account Manager Data'!C:C)</f>
        <v>Sumatera</v>
      </c>
      <c r="J392" s="17">
        <v>7486128.0</v>
      </c>
      <c r="K392" s="17">
        <v>7531339.0</v>
      </c>
      <c r="L392" s="17">
        <v>5943616.0</v>
      </c>
      <c r="M392" s="17">
        <v>825204.0</v>
      </c>
      <c r="N392" s="17">
        <v>1.248246E7</v>
      </c>
      <c r="O392" s="17">
        <v>2551273.0</v>
      </c>
      <c r="P392" s="17">
        <v>2837050.0</v>
      </c>
      <c r="Q392" s="17">
        <v>1.3573775E7</v>
      </c>
      <c r="R392" s="17">
        <v>1224018.0</v>
      </c>
      <c r="S392" s="17">
        <v>0.0</v>
      </c>
      <c r="T392" s="17">
        <v>1.3386392E7</v>
      </c>
      <c r="U392" s="17">
        <v>1.3999709E7</v>
      </c>
      <c r="V392" s="11">
        <f t="array" ref="V392">XLOOKUP(A:A,'Raw Revenue'!A:A,'Raw Revenue'!B:B,0)
</f>
        <v>0</v>
      </c>
      <c r="W392" s="11">
        <f t="array" ref="W392">XLOOKUP(A:A,'Raw Revenue'!C:C,'Raw Revenue'!D:D,0)</f>
        <v>0</v>
      </c>
      <c r="X392" s="11">
        <f t="array" ref="X392">XLOOKUP(A:A,'Raw Revenue'!E:E,'Raw Revenue'!F:F,0)</f>
        <v>0</v>
      </c>
      <c r="Y392" s="11">
        <f t="array" ref="Y392">XLOOKUP(A:A,'Raw Revenue'!G:G,'Raw Revenue'!H:H,0)</f>
        <v>0</v>
      </c>
      <c r="Z392" s="11">
        <f t="array" ref="Z392">XLOOKUP(A:A,'Raw Revenue'!I:I,'Raw Revenue'!J:J,0)</f>
        <v>0</v>
      </c>
      <c r="AA392" s="11">
        <f t="array" ref="AA392">XLOOKUP(A:A,'Raw Revenue'!K:K,'Raw Revenue'!L:L,0)</f>
        <v>0</v>
      </c>
      <c r="AB392" s="11">
        <f t="array" ref="AB392">XLOOKUP(A:A,'Raw Revenue'!M:M,'Raw Revenue'!N:N,0)</f>
        <v>0</v>
      </c>
      <c r="AC392" s="3">
        <v>0.0</v>
      </c>
      <c r="AD392" s="3">
        <v>0.0</v>
      </c>
      <c r="AE392" s="3">
        <v>0.0</v>
      </c>
      <c r="AF392" s="3">
        <v>0.0</v>
      </c>
      <c r="AG392" s="3">
        <v>0.0</v>
      </c>
    </row>
    <row r="393">
      <c r="A393" s="3" t="s">
        <v>1062</v>
      </c>
      <c r="B393" s="3" t="s">
        <v>1063</v>
      </c>
      <c r="C393" s="3" t="str">
        <f t="shared" si="1"/>
        <v>PT. Pratama Jaya Sentosa</v>
      </c>
      <c r="D393" s="3" t="s">
        <v>186</v>
      </c>
      <c r="E393" s="3" t="s">
        <v>104</v>
      </c>
      <c r="F393" s="3" t="s">
        <v>252</v>
      </c>
      <c r="G393" s="3" t="s">
        <v>15</v>
      </c>
      <c r="H393" s="3" t="str">
        <f t="array" ref="H393">XLOOKUP(G:G,'Account Manager Data'!A:A,'Account Manager Data'!B:B,0)</f>
        <v>Rizky Maulana</v>
      </c>
      <c r="I393" s="11" t="str">
        <f t="array" ref="I393">XLOOKUP($G:$G,'Account Manager Data'!$A:$A,'Account Manager Data'!C:C)</f>
        <v>Jawa</v>
      </c>
      <c r="J393" s="17">
        <v>8027709.0</v>
      </c>
      <c r="K393" s="17">
        <v>4896445.0</v>
      </c>
      <c r="L393" s="17">
        <v>5197548.0</v>
      </c>
      <c r="M393" s="17">
        <v>1046034.0</v>
      </c>
      <c r="N393" s="17">
        <v>4359951.0</v>
      </c>
      <c r="O393" s="17">
        <v>1.0755892E7</v>
      </c>
      <c r="P393" s="17">
        <v>0.0</v>
      </c>
      <c r="Q393" s="17">
        <v>1.0758393E7</v>
      </c>
      <c r="R393" s="17">
        <v>6686837.0</v>
      </c>
      <c r="S393" s="17">
        <v>2917796.0</v>
      </c>
      <c r="T393" s="17">
        <v>5852074.0</v>
      </c>
      <c r="U393" s="17">
        <v>0.0</v>
      </c>
      <c r="V393" s="11">
        <f t="array" ref="V393">XLOOKUP(A:A,'Raw Revenue'!A:A,'Raw Revenue'!B:B,0)
</f>
        <v>0</v>
      </c>
      <c r="W393" s="11">
        <f t="array" ref="W393">XLOOKUP(A:A,'Raw Revenue'!C:C,'Raw Revenue'!D:D,0)</f>
        <v>0</v>
      </c>
      <c r="X393" s="11">
        <f t="array" ref="X393">XLOOKUP(A:A,'Raw Revenue'!E:E,'Raw Revenue'!F:F,0)</f>
        <v>0</v>
      </c>
      <c r="Y393" s="11">
        <f t="array" ref="Y393">XLOOKUP(A:A,'Raw Revenue'!G:G,'Raw Revenue'!H:H,0)</f>
        <v>0</v>
      </c>
      <c r="Z393" s="11">
        <f t="array" ref="Z393">XLOOKUP(A:A,'Raw Revenue'!I:I,'Raw Revenue'!J:J,0)</f>
        <v>0</v>
      </c>
      <c r="AA393" s="11">
        <f t="array" ref="AA393">XLOOKUP(A:A,'Raw Revenue'!K:K,'Raw Revenue'!L:L,0)</f>
        <v>0</v>
      </c>
      <c r="AB393" s="11">
        <f t="array" ref="AB393">XLOOKUP(A:A,'Raw Revenue'!M:M,'Raw Revenue'!N:N,0)</f>
        <v>0</v>
      </c>
      <c r="AC393" s="3">
        <v>0.0</v>
      </c>
      <c r="AD393" s="3">
        <v>0.0</v>
      </c>
      <c r="AE393" s="3">
        <v>0.0</v>
      </c>
      <c r="AF393" s="3">
        <v>0.0</v>
      </c>
      <c r="AG393" s="3">
        <v>0.0</v>
      </c>
    </row>
    <row r="394">
      <c r="A394" s="3" t="s">
        <v>1064</v>
      </c>
      <c r="B394" s="3" t="s">
        <v>1065</v>
      </c>
      <c r="C394" s="3" t="str">
        <f t="shared" si="1"/>
        <v>PT. Abadi Selamanya Jaya</v>
      </c>
      <c r="D394" s="3" t="s">
        <v>84</v>
      </c>
      <c r="E394" s="3" t="s">
        <v>196</v>
      </c>
      <c r="F394" s="3" t="s">
        <v>315</v>
      </c>
      <c r="G394" s="3" t="s">
        <v>53</v>
      </c>
      <c r="H394" s="3" t="str">
        <f t="array" ref="H394">XLOOKUP(G:G,'Account Manager Data'!A:A,'Account Manager Data'!B:B,0)</f>
        <v>Fajar Ramadhan</v>
      </c>
      <c r="I394" s="11" t="str">
        <f t="array" ref="I394">XLOOKUP($G:$G,'Account Manager Data'!$A:$A,'Account Manager Data'!C:C)</f>
        <v>Sulawesi</v>
      </c>
      <c r="J394" s="17">
        <v>7070400.0</v>
      </c>
      <c r="K394" s="17">
        <v>9133851.0</v>
      </c>
      <c r="L394" s="17">
        <v>5430253.0</v>
      </c>
      <c r="M394" s="17">
        <v>8289156.0</v>
      </c>
      <c r="N394" s="17">
        <v>1.3080071E7</v>
      </c>
      <c r="O394" s="17">
        <v>1495911.0</v>
      </c>
      <c r="P394" s="17">
        <v>1.049474E7</v>
      </c>
      <c r="Q394" s="17">
        <v>8440011.0</v>
      </c>
      <c r="R394" s="17">
        <v>6025302.0</v>
      </c>
      <c r="S394" s="17">
        <v>1.668724E7</v>
      </c>
      <c r="T394" s="17">
        <v>1.3293672E7</v>
      </c>
      <c r="U394" s="17">
        <v>1.0227622E7</v>
      </c>
      <c r="V394" s="11">
        <f t="array" ref="V394">XLOOKUP(A:A,'Raw Revenue'!A:A,'Raw Revenue'!B:B,0)
</f>
        <v>0</v>
      </c>
      <c r="W394" s="11">
        <f t="array" ref="W394">XLOOKUP(A:A,'Raw Revenue'!C:C,'Raw Revenue'!D:D,0)</f>
        <v>0</v>
      </c>
      <c r="X394" s="11">
        <f t="array" ref="X394">XLOOKUP(A:A,'Raw Revenue'!E:E,'Raw Revenue'!F:F,0)</f>
        <v>0</v>
      </c>
      <c r="Y394" s="11">
        <f t="array" ref="Y394">XLOOKUP(A:A,'Raw Revenue'!G:G,'Raw Revenue'!H:H,0)</f>
        <v>0</v>
      </c>
      <c r="Z394" s="11">
        <f t="array" ref="Z394">XLOOKUP(A:A,'Raw Revenue'!I:I,'Raw Revenue'!J:J,0)</f>
        <v>0</v>
      </c>
      <c r="AA394" s="11">
        <f t="array" ref="AA394">XLOOKUP(A:A,'Raw Revenue'!K:K,'Raw Revenue'!L:L,0)</f>
        <v>0</v>
      </c>
      <c r="AB394" s="11">
        <f t="array" ref="AB394">XLOOKUP(A:A,'Raw Revenue'!M:M,'Raw Revenue'!N:N,0)</f>
        <v>0</v>
      </c>
      <c r="AC394" s="3">
        <v>0.0</v>
      </c>
      <c r="AD394" s="3">
        <v>0.0</v>
      </c>
      <c r="AE394" s="3">
        <v>0.0</v>
      </c>
      <c r="AF394" s="3">
        <v>0.0</v>
      </c>
      <c r="AG394" s="3">
        <v>0.0</v>
      </c>
    </row>
    <row r="395">
      <c r="A395" s="3" t="s">
        <v>1066</v>
      </c>
      <c r="B395" s="3" t="s">
        <v>1067</v>
      </c>
      <c r="C395" s="3" t="str">
        <f t="shared" si="1"/>
        <v>PT. Mandiri Sejahtera Bersama</v>
      </c>
      <c r="D395" s="3" t="s">
        <v>84</v>
      </c>
      <c r="E395" s="3" t="s">
        <v>85</v>
      </c>
      <c r="F395" s="3" t="s">
        <v>407</v>
      </c>
      <c r="G395" s="3" t="s">
        <v>27</v>
      </c>
      <c r="H395" s="3" t="str">
        <f t="array" ref="H395">XLOOKUP(G:G,'Account Manager Data'!A:A,'Account Manager Data'!B:B,0)</f>
        <v>Dedi Kurniawan</v>
      </c>
      <c r="I395" s="11" t="str">
        <f t="array" ref="I395">XLOOKUP($G:$G,'Account Manager Data'!$A:$A,'Account Manager Data'!C:C)</f>
        <v>Kalimantan</v>
      </c>
      <c r="J395" s="17">
        <v>2709100.0</v>
      </c>
      <c r="K395" s="17">
        <v>8953532.0</v>
      </c>
      <c r="L395" s="17">
        <v>3534746.0</v>
      </c>
      <c r="M395" s="17">
        <v>4519385.0</v>
      </c>
      <c r="N395" s="17">
        <v>205888.0</v>
      </c>
      <c r="O395" s="17">
        <v>2595882.0</v>
      </c>
      <c r="P395" s="17">
        <v>1.399611E7</v>
      </c>
      <c r="Q395" s="17">
        <v>3979479.0</v>
      </c>
      <c r="R395" s="17">
        <v>3384108.0</v>
      </c>
      <c r="S395" s="17">
        <v>1.3588557E7</v>
      </c>
      <c r="T395" s="17">
        <v>0.0</v>
      </c>
      <c r="U395" s="17">
        <v>1259100.0</v>
      </c>
      <c r="V395" s="11">
        <f t="array" ref="V395">XLOOKUP(A:A,'Raw Revenue'!A:A,'Raw Revenue'!B:B,0)
</f>
        <v>0</v>
      </c>
      <c r="W395" s="11">
        <f t="array" ref="W395">XLOOKUP(A:A,'Raw Revenue'!C:C,'Raw Revenue'!D:D,0)</f>
        <v>0</v>
      </c>
      <c r="X395" s="11">
        <f t="array" ref="X395">XLOOKUP(A:A,'Raw Revenue'!E:E,'Raw Revenue'!F:F,0)</f>
        <v>0</v>
      </c>
      <c r="Y395" s="11">
        <f t="array" ref="Y395">XLOOKUP(A:A,'Raw Revenue'!G:G,'Raw Revenue'!H:H,0)</f>
        <v>0</v>
      </c>
      <c r="Z395" s="11">
        <f t="array" ref="Z395">XLOOKUP(A:A,'Raw Revenue'!I:I,'Raw Revenue'!J:J,0)</f>
        <v>0</v>
      </c>
      <c r="AA395" s="11">
        <f t="array" ref="AA395">XLOOKUP(A:A,'Raw Revenue'!K:K,'Raw Revenue'!L:L,0)</f>
        <v>0</v>
      </c>
      <c r="AB395" s="11">
        <f t="array" ref="AB395">XLOOKUP(A:A,'Raw Revenue'!M:M,'Raw Revenue'!N:N,0)</f>
        <v>0</v>
      </c>
      <c r="AC395" s="3">
        <v>0.0</v>
      </c>
      <c r="AD395" s="3">
        <v>0.0</v>
      </c>
      <c r="AE395" s="3">
        <v>0.0</v>
      </c>
      <c r="AF395" s="3">
        <v>0.0</v>
      </c>
      <c r="AG395" s="3">
        <v>0.0</v>
      </c>
    </row>
    <row r="396">
      <c r="A396" s="3" t="s">
        <v>1068</v>
      </c>
      <c r="B396" s="3" t="s">
        <v>1069</v>
      </c>
      <c r="C396" s="3" t="str">
        <f t="shared" si="1"/>
        <v>PT. Sejahtera Alam Indonesia</v>
      </c>
      <c r="D396" s="3" t="s">
        <v>195</v>
      </c>
      <c r="E396" s="3" t="s">
        <v>187</v>
      </c>
      <c r="F396" s="3" t="s">
        <v>188</v>
      </c>
      <c r="G396" s="3" t="s">
        <v>78</v>
      </c>
      <c r="H396" s="3" t="str">
        <f t="array" ref="H396">XLOOKUP(G:G,'Account Manager Data'!A:A,'Account Manager Data'!B:B,0)</f>
        <v>Ilham Saputra</v>
      </c>
      <c r="I396" s="11" t="str">
        <f t="array" ref="I396">XLOOKUP($G:$G,'Account Manager Data'!$A:$A,'Account Manager Data'!C:C)</f>
        <v>Jawa</v>
      </c>
      <c r="J396" s="17">
        <v>7721175.0</v>
      </c>
      <c r="K396" s="17">
        <v>995296.0</v>
      </c>
      <c r="L396" s="17">
        <v>5706317.0</v>
      </c>
      <c r="M396" s="17">
        <v>0.0</v>
      </c>
      <c r="N396" s="17">
        <v>1.1948208E7</v>
      </c>
      <c r="O396" s="17">
        <v>3001575.0</v>
      </c>
      <c r="P396" s="17">
        <v>1.3348379E7</v>
      </c>
      <c r="Q396" s="17">
        <v>6604468.0</v>
      </c>
      <c r="R396" s="17">
        <v>1.6317144E7</v>
      </c>
      <c r="S396" s="17">
        <v>1156767.0</v>
      </c>
      <c r="T396" s="17">
        <v>1.3521259E7</v>
      </c>
      <c r="U396" s="17">
        <v>5927155.0</v>
      </c>
      <c r="V396" s="11">
        <f t="array" ref="V396">XLOOKUP(A:A,'Raw Revenue'!A:A,'Raw Revenue'!B:B,0)
</f>
        <v>0</v>
      </c>
      <c r="W396" s="11">
        <f t="array" ref="W396">XLOOKUP(A:A,'Raw Revenue'!C:C,'Raw Revenue'!D:D,0)</f>
        <v>0</v>
      </c>
      <c r="X396" s="11">
        <f t="array" ref="X396">XLOOKUP(A:A,'Raw Revenue'!E:E,'Raw Revenue'!F:F,0)</f>
        <v>0</v>
      </c>
      <c r="Y396" s="11">
        <f t="array" ref="Y396">XLOOKUP(A:A,'Raw Revenue'!G:G,'Raw Revenue'!H:H,0)</f>
        <v>0</v>
      </c>
      <c r="Z396" s="11">
        <f t="array" ref="Z396">XLOOKUP(A:A,'Raw Revenue'!I:I,'Raw Revenue'!J:J,0)</f>
        <v>0</v>
      </c>
      <c r="AA396" s="11">
        <f t="array" ref="AA396">XLOOKUP(A:A,'Raw Revenue'!K:K,'Raw Revenue'!L:L,0)</f>
        <v>0</v>
      </c>
      <c r="AB396" s="11">
        <f t="array" ref="AB396">XLOOKUP(A:A,'Raw Revenue'!M:M,'Raw Revenue'!N:N,0)</f>
        <v>0</v>
      </c>
      <c r="AC396" s="3">
        <v>0.0</v>
      </c>
      <c r="AD396" s="3">
        <v>0.0</v>
      </c>
      <c r="AE396" s="3">
        <v>0.0</v>
      </c>
      <c r="AF396" s="3">
        <v>0.0</v>
      </c>
      <c r="AG396" s="3">
        <v>0.0</v>
      </c>
    </row>
    <row r="397">
      <c r="A397" s="3" t="s">
        <v>1070</v>
      </c>
      <c r="B397" s="3" t="s">
        <v>1071</v>
      </c>
      <c r="C397" s="3" t="str">
        <f t="shared" si="1"/>
        <v>PT. Indah Kargo Logistik</v>
      </c>
      <c r="D397" s="3" t="s">
        <v>84</v>
      </c>
      <c r="E397" s="3" t="s">
        <v>215</v>
      </c>
      <c r="F397" s="3" t="s">
        <v>227</v>
      </c>
      <c r="G397" s="3" t="s">
        <v>63</v>
      </c>
      <c r="H397" s="3" t="str">
        <f t="array" ref="H397">XLOOKUP(G:G,'Account Manager Data'!A:A,'Account Manager Data'!B:B,0)</f>
        <v>Hendra Gunawan</v>
      </c>
      <c r="I397" s="11" t="str">
        <f t="array" ref="I397">XLOOKUP($G:$G,'Account Manager Data'!$A:$A,'Account Manager Data'!C:C)</f>
        <v>Kalimantan</v>
      </c>
      <c r="J397" s="17">
        <v>1649186.0</v>
      </c>
      <c r="K397" s="17">
        <v>5770200.0</v>
      </c>
      <c r="L397" s="17">
        <v>968723.0</v>
      </c>
      <c r="M397" s="17">
        <v>2075455.0</v>
      </c>
      <c r="N397" s="17">
        <v>1.2785223E7</v>
      </c>
      <c r="O397" s="17">
        <v>8858328.0</v>
      </c>
      <c r="P397" s="17">
        <v>1.044726E7</v>
      </c>
      <c r="Q397" s="17">
        <v>1.4678476E7</v>
      </c>
      <c r="R397" s="17">
        <v>5894842.0</v>
      </c>
      <c r="S397" s="17">
        <v>3162509.0</v>
      </c>
      <c r="T397" s="17">
        <v>3029953.0</v>
      </c>
      <c r="U397" s="17">
        <v>4279317.0</v>
      </c>
      <c r="V397" s="11">
        <f t="array" ref="V397">XLOOKUP(A:A,'Raw Revenue'!A:A,'Raw Revenue'!B:B,0)
</f>
        <v>0</v>
      </c>
      <c r="W397" s="11">
        <f t="array" ref="W397">XLOOKUP(A:A,'Raw Revenue'!C:C,'Raw Revenue'!D:D,0)</f>
        <v>0</v>
      </c>
      <c r="X397" s="11">
        <f t="array" ref="X397">XLOOKUP(A:A,'Raw Revenue'!E:E,'Raw Revenue'!F:F,0)</f>
        <v>0</v>
      </c>
      <c r="Y397" s="11">
        <f t="array" ref="Y397">XLOOKUP(A:A,'Raw Revenue'!G:G,'Raw Revenue'!H:H,0)</f>
        <v>0</v>
      </c>
      <c r="Z397" s="11">
        <f t="array" ref="Z397">XLOOKUP(A:A,'Raw Revenue'!I:I,'Raw Revenue'!J:J,0)</f>
        <v>0</v>
      </c>
      <c r="AA397" s="11">
        <f t="array" ref="AA397">XLOOKUP(A:A,'Raw Revenue'!K:K,'Raw Revenue'!L:L,0)</f>
        <v>0</v>
      </c>
      <c r="AB397" s="11">
        <f t="array" ref="AB397">XLOOKUP(A:A,'Raw Revenue'!M:M,'Raw Revenue'!N:N,0)</f>
        <v>0</v>
      </c>
      <c r="AC397" s="3">
        <v>0.0</v>
      </c>
      <c r="AD397" s="3">
        <v>0.0</v>
      </c>
      <c r="AE397" s="3">
        <v>0.0</v>
      </c>
      <c r="AF397" s="3">
        <v>0.0</v>
      </c>
      <c r="AG397" s="3">
        <v>0.0</v>
      </c>
    </row>
    <row r="398">
      <c r="A398" s="3" t="s">
        <v>1072</v>
      </c>
      <c r="B398" s="3" t="s">
        <v>1073</v>
      </c>
      <c r="C398" s="3" t="str">
        <f t="shared" si="1"/>
        <v>PT. Berkah Alam Semesta</v>
      </c>
      <c r="D398" s="3" t="s">
        <v>195</v>
      </c>
      <c r="E398" s="3" t="s">
        <v>196</v>
      </c>
      <c r="F398" s="3" t="s">
        <v>260</v>
      </c>
      <c r="G398" s="3" t="s">
        <v>35</v>
      </c>
      <c r="H398" s="3" t="str">
        <f t="array" ref="H398">XLOOKUP(G:G,'Account Manager Data'!A:A,'Account Manager Data'!B:B,0)</f>
        <v>Ahmad Fauzi</v>
      </c>
      <c r="I398" s="11" t="str">
        <f t="array" ref="I398">XLOOKUP($G:$G,'Account Manager Data'!$A:$A,'Account Manager Data'!C:C)</f>
        <v>Sumatera</v>
      </c>
      <c r="J398" s="17">
        <v>5924093.0</v>
      </c>
      <c r="K398" s="17">
        <v>5373327.0</v>
      </c>
      <c r="L398" s="17">
        <v>0.0</v>
      </c>
      <c r="M398" s="17">
        <v>1749560.0</v>
      </c>
      <c r="N398" s="17">
        <v>3441533.0</v>
      </c>
      <c r="O398" s="17">
        <v>6238640.0</v>
      </c>
      <c r="P398" s="17">
        <v>8311954.0</v>
      </c>
      <c r="Q398" s="17">
        <v>5421407.0</v>
      </c>
      <c r="R398" s="17">
        <v>3807408.0</v>
      </c>
      <c r="S398" s="17">
        <v>8419514.0</v>
      </c>
      <c r="T398" s="17">
        <v>1.5226227E7</v>
      </c>
      <c r="U398" s="17">
        <v>1.1435949E7</v>
      </c>
      <c r="V398" s="11">
        <f t="array" ref="V398">XLOOKUP(A:A,'Raw Revenue'!A:A,'Raw Revenue'!B:B,0)
</f>
        <v>0</v>
      </c>
      <c r="W398" s="11">
        <f t="array" ref="W398">XLOOKUP(A:A,'Raw Revenue'!C:C,'Raw Revenue'!D:D,0)</f>
        <v>0</v>
      </c>
      <c r="X398" s="11">
        <f t="array" ref="X398">XLOOKUP(A:A,'Raw Revenue'!E:E,'Raw Revenue'!F:F,0)</f>
        <v>0</v>
      </c>
      <c r="Y398" s="11">
        <f t="array" ref="Y398">XLOOKUP(A:A,'Raw Revenue'!G:G,'Raw Revenue'!H:H,0)</f>
        <v>0</v>
      </c>
      <c r="Z398" s="11">
        <f t="array" ref="Z398">XLOOKUP(A:A,'Raw Revenue'!I:I,'Raw Revenue'!J:J,0)</f>
        <v>0</v>
      </c>
      <c r="AA398" s="11">
        <f t="array" ref="AA398">XLOOKUP(A:A,'Raw Revenue'!K:K,'Raw Revenue'!L:L,0)</f>
        <v>0</v>
      </c>
      <c r="AB398" s="11">
        <f t="array" ref="AB398">XLOOKUP(A:A,'Raw Revenue'!M:M,'Raw Revenue'!N:N,0)</f>
        <v>0</v>
      </c>
      <c r="AC398" s="3">
        <v>0.0</v>
      </c>
      <c r="AD398" s="3">
        <v>0.0</v>
      </c>
      <c r="AE398" s="3">
        <v>0.0</v>
      </c>
      <c r="AF398" s="3">
        <v>0.0</v>
      </c>
      <c r="AG398" s="3">
        <v>0.0</v>
      </c>
    </row>
    <row r="399">
      <c r="A399" s="3" t="s">
        <v>1074</v>
      </c>
      <c r="B399" s="3" t="s">
        <v>1075</v>
      </c>
      <c r="C399" s="3" t="str">
        <f t="shared" si="1"/>
        <v>PT. Cahaya Baru Indonesia</v>
      </c>
      <c r="D399" s="3" t="s">
        <v>130</v>
      </c>
      <c r="E399" s="3" t="s">
        <v>196</v>
      </c>
      <c r="F399" s="3" t="s">
        <v>260</v>
      </c>
      <c r="G399" s="3" t="s">
        <v>43</v>
      </c>
      <c r="H399" s="3" t="str">
        <f t="array" ref="H399">XLOOKUP(G:G,'Account Manager Data'!A:A,'Account Manager Data'!B:B,0)</f>
        <v>Eko Prasetyo</v>
      </c>
      <c r="I399" s="11" t="str">
        <f t="array" ref="I399">XLOOKUP($G:$G,'Account Manager Data'!$A:$A,'Account Manager Data'!C:C)</f>
        <v>Papua</v>
      </c>
      <c r="J399" s="17">
        <v>7396030.0</v>
      </c>
      <c r="K399" s="17">
        <v>5045591.0</v>
      </c>
      <c r="L399" s="17">
        <v>4716963.0</v>
      </c>
      <c r="M399" s="17">
        <v>4524395.0</v>
      </c>
      <c r="N399" s="17">
        <v>3764048.0</v>
      </c>
      <c r="O399" s="17">
        <v>325056.0</v>
      </c>
      <c r="P399" s="17">
        <v>6075335.0</v>
      </c>
      <c r="Q399" s="17">
        <v>1.3505995E7</v>
      </c>
      <c r="R399" s="17">
        <v>1.6234458E7</v>
      </c>
      <c r="S399" s="17">
        <v>2958426.0</v>
      </c>
      <c r="T399" s="17">
        <v>9913664.0</v>
      </c>
      <c r="U399" s="17">
        <v>1633370.0</v>
      </c>
      <c r="V399" s="11">
        <f t="array" ref="V399">XLOOKUP(A:A,'Raw Revenue'!A:A,'Raw Revenue'!B:B,0)
</f>
        <v>0</v>
      </c>
      <c r="W399" s="11">
        <f t="array" ref="W399">XLOOKUP(A:A,'Raw Revenue'!C:C,'Raw Revenue'!D:D,0)</f>
        <v>0</v>
      </c>
      <c r="X399" s="11">
        <f t="array" ref="X399">XLOOKUP(A:A,'Raw Revenue'!E:E,'Raw Revenue'!F:F,0)</f>
        <v>0</v>
      </c>
      <c r="Y399" s="11">
        <f t="array" ref="Y399">XLOOKUP(A:A,'Raw Revenue'!G:G,'Raw Revenue'!H:H,0)</f>
        <v>0</v>
      </c>
      <c r="Z399" s="11">
        <f t="array" ref="Z399">XLOOKUP(A:A,'Raw Revenue'!I:I,'Raw Revenue'!J:J,0)</f>
        <v>0</v>
      </c>
      <c r="AA399" s="11">
        <f t="array" ref="AA399">XLOOKUP(A:A,'Raw Revenue'!K:K,'Raw Revenue'!L:L,0)</f>
        <v>0</v>
      </c>
      <c r="AB399" s="11">
        <f t="array" ref="AB399">XLOOKUP(A:A,'Raw Revenue'!M:M,'Raw Revenue'!N:N,0)</f>
        <v>0</v>
      </c>
      <c r="AC399" s="3">
        <v>0.0</v>
      </c>
      <c r="AD399" s="3">
        <v>0.0</v>
      </c>
      <c r="AE399" s="3">
        <v>0.0</v>
      </c>
      <c r="AF399" s="3">
        <v>0.0</v>
      </c>
      <c r="AG399" s="3">
        <v>0.0</v>
      </c>
    </row>
    <row r="400">
      <c r="A400" s="3" t="s">
        <v>1076</v>
      </c>
      <c r="B400" s="3" t="s">
        <v>1077</v>
      </c>
      <c r="C400" s="3" t="str">
        <f t="shared" si="1"/>
        <v>PT. Mentari Pagi Sejahtera</v>
      </c>
      <c r="D400" s="3" t="s">
        <v>214</v>
      </c>
      <c r="E400" s="3" t="s">
        <v>215</v>
      </c>
      <c r="F400" s="3" t="s">
        <v>227</v>
      </c>
      <c r="G400" s="3" t="s">
        <v>74</v>
      </c>
      <c r="H400" s="3" t="str">
        <f t="array" ref="H400">XLOOKUP(G:G,'Account Manager Data'!A:A,'Account Manager Data'!B:B,0)</f>
        <v>Budi Santoso</v>
      </c>
      <c r="I400" s="11" t="str">
        <f t="array" ref="I400">XLOOKUP($G:$G,'Account Manager Data'!$A:$A,'Account Manager Data'!C:C)</f>
        <v>Papua</v>
      </c>
      <c r="J400" s="17">
        <v>182041.0</v>
      </c>
      <c r="K400" s="17">
        <v>8575923.0</v>
      </c>
      <c r="L400" s="17">
        <v>3110086.0</v>
      </c>
      <c r="M400" s="17">
        <v>8729955.0</v>
      </c>
      <c r="N400" s="17">
        <v>1.3950138E7</v>
      </c>
      <c r="O400" s="17">
        <v>1.3052465E7</v>
      </c>
      <c r="P400" s="17">
        <v>3941983.0</v>
      </c>
      <c r="Q400" s="17">
        <v>155583.0</v>
      </c>
      <c r="R400" s="17">
        <v>1.2263953E7</v>
      </c>
      <c r="S400" s="17">
        <v>1.6308871E7</v>
      </c>
      <c r="T400" s="17">
        <v>1.4388282E7</v>
      </c>
      <c r="U400" s="17">
        <v>5127894.0</v>
      </c>
      <c r="V400" s="11">
        <f t="array" ref="V400">XLOOKUP(A:A,'Raw Revenue'!A:A,'Raw Revenue'!B:B,0)
</f>
        <v>0</v>
      </c>
      <c r="W400" s="11">
        <f t="array" ref="W400">XLOOKUP(A:A,'Raw Revenue'!C:C,'Raw Revenue'!D:D,0)</f>
        <v>0</v>
      </c>
      <c r="X400" s="11">
        <f t="array" ref="X400">XLOOKUP(A:A,'Raw Revenue'!E:E,'Raw Revenue'!F:F,0)</f>
        <v>0</v>
      </c>
      <c r="Y400" s="11">
        <f t="array" ref="Y400">XLOOKUP(A:A,'Raw Revenue'!G:G,'Raw Revenue'!H:H,0)</f>
        <v>0</v>
      </c>
      <c r="Z400" s="11">
        <f t="array" ref="Z400">XLOOKUP(A:A,'Raw Revenue'!I:I,'Raw Revenue'!J:J,0)</f>
        <v>0</v>
      </c>
      <c r="AA400" s="11">
        <f t="array" ref="AA400">XLOOKUP(A:A,'Raw Revenue'!K:K,'Raw Revenue'!L:L,0)</f>
        <v>0</v>
      </c>
      <c r="AB400" s="11">
        <f t="array" ref="AB400">XLOOKUP(A:A,'Raw Revenue'!M:M,'Raw Revenue'!N:N,0)</f>
        <v>0</v>
      </c>
      <c r="AC400" s="3">
        <v>0.0</v>
      </c>
      <c r="AD400" s="3">
        <v>0.0</v>
      </c>
      <c r="AE400" s="3">
        <v>0.0</v>
      </c>
      <c r="AF400" s="3">
        <v>0.0</v>
      </c>
      <c r="AG400" s="3">
        <v>0.0</v>
      </c>
    </row>
    <row r="401">
      <c r="A401" s="3" t="s">
        <v>450</v>
      </c>
      <c r="B401" s="3" t="s">
        <v>1078</v>
      </c>
      <c r="C401" s="3" t="str">
        <f t="shared" si="1"/>
        <v>PT. Bintang Kejora Nusantara</v>
      </c>
      <c r="D401" s="3" t="s">
        <v>103</v>
      </c>
      <c r="E401" s="3" t="s">
        <v>196</v>
      </c>
      <c r="F401" s="3" t="s">
        <v>315</v>
      </c>
      <c r="G401" s="3" t="s">
        <v>76</v>
      </c>
      <c r="H401" s="3" t="str">
        <f t="array" ref="H401">XLOOKUP(G:G,'Account Manager Data'!A:A,'Account Manager Data'!B:B,0)</f>
        <v>Teguh Wijaya</v>
      </c>
      <c r="I401" s="11" t="str">
        <f t="array" ref="I401">XLOOKUP($G:$G,'Account Manager Data'!$A:$A,'Account Manager Data'!C:C)</f>
        <v>Sulawesi</v>
      </c>
      <c r="J401" s="17">
        <v>4553282.0</v>
      </c>
      <c r="K401" s="17">
        <v>3231056.0</v>
      </c>
      <c r="L401" s="17">
        <v>9899253.0</v>
      </c>
      <c r="M401" s="17">
        <v>4935530.0</v>
      </c>
      <c r="N401" s="17">
        <v>1.1982407E7</v>
      </c>
      <c r="O401" s="17">
        <v>0.0</v>
      </c>
      <c r="P401" s="17">
        <v>3991045.0</v>
      </c>
      <c r="Q401" s="17">
        <v>6984171.0</v>
      </c>
      <c r="R401" s="17">
        <v>8606930.0</v>
      </c>
      <c r="S401" s="17">
        <v>8863537.0</v>
      </c>
      <c r="T401" s="17">
        <v>1.1774753E7</v>
      </c>
      <c r="U401" s="17">
        <v>1.335724E7</v>
      </c>
      <c r="V401" s="11">
        <f t="array" ref="V401">XLOOKUP(A:A,'Raw Revenue'!A:A,'Raw Revenue'!B:B,0)
</f>
        <v>1265819.869</v>
      </c>
      <c r="W401" s="11">
        <f t="array" ref="W401">XLOOKUP(A:A,'Raw Revenue'!C:C,'Raw Revenue'!D:D,0)</f>
        <v>632909.9345</v>
      </c>
      <c r="X401" s="11">
        <f t="array" ref="X401">XLOOKUP(A:A,'Raw Revenue'!E:E,'Raw Revenue'!F:F,0)</f>
        <v>379745.9607</v>
      </c>
      <c r="Y401" s="11">
        <f t="array" ref="Y401">XLOOKUP(A:A,'Raw Revenue'!G:G,'Raw Revenue'!H:H,0)</f>
        <v>4430369.541</v>
      </c>
      <c r="Z401" s="11">
        <f t="array" ref="Z401">XLOOKUP(A:A,'Raw Revenue'!I:I,'Raw Revenue'!J:J,0)</f>
        <v>1012655.895</v>
      </c>
      <c r="AA401" s="11">
        <f t="array" ref="AA401">XLOOKUP(A:A,'Raw Revenue'!K:K,'Raw Revenue'!L:L,0)</f>
        <v>28480.94705</v>
      </c>
      <c r="AB401" s="11">
        <f t="array" ref="AB401">XLOOKUP(A:A,'Raw Revenue'!M:M,'Raw Revenue'!N:N,0)</f>
        <v>3816446.905</v>
      </c>
      <c r="AC401" s="3">
        <v>0.0</v>
      </c>
      <c r="AD401" s="3">
        <v>0.0</v>
      </c>
      <c r="AE401" s="3">
        <v>0.0</v>
      </c>
      <c r="AF401" s="3">
        <v>0.0</v>
      </c>
      <c r="AG401" s="3">
        <v>0.0</v>
      </c>
    </row>
    <row r="402">
      <c r="A402" s="3" t="s">
        <v>1079</v>
      </c>
      <c r="B402" s="3" t="s">
        <v>1080</v>
      </c>
      <c r="C402" s="3" t="str">
        <f t="shared" si="1"/>
        <v>PT. Maju Jaya</v>
      </c>
      <c r="D402" s="3" t="s">
        <v>195</v>
      </c>
      <c r="E402" s="3" t="s">
        <v>196</v>
      </c>
      <c r="F402" s="3" t="s">
        <v>315</v>
      </c>
      <c r="G402" s="3" t="s">
        <v>70</v>
      </c>
      <c r="H402" s="3" t="str">
        <f t="array" ref="H402">XLOOKUP(G:G,'Account Manager Data'!A:A,'Account Manager Data'!B:B,0)</f>
        <v>Yusuf Hidayat</v>
      </c>
      <c r="I402" s="11" t="str">
        <f t="array" ref="I402">XLOOKUP($G:$G,'Account Manager Data'!$A:$A,'Account Manager Data'!C:C)</f>
        <v>Sumatera</v>
      </c>
      <c r="J402" s="17">
        <v>7258697.0</v>
      </c>
      <c r="K402" s="17">
        <v>3094596.0</v>
      </c>
      <c r="L402" s="17">
        <v>7456442.0</v>
      </c>
      <c r="M402" s="17">
        <v>7197867.0</v>
      </c>
      <c r="N402" s="17">
        <v>0.0</v>
      </c>
      <c r="O402" s="17">
        <v>6647911.0</v>
      </c>
      <c r="P402" s="17">
        <v>1.3019511E7</v>
      </c>
      <c r="Q402" s="17">
        <v>1.2695218E7</v>
      </c>
      <c r="R402" s="17">
        <v>461874.0</v>
      </c>
      <c r="S402" s="17">
        <v>1.5452407E7</v>
      </c>
      <c r="T402" s="17">
        <v>1.2684947E7</v>
      </c>
      <c r="U402" s="17">
        <v>1.3582126E7</v>
      </c>
      <c r="V402" s="11">
        <f t="array" ref="V402">XLOOKUP(A:A,'Raw Revenue'!A:A,'Raw Revenue'!B:B,0)
</f>
        <v>0</v>
      </c>
      <c r="W402" s="11">
        <f t="array" ref="W402">XLOOKUP(A:A,'Raw Revenue'!C:C,'Raw Revenue'!D:D,0)</f>
        <v>0</v>
      </c>
      <c r="X402" s="11">
        <f t="array" ref="X402">XLOOKUP(A:A,'Raw Revenue'!E:E,'Raw Revenue'!F:F,0)</f>
        <v>0</v>
      </c>
      <c r="Y402" s="11">
        <f t="array" ref="Y402">XLOOKUP(A:A,'Raw Revenue'!G:G,'Raw Revenue'!H:H,0)</f>
        <v>0</v>
      </c>
      <c r="Z402" s="11">
        <f t="array" ref="Z402">XLOOKUP(A:A,'Raw Revenue'!I:I,'Raw Revenue'!J:J,0)</f>
        <v>0</v>
      </c>
      <c r="AA402" s="11">
        <f t="array" ref="AA402">XLOOKUP(A:A,'Raw Revenue'!K:K,'Raw Revenue'!L:L,0)</f>
        <v>0</v>
      </c>
      <c r="AB402" s="11">
        <f t="array" ref="AB402">XLOOKUP(A:A,'Raw Revenue'!M:M,'Raw Revenue'!N:N,0)</f>
        <v>0</v>
      </c>
      <c r="AC402" s="3">
        <v>0.0</v>
      </c>
      <c r="AD402" s="3">
        <v>0.0</v>
      </c>
      <c r="AE402" s="3">
        <v>0.0</v>
      </c>
      <c r="AF402" s="3">
        <v>0.0</v>
      </c>
      <c r="AG402" s="3">
        <v>0.0</v>
      </c>
    </row>
    <row r="403">
      <c r="A403" s="3" t="s">
        <v>1081</v>
      </c>
      <c r="B403" s="3" t="s">
        <v>1082</v>
      </c>
      <c r="C403" s="3" t="str">
        <f t="shared" si="1"/>
        <v>CV. Sumber Makmur</v>
      </c>
      <c r="D403" s="3" t="s">
        <v>186</v>
      </c>
      <c r="E403" s="3" t="s">
        <v>104</v>
      </c>
      <c r="F403" s="3" t="s">
        <v>252</v>
      </c>
      <c r="G403" s="3" t="s">
        <v>15</v>
      </c>
      <c r="H403" s="3" t="str">
        <f t="array" ref="H403">XLOOKUP(G:G,'Account Manager Data'!A:A,'Account Manager Data'!B:B,0)</f>
        <v>Rizky Maulana</v>
      </c>
      <c r="I403" s="11" t="str">
        <f t="array" ref="I403">XLOOKUP($G:$G,'Account Manager Data'!$A:$A,'Account Manager Data'!C:C)</f>
        <v>Jawa</v>
      </c>
      <c r="J403" s="17">
        <v>5487815.0</v>
      </c>
      <c r="K403" s="17">
        <v>7354718.0</v>
      </c>
      <c r="L403" s="17">
        <v>406507.0</v>
      </c>
      <c r="M403" s="17">
        <v>7477277.0</v>
      </c>
      <c r="N403" s="17">
        <v>1975657.0</v>
      </c>
      <c r="O403" s="17">
        <v>1.0308329E7</v>
      </c>
      <c r="P403" s="17">
        <v>1027448.0</v>
      </c>
      <c r="Q403" s="17">
        <v>0.0</v>
      </c>
      <c r="R403" s="17">
        <v>177707.0</v>
      </c>
      <c r="S403" s="17">
        <v>1.0281457E7</v>
      </c>
      <c r="T403" s="17">
        <v>1436711.0</v>
      </c>
      <c r="U403" s="17">
        <v>1123121.0</v>
      </c>
      <c r="V403" s="11">
        <f t="array" ref="V403">XLOOKUP(A:A,'Raw Revenue'!A:A,'Raw Revenue'!B:B,0)
</f>
        <v>0</v>
      </c>
      <c r="W403" s="11">
        <f t="array" ref="W403">XLOOKUP(A:A,'Raw Revenue'!C:C,'Raw Revenue'!D:D,0)</f>
        <v>0</v>
      </c>
      <c r="X403" s="11">
        <f t="array" ref="X403">XLOOKUP(A:A,'Raw Revenue'!E:E,'Raw Revenue'!F:F,0)</f>
        <v>0</v>
      </c>
      <c r="Y403" s="11">
        <f t="array" ref="Y403">XLOOKUP(A:A,'Raw Revenue'!G:G,'Raw Revenue'!H:H,0)</f>
        <v>0</v>
      </c>
      <c r="Z403" s="11">
        <f t="array" ref="Z403">XLOOKUP(A:A,'Raw Revenue'!I:I,'Raw Revenue'!J:J,0)</f>
        <v>0</v>
      </c>
      <c r="AA403" s="11">
        <f t="array" ref="AA403">XLOOKUP(A:A,'Raw Revenue'!K:K,'Raw Revenue'!L:L,0)</f>
        <v>0</v>
      </c>
      <c r="AB403" s="11">
        <f t="array" ref="AB403">XLOOKUP(A:A,'Raw Revenue'!M:M,'Raw Revenue'!N:N,0)</f>
        <v>0</v>
      </c>
      <c r="AC403" s="3">
        <v>0.0</v>
      </c>
      <c r="AD403" s="3">
        <v>0.0</v>
      </c>
      <c r="AE403" s="3">
        <v>0.0</v>
      </c>
      <c r="AF403" s="3">
        <v>0.0</v>
      </c>
      <c r="AG403" s="3">
        <v>0.0</v>
      </c>
    </row>
    <row r="404">
      <c r="A404" s="3" t="s">
        <v>1083</v>
      </c>
      <c r="B404" s="3" t="s">
        <v>1084</v>
      </c>
      <c r="C404" s="3" t="str">
        <f t="shared" si="1"/>
        <v>PT. Teknologi Nusantara</v>
      </c>
      <c r="D404" s="3" t="s">
        <v>130</v>
      </c>
      <c r="E404" s="3" t="s">
        <v>104</v>
      </c>
      <c r="F404" s="3" t="s">
        <v>252</v>
      </c>
      <c r="G404" s="3" t="s">
        <v>27</v>
      </c>
      <c r="H404" s="3" t="str">
        <f t="array" ref="H404">XLOOKUP(G:G,'Account Manager Data'!A:A,'Account Manager Data'!B:B,0)</f>
        <v>Dedi Kurniawan</v>
      </c>
      <c r="I404" s="11" t="str">
        <f t="array" ref="I404">XLOOKUP($G:$G,'Account Manager Data'!$A:$A,'Account Manager Data'!C:C)</f>
        <v>Kalimantan</v>
      </c>
      <c r="J404" s="17">
        <v>7008870.0</v>
      </c>
      <c r="K404" s="17">
        <v>6259970.0</v>
      </c>
      <c r="L404" s="17">
        <v>1400696.0</v>
      </c>
      <c r="M404" s="17">
        <v>1.1429036E7</v>
      </c>
      <c r="N404" s="17">
        <v>0.0</v>
      </c>
      <c r="O404" s="17">
        <v>1.2374567E7</v>
      </c>
      <c r="P404" s="17">
        <v>1.0031157E7</v>
      </c>
      <c r="Q404" s="17">
        <v>8624900.0</v>
      </c>
      <c r="R404" s="17">
        <v>1.1201887E7</v>
      </c>
      <c r="S404" s="17">
        <v>1.672399E7</v>
      </c>
      <c r="T404" s="17">
        <v>1.3938917E7</v>
      </c>
      <c r="U404" s="17">
        <v>1.4854264E7</v>
      </c>
      <c r="V404" s="11">
        <f t="array" ref="V404">XLOOKUP(A:A,'Raw Revenue'!A:A,'Raw Revenue'!B:B,0)
</f>
        <v>0</v>
      </c>
      <c r="W404" s="11">
        <f t="array" ref="W404">XLOOKUP(A:A,'Raw Revenue'!C:C,'Raw Revenue'!D:D,0)</f>
        <v>0</v>
      </c>
      <c r="X404" s="11">
        <f t="array" ref="X404">XLOOKUP(A:A,'Raw Revenue'!E:E,'Raw Revenue'!F:F,0)</f>
        <v>0</v>
      </c>
      <c r="Y404" s="11">
        <f t="array" ref="Y404">XLOOKUP(A:A,'Raw Revenue'!G:G,'Raw Revenue'!H:H,0)</f>
        <v>0</v>
      </c>
      <c r="Z404" s="11">
        <f t="array" ref="Z404">XLOOKUP(A:A,'Raw Revenue'!I:I,'Raw Revenue'!J:J,0)</f>
        <v>0</v>
      </c>
      <c r="AA404" s="11">
        <f t="array" ref="AA404">XLOOKUP(A:A,'Raw Revenue'!K:K,'Raw Revenue'!L:L,0)</f>
        <v>0</v>
      </c>
      <c r="AB404" s="11">
        <f t="array" ref="AB404">XLOOKUP(A:A,'Raw Revenue'!M:M,'Raw Revenue'!N:N,0)</f>
        <v>0</v>
      </c>
      <c r="AC404" s="3">
        <v>0.0</v>
      </c>
      <c r="AD404" s="3">
        <v>0.0</v>
      </c>
      <c r="AE404" s="3">
        <v>0.0</v>
      </c>
      <c r="AF404" s="3">
        <v>0.0</v>
      </c>
      <c r="AG404" s="3">
        <v>0.0</v>
      </c>
    </row>
    <row r="405">
      <c r="A405" s="3" t="s">
        <v>1085</v>
      </c>
      <c r="B405" s="3" t="s">
        <v>1086</v>
      </c>
      <c r="C405" s="3" t="str">
        <f t="shared" si="1"/>
        <v>PT. Bakti Indonesia</v>
      </c>
      <c r="D405" s="3" t="s">
        <v>214</v>
      </c>
      <c r="E405" s="3" t="s">
        <v>187</v>
      </c>
      <c r="F405" s="3" t="s">
        <v>295</v>
      </c>
      <c r="G405" s="3" t="s">
        <v>78</v>
      </c>
      <c r="H405" s="3" t="str">
        <f t="array" ref="H405">XLOOKUP(G:G,'Account Manager Data'!A:A,'Account Manager Data'!B:B,0)</f>
        <v>Ilham Saputra</v>
      </c>
      <c r="I405" s="11" t="str">
        <f t="array" ref="I405">XLOOKUP($G:$G,'Account Manager Data'!$A:$A,'Account Manager Data'!C:C)</f>
        <v>Jawa</v>
      </c>
      <c r="J405" s="17">
        <v>4547441.0</v>
      </c>
      <c r="K405" s="17">
        <v>7044566.0</v>
      </c>
      <c r="L405" s="17">
        <v>4545971.0</v>
      </c>
      <c r="M405" s="17">
        <v>1152418.0</v>
      </c>
      <c r="N405" s="17">
        <v>4368727.0</v>
      </c>
      <c r="O405" s="17">
        <v>8697309.0</v>
      </c>
      <c r="P405" s="17">
        <v>8483858.0</v>
      </c>
      <c r="Q405" s="17">
        <v>4813914.0</v>
      </c>
      <c r="R405" s="17">
        <v>4764525.0</v>
      </c>
      <c r="S405" s="17">
        <v>8530046.0</v>
      </c>
      <c r="T405" s="17">
        <v>1.5853188E7</v>
      </c>
      <c r="U405" s="17">
        <v>2545688.0</v>
      </c>
      <c r="V405" s="11">
        <f t="array" ref="V405">XLOOKUP(A:A,'Raw Revenue'!A:A,'Raw Revenue'!B:B,0)
</f>
        <v>0</v>
      </c>
      <c r="W405" s="11">
        <f t="array" ref="W405">XLOOKUP(A:A,'Raw Revenue'!C:C,'Raw Revenue'!D:D,0)</f>
        <v>0</v>
      </c>
      <c r="X405" s="11">
        <f t="array" ref="X405">XLOOKUP(A:A,'Raw Revenue'!E:E,'Raw Revenue'!F:F,0)</f>
        <v>0</v>
      </c>
      <c r="Y405" s="11">
        <f t="array" ref="Y405">XLOOKUP(A:A,'Raw Revenue'!G:G,'Raw Revenue'!H:H,0)</f>
        <v>0</v>
      </c>
      <c r="Z405" s="11">
        <f t="array" ref="Z405">XLOOKUP(A:A,'Raw Revenue'!I:I,'Raw Revenue'!J:J,0)</f>
        <v>0</v>
      </c>
      <c r="AA405" s="11">
        <f t="array" ref="AA405">XLOOKUP(A:A,'Raw Revenue'!K:K,'Raw Revenue'!L:L,0)</f>
        <v>0</v>
      </c>
      <c r="AB405" s="11">
        <f t="array" ref="AB405">XLOOKUP(A:A,'Raw Revenue'!M:M,'Raw Revenue'!N:N,0)</f>
        <v>0</v>
      </c>
      <c r="AC405" s="3">
        <v>0.0</v>
      </c>
      <c r="AD405" s="3">
        <v>0.0</v>
      </c>
      <c r="AE405" s="3">
        <v>0.0</v>
      </c>
      <c r="AF405" s="3">
        <v>0.0</v>
      </c>
      <c r="AG405" s="3">
        <v>0.0</v>
      </c>
    </row>
    <row r="406">
      <c r="A406" s="3" t="s">
        <v>1087</v>
      </c>
      <c r="B406" s="3" t="s">
        <v>1088</v>
      </c>
      <c r="C406" s="3" t="str">
        <f t="shared" si="1"/>
        <v>CV. Amanah Sejahtera</v>
      </c>
      <c r="D406" s="3" t="s">
        <v>195</v>
      </c>
      <c r="E406" s="3" t="s">
        <v>187</v>
      </c>
      <c r="F406" s="3" t="s">
        <v>269</v>
      </c>
      <c r="G406" s="3" t="s">
        <v>53</v>
      </c>
      <c r="H406" s="3" t="str">
        <f t="array" ref="H406">XLOOKUP(G:G,'Account Manager Data'!A:A,'Account Manager Data'!B:B,0)</f>
        <v>Fajar Ramadhan</v>
      </c>
      <c r="I406" s="11" t="str">
        <f t="array" ref="I406">XLOOKUP($G:$G,'Account Manager Data'!$A:$A,'Account Manager Data'!C:C)</f>
        <v>Sulawesi</v>
      </c>
      <c r="J406" s="17">
        <v>5275904.0</v>
      </c>
      <c r="K406" s="17">
        <v>8612665.0</v>
      </c>
      <c r="L406" s="17">
        <v>1359676.0</v>
      </c>
      <c r="M406" s="17">
        <v>9647812.0</v>
      </c>
      <c r="N406" s="17">
        <v>1.0264538E7</v>
      </c>
      <c r="O406" s="17">
        <v>7922581.0</v>
      </c>
      <c r="P406" s="17">
        <v>1.0405866E7</v>
      </c>
      <c r="Q406" s="17">
        <v>7073950.0</v>
      </c>
      <c r="R406" s="17">
        <v>1.5790148E7</v>
      </c>
      <c r="S406" s="17">
        <v>5978644.0</v>
      </c>
      <c r="T406" s="17">
        <v>1.0307308E7</v>
      </c>
      <c r="U406" s="17">
        <v>1.7429218E7</v>
      </c>
      <c r="V406" s="11">
        <f t="array" ref="V406">XLOOKUP(A:A,'Raw Revenue'!A:A,'Raw Revenue'!B:B,0)
</f>
        <v>0</v>
      </c>
      <c r="W406" s="11">
        <f t="array" ref="W406">XLOOKUP(A:A,'Raw Revenue'!C:C,'Raw Revenue'!D:D,0)</f>
        <v>0</v>
      </c>
      <c r="X406" s="11">
        <f t="array" ref="X406">XLOOKUP(A:A,'Raw Revenue'!E:E,'Raw Revenue'!F:F,0)</f>
        <v>0</v>
      </c>
      <c r="Y406" s="11">
        <f t="array" ref="Y406">XLOOKUP(A:A,'Raw Revenue'!G:G,'Raw Revenue'!H:H,0)</f>
        <v>0</v>
      </c>
      <c r="Z406" s="11">
        <f t="array" ref="Z406">XLOOKUP(A:A,'Raw Revenue'!I:I,'Raw Revenue'!J:J,0)</f>
        <v>0</v>
      </c>
      <c r="AA406" s="11">
        <f t="array" ref="AA406">XLOOKUP(A:A,'Raw Revenue'!K:K,'Raw Revenue'!L:L,0)</f>
        <v>0</v>
      </c>
      <c r="AB406" s="11">
        <f t="array" ref="AB406">XLOOKUP(A:A,'Raw Revenue'!M:M,'Raw Revenue'!N:N,0)</f>
        <v>0</v>
      </c>
      <c r="AC406" s="3">
        <v>0.0</v>
      </c>
      <c r="AD406" s="3">
        <v>0.0</v>
      </c>
      <c r="AE406" s="3">
        <v>0.0</v>
      </c>
      <c r="AF406" s="3">
        <v>0.0</v>
      </c>
      <c r="AG406" s="3">
        <v>0.0</v>
      </c>
    </row>
    <row r="407">
      <c r="A407" s="3" t="s">
        <v>1089</v>
      </c>
      <c r="B407" s="3" t="s">
        <v>1090</v>
      </c>
      <c r="C407" s="3" t="str">
        <f t="shared" si="1"/>
        <v>PT. Digital Solusi Pratama</v>
      </c>
      <c r="D407" s="3" t="s">
        <v>84</v>
      </c>
      <c r="E407" s="3" t="s">
        <v>85</v>
      </c>
      <c r="F407" s="3" t="s">
        <v>248</v>
      </c>
      <c r="G407" s="3" t="s">
        <v>63</v>
      </c>
      <c r="H407" s="3" t="str">
        <f t="array" ref="H407">XLOOKUP(G:G,'Account Manager Data'!A:A,'Account Manager Data'!B:B,0)</f>
        <v>Hendra Gunawan</v>
      </c>
      <c r="I407" s="11" t="str">
        <f t="array" ref="I407">XLOOKUP($G:$G,'Account Manager Data'!$A:$A,'Account Manager Data'!C:C)</f>
        <v>Kalimantan</v>
      </c>
      <c r="J407" s="17">
        <v>6022346.0</v>
      </c>
      <c r="K407" s="17">
        <v>3836742.0</v>
      </c>
      <c r="L407" s="17">
        <v>4624988.0</v>
      </c>
      <c r="M407" s="17">
        <v>9643518.0</v>
      </c>
      <c r="N407" s="17">
        <v>6137221.0</v>
      </c>
      <c r="O407" s="17">
        <v>1.4780904E7</v>
      </c>
      <c r="P407" s="17">
        <v>1.5363466E7</v>
      </c>
      <c r="Q407" s="17">
        <v>5639917.0</v>
      </c>
      <c r="R407" s="17">
        <v>0.0</v>
      </c>
      <c r="S407" s="17">
        <v>8585373.0</v>
      </c>
      <c r="T407" s="17">
        <v>1.200731E7</v>
      </c>
      <c r="U407" s="17">
        <v>1.5547999E7</v>
      </c>
      <c r="V407" s="11">
        <f t="array" ref="V407">XLOOKUP(A:A,'Raw Revenue'!A:A,'Raw Revenue'!B:B,0)
</f>
        <v>0</v>
      </c>
      <c r="W407" s="11">
        <f t="array" ref="W407">XLOOKUP(A:A,'Raw Revenue'!C:C,'Raw Revenue'!D:D,0)</f>
        <v>0</v>
      </c>
      <c r="X407" s="11">
        <f t="array" ref="X407">XLOOKUP(A:A,'Raw Revenue'!E:E,'Raw Revenue'!F:F,0)</f>
        <v>0</v>
      </c>
      <c r="Y407" s="11">
        <f t="array" ref="Y407">XLOOKUP(A:A,'Raw Revenue'!G:G,'Raw Revenue'!H:H,0)</f>
        <v>0</v>
      </c>
      <c r="Z407" s="11">
        <f t="array" ref="Z407">XLOOKUP(A:A,'Raw Revenue'!I:I,'Raw Revenue'!J:J,0)</f>
        <v>0</v>
      </c>
      <c r="AA407" s="11">
        <f t="array" ref="AA407">XLOOKUP(A:A,'Raw Revenue'!K:K,'Raw Revenue'!L:L,0)</f>
        <v>0</v>
      </c>
      <c r="AB407" s="11">
        <f t="array" ref="AB407">XLOOKUP(A:A,'Raw Revenue'!M:M,'Raw Revenue'!N:N,0)</f>
        <v>0</v>
      </c>
      <c r="AC407" s="3">
        <v>0.0</v>
      </c>
      <c r="AD407" s="3">
        <v>0.0</v>
      </c>
      <c r="AE407" s="3">
        <v>0.0</v>
      </c>
      <c r="AF407" s="3">
        <v>0.0</v>
      </c>
      <c r="AG407" s="3">
        <v>0.0</v>
      </c>
    </row>
    <row r="408">
      <c r="A408" s="3" t="s">
        <v>1091</v>
      </c>
      <c r="B408" s="3" t="s">
        <v>1092</v>
      </c>
      <c r="C408" s="3" t="str">
        <f t="shared" si="1"/>
        <v>PT. Global Niaga Abadi</v>
      </c>
      <c r="D408" s="3" t="s">
        <v>195</v>
      </c>
      <c r="E408" s="3" t="s">
        <v>104</v>
      </c>
      <c r="F408" s="3" t="s">
        <v>105</v>
      </c>
      <c r="G408" s="3" t="s">
        <v>35</v>
      </c>
      <c r="H408" s="3" t="str">
        <f t="array" ref="H408">XLOOKUP(G:G,'Account Manager Data'!A:A,'Account Manager Data'!B:B,0)</f>
        <v>Ahmad Fauzi</v>
      </c>
      <c r="I408" s="11" t="str">
        <f t="array" ref="I408">XLOOKUP($G:$G,'Account Manager Data'!$A:$A,'Account Manager Data'!C:C)</f>
        <v>Sumatera</v>
      </c>
      <c r="J408" s="17">
        <v>3610985.0</v>
      </c>
      <c r="K408" s="17">
        <v>6550554.0</v>
      </c>
      <c r="L408" s="17">
        <v>4558912.0</v>
      </c>
      <c r="M408" s="17">
        <v>1554695.0</v>
      </c>
      <c r="N408" s="17">
        <v>1.1689898E7</v>
      </c>
      <c r="O408" s="17">
        <v>5029449.0</v>
      </c>
      <c r="P408" s="17">
        <v>9508653.0</v>
      </c>
      <c r="Q408" s="17">
        <v>1.3168181E7</v>
      </c>
      <c r="R408" s="17">
        <v>7380380.0</v>
      </c>
      <c r="S408" s="17">
        <v>6224800.0</v>
      </c>
      <c r="T408" s="17">
        <v>6720202.0</v>
      </c>
      <c r="U408" s="17">
        <v>1.2605057E7</v>
      </c>
      <c r="V408" s="11">
        <f t="array" ref="V408">XLOOKUP(A:A,'Raw Revenue'!A:A,'Raw Revenue'!B:B,0)
</f>
        <v>0</v>
      </c>
      <c r="W408" s="11">
        <f t="array" ref="W408">XLOOKUP(A:A,'Raw Revenue'!C:C,'Raw Revenue'!D:D,0)</f>
        <v>0</v>
      </c>
      <c r="X408" s="11">
        <f t="array" ref="X408">XLOOKUP(A:A,'Raw Revenue'!E:E,'Raw Revenue'!F:F,0)</f>
        <v>0</v>
      </c>
      <c r="Y408" s="11">
        <f t="array" ref="Y408">XLOOKUP(A:A,'Raw Revenue'!G:G,'Raw Revenue'!H:H,0)</f>
        <v>0</v>
      </c>
      <c r="Z408" s="11">
        <f t="array" ref="Z408">XLOOKUP(A:A,'Raw Revenue'!I:I,'Raw Revenue'!J:J,0)</f>
        <v>0</v>
      </c>
      <c r="AA408" s="11">
        <f t="array" ref="AA408">XLOOKUP(A:A,'Raw Revenue'!K:K,'Raw Revenue'!L:L,0)</f>
        <v>0</v>
      </c>
      <c r="AB408" s="11">
        <f t="array" ref="AB408">XLOOKUP(A:A,'Raw Revenue'!M:M,'Raw Revenue'!N:N,0)</f>
        <v>0</v>
      </c>
      <c r="AC408" s="3">
        <v>0.0</v>
      </c>
      <c r="AD408" s="3">
        <v>0.0</v>
      </c>
      <c r="AE408" s="3">
        <v>0.0</v>
      </c>
      <c r="AF408" s="3">
        <v>0.0</v>
      </c>
      <c r="AG408" s="3">
        <v>0.0</v>
      </c>
    </row>
    <row r="409">
      <c r="A409" s="3" t="s">
        <v>1093</v>
      </c>
      <c r="B409" s="3" t="s">
        <v>1094</v>
      </c>
      <c r="C409" s="3" t="str">
        <f t="shared" si="1"/>
        <v>PT. Indo Makmur Sentosa</v>
      </c>
      <c r="D409" s="3" t="s">
        <v>84</v>
      </c>
      <c r="E409" s="3" t="s">
        <v>187</v>
      </c>
      <c r="F409" s="3" t="s">
        <v>295</v>
      </c>
      <c r="G409" s="3" t="s">
        <v>74</v>
      </c>
      <c r="H409" s="3" t="str">
        <f t="array" ref="H409">XLOOKUP(G:G,'Account Manager Data'!A:A,'Account Manager Data'!B:B,0)</f>
        <v>Budi Santoso</v>
      </c>
      <c r="I409" s="11" t="str">
        <f t="array" ref="I409">XLOOKUP($G:$G,'Account Manager Data'!$A:$A,'Account Manager Data'!C:C)</f>
        <v>Papua</v>
      </c>
      <c r="J409" s="17">
        <v>7322696.0</v>
      </c>
      <c r="K409" s="17">
        <v>267889.0</v>
      </c>
      <c r="L409" s="17">
        <v>6807432.0</v>
      </c>
      <c r="M409" s="17">
        <v>1.0975964E7</v>
      </c>
      <c r="N409" s="17">
        <v>5921347.0</v>
      </c>
      <c r="O409" s="17">
        <v>9211756.0</v>
      </c>
      <c r="P409" s="17">
        <v>1.0439469E7</v>
      </c>
      <c r="Q409" s="17">
        <v>1.3291015E7</v>
      </c>
      <c r="R409" s="17">
        <v>359233.0</v>
      </c>
      <c r="S409" s="17">
        <v>1.6395748E7</v>
      </c>
      <c r="T409" s="17">
        <v>1213562.0</v>
      </c>
      <c r="U409" s="17">
        <v>2011405.0</v>
      </c>
      <c r="V409" s="11">
        <f t="array" ref="V409">XLOOKUP(A:A,'Raw Revenue'!A:A,'Raw Revenue'!B:B,0)
</f>
        <v>0</v>
      </c>
      <c r="W409" s="11">
        <f t="array" ref="W409">XLOOKUP(A:A,'Raw Revenue'!C:C,'Raw Revenue'!D:D,0)</f>
        <v>0</v>
      </c>
      <c r="X409" s="11">
        <f t="array" ref="X409">XLOOKUP(A:A,'Raw Revenue'!E:E,'Raw Revenue'!F:F,0)</f>
        <v>0</v>
      </c>
      <c r="Y409" s="11">
        <f t="array" ref="Y409">XLOOKUP(A:A,'Raw Revenue'!G:G,'Raw Revenue'!H:H,0)</f>
        <v>0</v>
      </c>
      <c r="Z409" s="11">
        <f t="array" ref="Z409">XLOOKUP(A:A,'Raw Revenue'!I:I,'Raw Revenue'!J:J,0)</f>
        <v>0</v>
      </c>
      <c r="AA409" s="11">
        <f t="array" ref="AA409">XLOOKUP(A:A,'Raw Revenue'!K:K,'Raw Revenue'!L:L,0)</f>
        <v>0</v>
      </c>
      <c r="AB409" s="11">
        <f t="array" ref="AB409">XLOOKUP(A:A,'Raw Revenue'!M:M,'Raw Revenue'!N:N,0)</f>
        <v>0</v>
      </c>
      <c r="AC409" s="3">
        <v>0.0</v>
      </c>
      <c r="AD409" s="3">
        <v>0.0</v>
      </c>
      <c r="AE409" s="3">
        <v>0.0</v>
      </c>
      <c r="AF409" s="3">
        <v>0.0</v>
      </c>
      <c r="AG409" s="3">
        <v>0.0</v>
      </c>
    </row>
    <row r="410">
      <c r="A410" s="3" t="s">
        <v>1095</v>
      </c>
      <c r="B410" s="3" t="s">
        <v>1096</v>
      </c>
      <c r="C410" s="3" t="str">
        <f t="shared" si="1"/>
        <v>PT. Citra Mandiri Utama</v>
      </c>
      <c r="D410" s="3" t="s">
        <v>186</v>
      </c>
      <c r="E410" s="3" t="s">
        <v>196</v>
      </c>
      <c r="F410" s="3" t="s">
        <v>260</v>
      </c>
      <c r="G410" s="3" t="s">
        <v>43</v>
      </c>
      <c r="H410" s="3" t="str">
        <f t="array" ref="H410">XLOOKUP(G:G,'Account Manager Data'!A:A,'Account Manager Data'!B:B,0)</f>
        <v>Eko Prasetyo</v>
      </c>
      <c r="I410" s="11" t="str">
        <f t="array" ref="I410">XLOOKUP($G:$G,'Account Manager Data'!$A:$A,'Account Manager Data'!C:C)</f>
        <v>Papua</v>
      </c>
      <c r="J410" s="17">
        <v>5935570.0</v>
      </c>
      <c r="K410" s="17">
        <v>1361554.0</v>
      </c>
      <c r="L410" s="17">
        <v>1872691.0</v>
      </c>
      <c r="M410" s="17">
        <v>1.0429061E7</v>
      </c>
      <c r="N410" s="17">
        <v>6620220.0</v>
      </c>
      <c r="O410" s="17">
        <v>6087079.0</v>
      </c>
      <c r="P410" s="17">
        <v>1.1152582E7</v>
      </c>
      <c r="Q410" s="17">
        <v>4234400.0</v>
      </c>
      <c r="R410" s="17">
        <v>1.505941E7</v>
      </c>
      <c r="S410" s="17">
        <v>1.3824423E7</v>
      </c>
      <c r="T410" s="17">
        <v>1.1149576E7</v>
      </c>
      <c r="U410" s="17">
        <v>0.0</v>
      </c>
      <c r="V410" s="11">
        <f t="array" ref="V410">XLOOKUP(A:A,'Raw Revenue'!A:A,'Raw Revenue'!B:B,0)
</f>
        <v>0</v>
      </c>
      <c r="W410" s="11">
        <f t="array" ref="W410">XLOOKUP(A:A,'Raw Revenue'!C:C,'Raw Revenue'!D:D,0)</f>
        <v>0</v>
      </c>
      <c r="X410" s="11">
        <f t="array" ref="X410">XLOOKUP(A:A,'Raw Revenue'!E:E,'Raw Revenue'!F:F,0)</f>
        <v>0</v>
      </c>
      <c r="Y410" s="11">
        <f t="array" ref="Y410">XLOOKUP(A:A,'Raw Revenue'!G:G,'Raw Revenue'!H:H,0)</f>
        <v>0</v>
      </c>
      <c r="Z410" s="11">
        <f t="array" ref="Z410">XLOOKUP(A:A,'Raw Revenue'!I:I,'Raw Revenue'!J:J,0)</f>
        <v>0</v>
      </c>
      <c r="AA410" s="11">
        <f t="array" ref="AA410">XLOOKUP(A:A,'Raw Revenue'!K:K,'Raw Revenue'!L:L,0)</f>
        <v>0</v>
      </c>
      <c r="AB410" s="11">
        <f t="array" ref="AB410">XLOOKUP(A:A,'Raw Revenue'!M:M,'Raw Revenue'!N:N,0)</f>
        <v>0</v>
      </c>
      <c r="AC410" s="3">
        <v>0.0</v>
      </c>
      <c r="AD410" s="3">
        <v>0.0</v>
      </c>
      <c r="AE410" s="3">
        <v>0.0</v>
      </c>
      <c r="AF410" s="3">
        <v>0.0</v>
      </c>
      <c r="AG410" s="3">
        <v>0.0</v>
      </c>
    </row>
    <row r="411">
      <c r="A411" s="3" t="s">
        <v>1097</v>
      </c>
      <c r="B411" s="3" t="s">
        <v>1098</v>
      </c>
      <c r="C411" s="3" t="str">
        <f t="shared" si="1"/>
        <v>PT. Sinar Dunia Baru</v>
      </c>
      <c r="D411" s="3" t="s">
        <v>214</v>
      </c>
      <c r="E411" s="3" t="s">
        <v>104</v>
      </c>
      <c r="F411" s="3" t="s">
        <v>134</v>
      </c>
      <c r="G411" s="3" t="s">
        <v>76</v>
      </c>
      <c r="H411" s="3" t="str">
        <f t="array" ref="H411">XLOOKUP(G:G,'Account Manager Data'!A:A,'Account Manager Data'!B:B,0)</f>
        <v>Teguh Wijaya</v>
      </c>
      <c r="I411" s="11" t="str">
        <f t="array" ref="I411">XLOOKUP($G:$G,'Account Manager Data'!$A:$A,'Account Manager Data'!C:C)</f>
        <v>Sulawesi</v>
      </c>
      <c r="J411" s="17">
        <v>3706179.0</v>
      </c>
      <c r="K411" s="17">
        <v>1964899.0</v>
      </c>
      <c r="L411" s="17">
        <v>1771777.0</v>
      </c>
      <c r="M411" s="17">
        <v>4024049.0</v>
      </c>
      <c r="N411" s="17">
        <v>6047036.0</v>
      </c>
      <c r="O411" s="17">
        <v>3705861.0</v>
      </c>
      <c r="P411" s="17">
        <v>5619482.0</v>
      </c>
      <c r="Q411" s="17">
        <v>7911932.0</v>
      </c>
      <c r="R411" s="17">
        <v>7307922.0</v>
      </c>
      <c r="S411" s="17">
        <v>3939044.0</v>
      </c>
      <c r="T411" s="17">
        <v>1.7508225E7</v>
      </c>
      <c r="U411" s="17">
        <v>4944511.0</v>
      </c>
      <c r="V411" s="11">
        <f t="array" ref="V411">XLOOKUP(A:A,'Raw Revenue'!A:A,'Raw Revenue'!B:B,0)
</f>
        <v>0</v>
      </c>
      <c r="W411" s="11">
        <f t="array" ref="W411">XLOOKUP(A:A,'Raw Revenue'!C:C,'Raw Revenue'!D:D,0)</f>
        <v>0</v>
      </c>
      <c r="X411" s="11">
        <f t="array" ref="X411">XLOOKUP(A:A,'Raw Revenue'!E:E,'Raw Revenue'!F:F,0)</f>
        <v>0</v>
      </c>
      <c r="Y411" s="11">
        <f t="array" ref="Y411">XLOOKUP(A:A,'Raw Revenue'!G:G,'Raw Revenue'!H:H,0)</f>
        <v>0</v>
      </c>
      <c r="Z411" s="11">
        <f t="array" ref="Z411">XLOOKUP(A:A,'Raw Revenue'!I:I,'Raw Revenue'!J:J,0)</f>
        <v>0</v>
      </c>
      <c r="AA411" s="11">
        <f t="array" ref="AA411">XLOOKUP(A:A,'Raw Revenue'!K:K,'Raw Revenue'!L:L,0)</f>
        <v>0</v>
      </c>
      <c r="AB411" s="11">
        <f t="array" ref="AB411">XLOOKUP(A:A,'Raw Revenue'!M:M,'Raw Revenue'!N:N,0)</f>
        <v>0</v>
      </c>
      <c r="AC411" s="3">
        <v>0.0</v>
      </c>
      <c r="AD411" s="3">
        <v>0.0</v>
      </c>
      <c r="AE411" s="3">
        <v>0.0</v>
      </c>
      <c r="AF411" s="3">
        <v>0.0</v>
      </c>
      <c r="AG411" s="3">
        <v>0.0</v>
      </c>
    </row>
    <row r="412">
      <c r="A412" s="3" t="s">
        <v>1099</v>
      </c>
      <c r="B412" s="3" t="s">
        <v>1100</v>
      </c>
      <c r="C412" s="3" t="str">
        <f t="shared" si="1"/>
        <v>CV. Karya Utama Mandiri</v>
      </c>
      <c r="D412" s="3" t="s">
        <v>130</v>
      </c>
      <c r="E412" s="3" t="s">
        <v>215</v>
      </c>
      <c r="F412" s="3" t="s">
        <v>216</v>
      </c>
      <c r="G412" s="3" t="s">
        <v>70</v>
      </c>
      <c r="H412" s="3" t="str">
        <f t="array" ref="H412">XLOOKUP(G:G,'Account Manager Data'!A:A,'Account Manager Data'!B:B,0)</f>
        <v>Yusuf Hidayat</v>
      </c>
      <c r="I412" s="11" t="str">
        <f t="array" ref="I412">XLOOKUP($G:$G,'Account Manager Data'!$A:$A,'Account Manager Data'!C:C)</f>
        <v>Sumatera</v>
      </c>
      <c r="J412" s="17">
        <v>2257006.0</v>
      </c>
      <c r="K412" s="17">
        <v>478945.0</v>
      </c>
      <c r="L412" s="17">
        <v>5879325.0</v>
      </c>
      <c r="M412" s="17">
        <v>463710.0</v>
      </c>
      <c r="N412" s="17">
        <v>1.3784381E7</v>
      </c>
      <c r="O412" s="17">
        <v>476009.0</v>
      </c>
      <c r="P412" s="17">
        <v>1.0224475E7</v>
      </c>
      <c r="Q412" s="17">
        <v>9135509.0</v>
      </c>
      <c r="R412" s="17">
        <v>3503022.0</v>
      </c>
      <c r="S412" s="17">
        <v>6071625.0</v>
      </c>
      <c r="T412" s="17">
        <v>1.3097557E7</v>
      </c>
      <c r="U412" s="17">
        <v>957743.0</v>
      </c>
      <c r="V412" s="11">
        <f t="array" ref="V412">XLOOKUP(A:A,'Raw Revenue'!A:A,'Raw Revenue'!B:B,0)
</f>
        <v>0</v>
      </c>
      <c r="W412" s="11">
        <f t="array" ref="W412">XLOOKUP(A:A,'Raw Revenue'!C:C,'Raw Revenue'!D:D,0)</f>
        <v>0</v>
      </c>
      <c r="X412" s="11">
        <f t="array" ref="X412">XLOOKUP(A:A,'Raw Revenue'!E:E,'Raw Revenue'!F:F,0)</f>
        <v>0</v>
      </c>
      <c r="Y412" s="11">
        <f t="array" ref="Y412">XLOOKUP(A:A,'Raw Revenue'!G:G,'Raw Revenue'!H:H,0)</f>
        <v>0</v>
      </c>
      <c r="Z412" s="11">
        <f t="array" ref="Z412">XLOOKUP(A:A,'Raw Revenue'!I:I,'Raw Revenue'!J:J,0)</f>
        <v>0</v>
      </c>
      <c r="AA412" s="11">
        <f t="array" ref="AA412">XLOOKUP(A:A,'Raw Revenue'!K:K,'Raw Revenue'!L:L,0)</f>
        <v>0</v>
      </c>
      <c r="AB412" s="11">
        <f t="array" ref="AB412">XLOOKUP(A:A,'Raw Revenue'!M:M,'Raw Revenue'!N:N,0)</f>
        <v>0</v>
      </c>
      <c r="AC412" s="3">
        <v>0.0</v>
      </c>
      <c r="AD412" s="3">
        <v>0.0</v>
      </c>
      <c r="AE412" s="3">
        <v>0.0</v>
      </c>
      <c r="AF412" s="3">
        <v>0.0</v>
      </c>
      <c r="AG412" s="3">
        <v>0.0</v>
      </c>
    </row>
    <row r="413">
      <c r="A413" s="3" t="s">
        <v>1101</v>
      </c>
      <c r="B413" s="3" t="s">
        <v>1102</v>
      </c>
      <c r="C413" s="3" t="str">
        <f t="shared" si="1"/>
        <v>PT. Pratama Jaya Sentosa</v>
      </c>
      <c r="D413" s="3" t="s">
        <v>186</v>
      </c>
      <c r="E413" s="3" t="s">
        <v>85</v>
      </c>
      <c r="F413" s="3" t="s">
        <v>86</v>
      </c>
      <c r="G413" s="3" t="s">
        <v>15</v>
      </c>
      <c r="H413" s="3" t="str">
        <f t="array" ref="H413">XLOOKUP(G:G,'Account Manager Data'!A:A,'Account Manager Data'!B:B,0)</f>
        <v>Rizky Maulana</v>
      </c>
      <c r="I413" s="11" t="str">
        <f t="array" ref="I413">XLOOKUP($G:$G,'Account Manager Data'!$A:$A,'Account Manager Data'!C:C)</f>
        <v>Jawa</v>
      </c>
      <c r="J413" s="17">
        <v>7842360.0</v>
      </c>
      <c r="K413" s="17">
        <v>6207089.0</v>
      </c>
      <c r="L413" s="17">
        <v>9795784.0</v>
      </c>
      <c r="M413" s="17">
        <v>598978.0</v>
      </c>
      <c r="N413" s="17">
        <v>5917892.0</v>
      </c>
      <c r="O413" s="17">
        <v>1.1652679E7</v>
      </c>
      <c r="P413" s="17">
        <v>2016935.0</v>
      </c>
      <c r="Q413" s="17">
        <v>7805388.0</v>
      </c>
      <c r="R413" s="17">
        <v>5868597.0</v>
      </c>
      <c r="S413" s="17">
        <v>1.3605362E7</v>
      </c>
      <c r="T413" s="17">
        <v>1.2953362E7</v>
      </c>
      <c r="U413" s="17">
        <v>9014659.0</v>
      </c>
      <c r="V413" s="11">
        <f t="array" ref="V413">XLOOKUP(A:A,'Raw Revenue'!A:A,'Raw Revenue'!B:B,0)
</f>
        <v>0</v>
      </c>
      <c r="W413" s="11">
        <f t="array" ref="W413">XLOOKUP(A:A,'Raw Revenue'!C:C,'Raw Revenue'!D:D,0)</f>
        <v>0</v>
      </c>
      <c r="X413" s="11">
        <f t="array" ref="X413">XLOOKUP(A:A,'Raw Revenue'!E:E,'Raw Revenue'!F:F,0)</f>
        <v>0</v>
      </c>
      <c r="Y413" s="11">
        <f t="array" ref="Y413">XLOOKUP(A:A,'Raw Revenue'!G:G,'Raw Revenue'!H:H,0)</f>
        <v>0</v>
      </c>
      <c r="Z413" s="11">
        <f t="array" ref="Z413">XLOOKUP(A:A,'Raw Revenue'!I:I,'Raw Revenue'!J:J,0)</f>
        <v>0</v>
      </c>
      <c r="AA413" s="11">
        <f t="array" ref="AA413">XLOOKUP(A:A,'Raw Revenue'!K:K,'Raw Revenue'!L:L,0)</f>
        <v>0</v>
      </c>
      <c r="AB413" s="11">
        <f t="array" ref="AB413">XLOOKUP(A:A,'Raw Revenue'!M:M,'Raw Revenue'!N:N,0)</f>
        <v>0</v>
      </c>
      <c r="AC413" s="3">
        <v>0.0</v>
      </c>
      <c r="AD413" s="3">
        <v>0.0</v>
      </c>
      <c r="AE413" s="3">
        <v>0.0</v>
      </c>
      <c r="AF413" s="3">
        <v>0.0</v>
      </c>
      <c r="AG413" s="3">
        <v>0.0</v>
      </c>
    </row>
    <row r="414">
      <c r="A414" s="3" t="s">
        <v>1103</v>
      </c>
      <c r="B414" s="3" t="s">
        <v>1104</v>
      </c>
      <c r="C414" s="3" t="str">
        <f t="shared" si="1"/>
        <v>PT. Abadi Selamanya Jaya</v>
      </c>
      <c r="D414" s="3" t="s">
        <v>186</v>
      </c>
      <c r="E414" s="3" t="s">
        <v>187</v>
      </c>
      <c r="F414" s="3" t="s">
        <v>295</v>
      </c>
      <c r="G414" s="3" t="s">
        <v>53</v>
      </c>
      <c r="H414" s="3" t="str">
        <f t="array" ref="H414">XLOOKUP(G:G,'Account Manager Data'!A:A,'Account Manager Data'!B:B,0)</f>
        <v>Fajar Ramadhan</v>
      </c>
      <c r="I414" s="11" t="str">
        <f t="array" ref="I414">XLOOKUP($G:$G,'Account Manager Data'!$A:$A,'Account Manager Data'!C:C)</f>
        <v>Sulawesi</v>
      </c>
      <c r="J414" s="17">
        <v>5301539.0</v>
      </c>
      <c r="K414" s="17">
        <v>3030494.0</v>
      </c>
      <c r="L414" s="17">
        <v>9657976.0</v>
      </c>
      <c r="M414" s="17">
        <v>3711490.0</v>
      </c>
      <c r="N414" s="17">
        <v>1574816.0</v>
      </c>
      <c r="O414" s="17">
        <v>1.115043E7</v>
      </c>
      <c r="P414" s="17">
        <v>1.5171643E7</v>
      </c>
      <c r="Q414" s="17">
        <v>1931651.0</v>
      </c>
      <c r="R414" s="17">
        <v>144997.0</v>
      </c>
      <c r="S414" s="17">
        <v>2314569.0</v>
      </c>
      <c r="T414" s="17">
        <v>2433266.0</v>
      </c>
      <c r="U414" s="17">
        <v>762062.0</v>
      </c>
      <c r="V414" s="11">
        <f t="array" ref="V414">XLOOKUP(A:A,'Raw Revenue'!A:A,'Raw Revenue'!B:B,0)
</f>
        <v>0</v>
      </c>
      <c r="W414" s="11">
        <f t="array" ref="W414">XLOOKUP(A:A,'Raw Revenue'!C:C,'Raw Revenue'!D:D,0)</f>
        <v>0</v>
      </c>
      <c r="X414" s="11">
        <f t="array" ref="X414">XLOOKUP(A:A,'Raw Revenue'!E:E,'Raw Revenue'!F:F,0)</f>
        <v>0</v>
      </c>
      <c r="Y414" s="11">
        <f t="array" ref="Y414">XLOOKUP(A:A,'Raw Revenue'!G:G,'Raw Revenue'!H:H,0)</f>
        <v>0</v>
      </c>
      <c r="Z414" s="11">
        <f t="array" ref="Z414">XLOOKUP(A:A,'Raw Revenue'!I:I,'Raw Revenue'!J:J,0)</f>
        <v>0</v>
      </c>
      <c r="AA414" s="11">
        <f t="array" ref="AA414">XLOOKUP(A:A,'Raw Revenue'!K:K,'Raw Revenue'!L:L,0)</f>
        <v>0</v>
      </c>
      <c r="AB414" s="11">
        <f t="array" ref="AB414">XLOOKUP(A:A,'Raw Revenue'!M:M,'Raw Revenue'!N:N,0)</f>
        <v>0</v>
      </c>
      <c r="AC414" s="3">
        <v>0.0</v>
      </c>
      <c r="AD414" s="3">
        <v>0.0</v>
      </c>
      <c r="AE414" s="3">
        <v>0.0</v>
      </c>
      <c r="AF414" s="3">
        <v>0.0</v>
      </c>
      <c r="AG414" s="3">
        <v>0.0</v>
      </c>
    </row>
    <row r="415">
      <c r="A415" s="3" t="s">
        <v>1105</v>
      </c>
      <c r="B415" s="3" t="s">
        <v>1106</v>
      </c>
      <c r="C415" s="3" t="str">
        <f t="shared" si="1"/>
        <v>PT. Mandiri Sejahtera Bersama</v>
      </c>
      <c r="D415" s="3" t="s">
        <v>84</v>
      </c>
      <c r="E415" s="3" t="s">
        <v>104</v>
      </c>
      <c r="F415" s="3" t="s">
        <v>134</v>
      </c>
      <c r="G415" s="3" t="s">
        <v>27</v>
      </c>
      <c r="H415" s="3" t="str">
        <f t="array" ref="H415">XLOOKUP(G:G,'Account Manager Data'!A:A,'Account Manager Data'!B:B,0)</f>
        <v>Dedi Kurniawan</v>
      </c>
      <c r="I415" s="11" t="str">
        <f t="array" ref="I415">XLOOKUP($G:$G,'Account Manager Data'!$A:$A,'Account Manager Data'!C:C)</f>
        <v>Kalimantan</v>
      </c>
      <c r="J415" s="17">
        <v>0.0</v>
      </c>
      <c r="K415" s="17">
        <v>7591637.0</v>
      </c>
      <c r="L415" s="17">
        <v>7577271.0</v>
      </c>
      <c r="M415" s="17">
        <v>7321133.0</v>
      </c>
      <c r="N415" s="17">
        <v>1.0381997E7</v>
      </c>
      <c r="O415" s="17">
        <v>4207620.0</v>
      </c>
      <c r="P415" s="17">
        <v>1.1881233E7</v>
      </c>
      <c r="Q415" s="17">
        <v>9055360.0</v>
      </c>
      <c r="R415" s="17">
        <v>6324270.0</v>
      </c>
      <c r="S415" s="17">
        <v>0.0</v>
      </c>
      <c r="T415" s="17">
        <v>966916.0</v>
      </c>
      <c r="U415" s="17">
        <v>1.8299373E7</v>
      </c>
      <c r="V415" s="11">
        <f t="array" ref="V415">XLOOKUP(A:A,'Raw Revenue'!A:A,'Raw Revenue'!B:B,0)
</f>
        <v>0</v>
      </c>
      <c r="W415" s="11">
        <f t="array" ref="W415">XLOOKUP(A:A,'Raw Revenue'!C:C,'Raw Revenue'!D:D,0)</f>
        <v>0</v>
      </c>
      <c r="X415" s="11">
        <f t="array" ref="X415">XLOOKUP(A:A,'Raw Revenue'!E:E,'Raw Revenue'!F:F,0)</f>
        <v>0</v>
      </c>
      <c r="Y415" s="11">
        <f t="array" ref="Y415">XLOOKUP(A:A,'Raw Revenue'!G:G,'Raw Revenue'!H:H,0)</f>
        <v>0</v>
      </c>
      <c r="Z415" s="11">
        <f t="array" ref="Z415">XLOOKUP(A:A,'Raw Revenue'!I:I,'Raw Revenue'!J:J,0)</f>
        <v>0</v>
      </c>
      <c r="AA415" s="11">
        <f t="array" ref="AA415">XLOOKUP(A:A,'Raw Revenue'!K:K,'Raw Revenue'!L:L,0)</f>
        <v>0</v>
      </c>
      <c r="AB415" s="11">
        <f t="array" ref="AB415">XLOOKUP(A:A,'Raw Revenue'!M:M,'Raw Revenue'!N:N,0)</f>
        <v>0</v>
      </c>
      <c r="AC415" s="3">
        <v>0.0</v>
      </c>
      <c r="AD415" s="3">
        <v>0.0</v>
      </c>
      <c r="AE415" s="3">
        <v>0.0</v>
      </c>
      <c r="AF415" s="3">
        <v>0.0</v>
      </c>
      <c r="AG415" s="3">
        <v>0.0</v>
      </c>
    </row>
    <row r="416">
      <c r="A416" s="3" t="s">
        <v>1107</v>
      </c>
      <c r="B416" s="3" t="s">
        <v>1108</v>
      </c>
      <c r="C416" s="3" t="str">
        <f t="shared" si="1"/>
        <v>PT. Sejahtera Alam Indonesia</v>
      </c>
      <c r="D416" s="3" t="s">
        <v>84</v>
      </c>
      <c r="E416" s="3" t="s">
        <v>196</v>
      </c>
      <c r="F416" s="3" t="s">
        <v>197</v>
      </c>
      <c r="G416" s="3" t="s">
        <v>78</v>
      </c>
      <c r="H416" s="3" t="str">
        <f t="array" ref="H416">XLOOKUP(G:G,'Account Manager Data'!A:A,'Account Manager Data'!B:B,0)</f>
        <v>Ilham Saputra</v>
      </c>
      <c r="I416" s="11" t="str">
        <f t="array" ref="I416">XLOOKUP($G:$G,'Account Manager Data'!$A:$A,'Account Manager Data'!C:C)</f>
        <v>Jawa</v>
      </c>
      <c r="J416" s="17">
        <v>994129.0</v>
      </c>
      <c r="K416" s="17">
        <v>2738166.0</v>
      </c>
      <c r="L416" s="17">
        <v>3139295.0</v>
      </c>
      <c r="M416" s="17">
        <v>9849195.0</v>
      </c>
      <c r="N416" s="17">
        <v>9714307.0</v>
      </c>
      <c r="O416" s="17">
        <v>143958.0</v>
      </c>
      <c r="P416" s="17">
        <v>1.4377134E7</v>
      </c>
      <c r="Q416" s="17">
        <v>3117588.0</v>
      </c>
      <c r="R416" s="17">
        <v>5741310.0</v>
      </c>
      <c r="S416" s="17">
        <v>4296454.0</v>
      </c>
      <c r="T416" s="17">
        <v>6461246.0</v>
      </c>
      <c r="U416" s="17">
        <v>1.5942766E7</v>
      </c>
      <c r="V416" s="11">
        <f t="array" ref="V416">XLOOKUP(A:A,'Raw Revenue'!A:A,'Raw Revenue'!B:B,0)
</f>
        <v>0</v>
      </c>
      <c r="W416" s="11">
        <f t="array" ref="W416">XLOOKUP(A:A,'Raw Revenue'!C:C,'Raw Revenue'!D:D,0)</f>
        <v>0</v>
      </c>
      <c r="X416" s="11">
        <f t="array" ref="X416">XLOOKUP(A:A,'Raw Revenue'!E:E,'Raw Revenue'!F:F,0)</f>
        <v>0</v>
      </c>
      <c r="Y416" s="11">
        <f t="array" ref="Y416">XLOOKUP(A:A,'Raw Revenue'!G:G,'Raw Revenue'!H:H,0)</f>
        <v>0</v>
      </c>
      <c r="Z416" s="11">
        <f t="array" ref="Z416">XLOOKUP(A:A,'Raw Revenue'!I:I,'Raw Revenue'!J:J,0)</f>
        <v>0</v>
      </c>
      <c r="AA416" s="11">
        <f t="array" ref="AA416">XLOOKUP(A:A,'Raw Revenue'!K:K,'Raw Revenue'!L:L,0)</f>
        <v>0</v>
      </c>
      <c r="AB416" s="11">
        <f t="array" ref="AB416">XLOOKUP(A:A,'Raw Revenue'!M:M,'Raw Revenue'!N:N,0)</f>
        <v>0</v>
      </c>
      <c r="AC416" s="3">
        <v>0.0</v>
      </c>
      <c r="AD416" s="3">
        <v>0.0</v>
      </c>
      <c r="AE416" s="3">
        <v>0.0</v>
      </c>
      <c r="AF416" s="3">
        <v>0.0</v>
      </c>
      <c r="AG416" s="3">
        <v>0.0</v>
      </c>
    </row>
    <row r="417">
      <c r="A417" s="3" t="s">
        <v>1109</v>
      </c>
      <c r="B417" s="3" t="s">
        <v>1110</v>
      </c>
      <c r="C417" s="3" t="str">
        <f t="shared" si="1"/>
        <v>PT. Indah Kargo Logistik</v>
      </c>
      <c r="D417" s="3" t="s">
        <v>186</v>
      </c>
      <c r="E417" s="3" t="s">
        <v>196</v>
      </c>
      <c r="F417" s="3" t="s">
        <v>197</v>
      </c>
      <c r="G417" s="3" t="s">
        <v>63</v>
      </c>
      <c r="H417" s="3" t="str">
        <f t="array" ref="H417">XLOOKUP(G:G,'Account Manager Data'!A:A,'Account Manager Data'!B:B,0)</f>
        <v>Hendra Gunawan</v>
      </c>
      <c r="I417" s="11" t="str">
        <f t="array" ref="I417">XLOOKUP($G:$G,'Account Manager Data'!$A:$A,'Account Manager Data'!C:C)</f>
        <v>Kalimantan</v>
      </c>
      <c r="J417" s="17">
        <v>5048232.0</v>
      </c>
      <c r="K417" s="17">
        <v>6707554.0</v>
      </c>
      <c r="L417" s="17">
        <v>9744519.0</v>
      </c>
      <c r="M417" s="17">
        <v>0.0</v>
      </c>
      <c r="N417" s="17">
        <v>1095506.0</v>
      </c>
      <c r="O417" s="17">
        <v>4070431.0</v>
      </c>
      <c r="P417" s="17">
        <v>1.0301713E7</v>
      </c>
      <c r="Q417" s="17">
        <v>1.1939556E7</v>
      </c>
      <c r="R417" s="17">
        <v>0.0</v>
      </c>
      <c r="S417" s="17">
        <v>1.1125788E7</v>
      </c>
      <c r="T417" s="17">
        <v>7687141.0</v>
      </c>
      <c r="U417" s="17">
        <v>1.4616637E7</v>
      </c>
      <c r="V417" s="11">
        <f t="array" ref="V417">XLOOKUP(A:A,'Raw Revenue'!A:A,'Raw Revenue'!B:B,0)
</f>
        <v>0</v>
      </c>
      <c r="W417" s="11">
        <f t="array" ref="W417">XLOOKUP(A:A,'Raw Revenue'!C:C,'Raw Revenue'!D:D,0)</f>
        <v>0</v>
      </c>
      <c r="X417" s="11">
        <f t="array" ref="X417">XLOOKUP(A:A,'Raw Revenue'!E:E,'Raw Revenue'!F:F,0)</f>
        <v>0</v>
      </c>
      <c r="Y417" s="11">
        <f t="array" ref="Y417">XLOOKUP(A:A,'Raw Revenue'!G:G,'Raw Revenue'!H:H,0)</f>
        <v>0</v>
      </c>
      <c r="Z417" s="11">
        <f t="array" ref="Z417">XLOOKUP(A:A,'Raw Revenue'!I:I,'Raw Revenue'!J:J,0)</f>
        <v>0</v>
      </c>
      <c r="AA417" s="11">
        <f t="array" ref="AA417">XLOOKUP(A:A,'Raw Revenue'!K:K,'Raw Revenue'!L:L,0)</f>
        <v>0</v>
      </c>
      <c r="AB417" s="11">
        <f t="array" ref="AB417">XLOOKUP(A:A,'Raw Revenue'!M:M,'Raw Revenue'!N:N,0)</f>
        <v>0</v>
      </c>
      <c r="AC417" s="3">
        <v>0.0</v>
      </c>
      <c r="AD417" s="3">
        <v>0.0</v>
      </c>
      <c r="AE417" s="3">
        <v>0.0</v>
      </c>
      <c r="AF417" s="3">
        <v>0.0</v>
      </c>
      <c r="AG417" s="3">
        <v>0.0</v>
      </c>
    </row>
    <row r="418">
      <c r="A418" s="3" t="s">
        <v>1111</v>
      </c>
      <c r="B418" s="3" t="s">
        <v>1112</v>
      </c>
      <c r="C418" s="3" t="str">
        <f t="shared" si="1"/>
        <v>PT. Berkah Alam Semesta</v>
      </c>
      <c r="D418" s="3" t="s">
        <v>84</v>
      </c>
      <c r="E418" s="3" t="s">
        <v>104</v>
      </c>
      <c r="F418" s="3" t="s">
        <v>134</v>
      </c>
      <c r="G418" s="3" t="s">
        <v>35</v>
      </c>
      <c r="H418" s="3" t="str">
        <f t="array" ref="H418">XLOOKUP(G:G,'Account Manager Data'!A:A,'Account Manager Data'!B:B,0)</f>
        <v>Ahmad Fauzi</v>
      </c>
      <c r="I418" s="11" t="str">
        <f t="array" ref="I418">XLOOKUP($G:$G,'Account Manager Data'!$A:$A,'Account Manager Data'!C:C)</f>
        <v>Sumatera</v>
      </c>
      <c r="J418" s="17">
        <v>6038117.0</v>
      </c>
      <c r="K418" s="17">
        <v>4104895.0</v>
      </c>
      <c r="L418" s="17">
        <v>8418831.0</v>
      </c>
      <c r="M418" s="17">
        <v>3500978.0</v>
      </c>
      <c r="N418" s="17">
        <v>3011213.0</v>
      </c>
      <c r="O418" s="17">
        <v>675842.0</v>
      </c>
      <c r="P418" s="17">
        <v>454167.0</v>
      </c>
      <c r="Q418" s="17">
        <v>9392645.0</v>
      </c>
      <c r="R418" s="17">
        <v>1.4618062E7</v>
      </c>
      <c r="S418" s="17">
        <v>1.4875078E7</v>
      </c>
      <c r="T418" s="17">
        <v>0.0</v>
      </c>
      <c r="U418" s="17">
        <v>3869927.0</v>
      </c>
      <c r="V418" s="11">
        <f t="array" ref="V418">XLOOKUP(A:A,'Raw Revenue'!A:A,'Raw Revenue'!B:B,0)
</f>
        <v>0</v>
      </c>
      <c r="W418" s="11">
        <f t="array" ref="W418">XLOOKUP(A:A,'Raw Revenue'!C:C,'Raw Revenue'!D:D,0)</f>
        <v>0</v>
      </c>
      <c r="X418" s="11">
        <f t="array" ref="X418">XLOOKUP(A:A,'Raw Revenue'!E:E,'Raw Revenue'!F:F,0)</f>
        <v>0</v>
      </c>
      <c r="Y418" s="11">
        <f t="array" ref="Y418">XLOOKUP(A:A,'Raw Revenue'!G:G,'Raw Revenue'!H:H,0)</f>
        <v>0</v>
      </c>
      <c r="Z418" s="11">
        <f t="array" ref="Z418">XLOOKUP(A:A,'Raw Revenue'!I:I,'Raw Revenue'!J:J,0)</f>
        <v>0</v>
      </c>
      <c r="AA418" s="11">
        <f t="array" ref="AA418">XLOOKUP(A:A,'Raw Revenue'!K:K,'Raw Revenue'!L:L,0)</f>
        <v>0</v>
      </c>
      <c r="AB418" s="11">
        <f t="array" ref="AB418">XLOOKUP(A:A,'Raw Revenue'!M:M,'Raw Revenue'!N:N,0)</f>
        <v>0</v>
      </c>
      <c r="AC418" s="3">
        <v>0.0</v>
      </c>
      <c r="AD418" s="3">
        <v>0.0</v>
      </c>
      <c r="AE418" s="3">
        <v>0.0</v>
      </c>
      <c r="AF418" s="3">
        <v>0.0</v>
      </c>
      <c r="AG418" s="3">
        <v>0.0</v>
      </c>
    </row>
    <row r="419">
      <c r="A419" s="3" t="s">
        <v>1113</v>
      </c>
      <c r="B419" s="3" t="s">
        <v>1114</v>
      </c>
      <c r="C419" s="3" t="str">
        <f t="shared" si="1"/>
        <v>PT. Cahaya Baru Indonesia</v>
      </c>
      <c r="D419" s="3" t="s">
        <v>186</v>
      </c>
      <c r="E419" s="3" t="s">
        <v>104</v>
      </c>
      <c r="F419" s="3" t="s">
        <v>134</v>
      </c>
      <c r="G419" s="3" t="s">
        <v>43</v>
      </c>
      <c r="H419" s="3" t="str">
        <f t="array" ref="H419">XLOOKUP(G:G,'Account Manager Data'!A:A,'Account Manager Data'!B:B,0)</f>
        <v>Eko Prasetyo</v>
      </c>
      <c r="I419" s="11" t="str">
        <f t="array" ref="I419">XLOOKUP($G:$G,'Account Manager Data'!$A:$A,'Account Manager Data'!C:C)</f>
        <v>Papua</v>
      </c>
      <c r="J419" s="17">
        <v>2264055.0</v>
      </c>
      <c r="K419" s="17">
        <v>8055286.0</v>
      </c>
      <c r="L419" s="17">
        <v>1288923.0</v>
      </c>
      <c r="M419" s="17">
        <v>5747827.0</v>
      </c>
      <c r="N419" s="17">
        <v>1.3173319E7</v>
      </c>
      <c r="O419" s="17">
        <v>9615425.0</v>
      </c>
      <c r="P419" s="17">
        <v>1.3357024E7</v>
      </c>
      <c r="Q419" s="17">
        <v>7998670.0</v>
      </c>
      <c r="R419" s="17">
        <v>1.4455853E7</v>
      </c>
      <c r="S419" s="17">
        <v>204040.0</v>
      </c>
      <c r="T419" s="17">
        <v>1.8764203E7</v>
      </c>
      <c r="U419" s="17">
        <v>1.6557405E7</v>
      </c>
      <c r="V419" s="11">
        <f t="array" ref="V419">XLOOKUP(A:A,'Raw Revenue'!A:A,'Raw Revenue'!B:B,0)
</f>
        <v>0</v>
      </c>
      <c r="W419" s="11">
        <f t="array" ref="W419">XLOOKUP(A:A,'Raw Revenue'!C:C,'Raw Revenue'!D:D,0)</f>
        <v>0</v>
      </c>
      <c r="X419" s="11">
        <f t="array" ref="X419">XLOOKUP(A:A,'Raw Revenue'!E:E,'Raw Revenue'!F:F,0)</f>
        <v>0</v>
      </c>
      <c r="Y419" s="11">
        <f t="array" ref="Y419">XLOOKUP(A:A,'Raw Revenue'!G:G,'Raw Revenue'!H:H,0)</f>
        <v>0</v>
      </c>
      <c r="Z419" s="11">
        <f t="array" ref="Z419">XLOOKUP(A:A,'Raw Revenue'!I:I,'Raw Revenue'!J:J,0)</f>
        <v>0</v>
      </c>
      <c r="AA419" s="11">
        <f t="array" ref="AA419">XLOOKUP(A:A,'Raw Revenue'!K:K,'Raw Revenue'!L:L,0)</f>
        <v>0</v>
      </c>
      <c r="AB419" s="11">
        <f t="array" ref="AB419">XLOOKUP(A:A,'Raw Revenue'!M:M,'Raw Revenue'!N:N,0)</f>
        <v>0</v>
      </c>
      <c r="AC419" s="3">
        <v>0.0</v>
      </c>
      <c r="AD419" s="3">
        <v>0.0</v>
      </c>
      <c r="AE419" s="3">
        <v>0.0</v>
      </c>
      <c r="AF419" s="3">
        <v>0.0</v>
      </c>
      <c r="AG419" s="3">
        <v>0.0</v>
      </c>
    </row>
    <row r="420">
      <c r="A420" s="3" t="s">
        <v>1115</v>
      </c>
      <c r="B420" s="3" t="s">
        <v>1116</v>
      </c>
      <c r="C420" s="3" t="str">
        <f t="shared" si="1"/>
        <v>PT. Mentari Pagi Sejahtera</v>
      </c>
      <c r="D420" s="3" t="s">
        <v>84</v>
      </c>
      <c r="E420" s="3" t="s">
        <v>187</v>
      </c>
      <c r="F420" s="3" t="s">
        <v>295</v>
      </c>
      <c r="G420" s="3" t="s">
        <v>74</v>
      </c>
      <c r="H420" s="3" t="str">
        <f t="array" ref="H420">XLOOKUP(G:G,'Account Manager Data'!A:A,'Account Manager Data'!B:B,0)</f>
        <v>Budi Santoso</v>
      </c>
      <c r="I420" s="11" t="str">
        <f t="array" ref="I420">XLOOKUP($G:$G,'Account Manager Data'!$A:$A,'Account Manager Data'!C:C)</f>
        <v>Papua</v>
      </c>
      <c r="J420" s="17">
        <v>1105238.0</v>
      </c>
      <c r="K420" s="17">
        <v>5251721.0</v>
      </c>
      <c r="L420" s="17">
        <v>7403732.0</v>
      </c>
      <c r="M420" s="17">
        <v>1694805.0</v>
      </c>
      <c r="N420" s="17">
        <v>8850940.0</v>
      </c>
      <c r="O420" s="17">
        <v>4911848.0</v>
      </c>
      <c r="P420" s="17">
        <v>6054389.0</v>
      </c>
      <c r="Q420" s="17">
        <v>7078140.0</v>
      </c>
      <c r="R420" s="17">
        <v>1.0077778E7</v>
      </c>
      <c r="S420" s="17">
        <v>2780117.0</v>
      </c>
      <c r="T420" s="17">
        <v>1.6395907E7</v>
      </c>
      <c r="U420" s="17">
        <v>0.0</v>
      </c>
      <c r="V420" s="11">
        <f t="array" ref="V420">XLOOKUP(A:A,'Raw Revenue'!A:A,'Raw Revenue'!B:B,0)
</f>
        <v>0</v>
      </c>
      <c r="W420" s="11">
        <f t="array" ref="W420">XLOOKUP(A:A,'Raw Revenue'!C:C,'Raw Revenue'!D:D,0)</f>
        <v>0</v>
      </c>
      <c r="X420" s="11">
        <f t="array" ref="X420">XLOOKUP(A:A,'Raw Revenue'!E:E,'Raw Revenue'!F:F,0)</f>
        <v>0</v>
      </c>
      <c r="Y420" s="11">
        <f t="array" ref="Y420">XLOOKUP(A:A,'Raw Revenue'!G:G,'Raw Revenue'!H:H,0)</f>
        <v>0</v>
      </c>
      <c r="Z420" s="11">
        <f t="array" ref="Z420">XLOOKUP(A:A,'Raw Revenue'!I:I,'Raw Revenue'!J:J,0)</f>
        <v>0</v>
      </c>
      <c r="AA420" s="11">
        <f t="array" ref="AA420">XLOOKUP(A:A,'Raw Revenue'!K:K,'Raw Revenue'!L:L,0)</f>
        <v>0</v>
      </c>
      <c r="AB420" s="11">
        <f t="array" ref="AB420">XLOOKUP(A:A,'Raw Revenue'!M:M,'Raw Revenue'!N:N,0)</f>
        <v>0</v>
      </c>
      <c r="AC420" s="3">
        <v>0.0</v>
      </c>
      <c r="AD420" s="3">
        <v>0.0</v>
      </c>
      <c r="AE420" s="3">
        <v>0.0</v>
      </c>
      <c r="AF420" s="3">
        <v>0.0</v>
      </c>
      <c r="AG420" s="3">
        <v>0.0</v>
      </c>
    </row>
    <row r="421">
      <c r="A421" s="3" t="s">
        <v>1117</v>
      </c>
      <c r="B421" s="3" t="s">
        <v>1118</v>
      </c>
      <c r="C421" s="3" t="str">
        <f t="shared" si="1"/>
        <v>PT. Bintang Kejora Nusantara</v>
      </c>
      <c r="D421" s="3" t="s">
        <v>195</v>
      </c>
      <c r="E421" s="3" t="s">
        <v>196</v>
      </c>
      <c r="F421" s="3" t="s">
        <v>315</v>
      </c>
      <c r="G421" s="3" t="s">
        <v>76</v>
      </c>
      <c r="H421" s="3" t="str">
        <f t="array" ref="H421">XLOOKUP(G:G,'Account Manager Data'!A:A,'Account Manager Data'!B:B,0)</f>
        <v>Teguh Wijaya</v>
      </c>
      <c r="I421" s="11" t="str">
        <f t="array" ref="I421">XLOOKUP($G:$G,'Account Manager Data'!$A:$A,'Account Manager Data'!C:C)</f>
        <v>Sulawesi</v>
      </c>
      <c r="J421" s="17">
        <v>2242328.0</v>
      </c>
      <c r="K421" s="17">
        <v>2103589.0</v>
      </c>
      <c r="L421" s="17">
        <v>4283045.0</v>
      </c>
      <c r="M421" s="17">
        <v>0.0</v>
      </c>
      <c r="N421" s="17">
        <v>1.3094914E7</v>
      </c>
      <c r="O421" s="17">
        <v>1.4055984E7</v>
      </c>
      <c r="P421" s="17">
        <v>1969153.0</v>
      </c>
      <c r="Q421" s="17">
        <v>5298666.0</v>
      </c>
      <c r="R421" s="17">
        <v>7132160.0</v>
      </c>
      <c r="S421" s="17">
        <v>7689621.0</v>
      </c>
      <c r="T421" s="17">
        <v>4600778.0</v>
      </c>
      <c r="U421" s="17">
        <v>1.5753864E7</v>
      </c>
      <c r="V421" s="11">
        <f t="array" ref="V421">XLOOKUP(A:A,'Raw Revenue'!A:A,'Raw Revenue'!B:B,0)
</f>
        <v>0</v>
      </c>
      <c r="W421" s="11">
        <f t="array" ref="W421">XLOOKUP(A:A,'Raw Revenue'!C:C,'Raw Revenue'!D:D,0)</f>
        <v>0</v>
      </c>
      <c r="X421" s="11">
        <f t="array" ref="X421">XLOOKUP(A:A,'Raw Revenue'!E:E,'Raw Revenue'!F:F,0)</f>
        <v>0</v>
      </c>
      <c r="Y421" s="11">
        <f t="array" ref="Y421">XLOOKUP(A:A,'Raw Revenue'!G:G,'Raw Revenue'!H:H,0)</f>
        <v>0</v>
      </c>
      <c r="Z421" s="11">
        <f t="array" ref="Z421">XLOOKUP(A:A,'Raw Revenue'!I:I,'Raw Revenue'!J:J,0)</f>
        <v>0</v>
      </c>
      <c r="AA421" s="11">
        <f t="array" ref="AA421">XLOOKUP(A:A,'Raw Revenue'!K:K,'Raw Revenue'!L:L,0)</f>
        <v>0</v>
      </c>
      <c r="AB421" s="11">
        <f t="array" ref="AB421">XLOOKUP(A:A,'Raw Revenue'!M:M,'Raw Revenue'!N:N,0)</f>
        <v>0</v>
      </c>
      <c r="AC421" s="3">
        <v>0.0</v>
      </c>
      <c r="AD421" s="3">
        <v>0.0</v>
      </c>
      <c r="AE421" s="3">
        <v>0.0</v>
      </c>
      <c r="AF421" s="3">
        <v>0.0</v>
      </c>
      <c r="AG421" s="3">
        <v>0.0</v>
      </c>
    </row>
    <row r="422">
      <c r="A422" s="3" t="s">
        <v>1119</v>
      </c>
      <c r="B422" s="3" t="s">
        <v>1120</v>
      </c>
      <c r="C422" s="3" t="str">
        <f t="shared" si="1"/>
        <v>PT. Maju Jaya</v>
      </c>
      <c r="D422" s="3" t="s">
        <v>186</v>
      </c>
      <c r="E422" s="3" t="s">
        <v>187</v>
      </c>
      <c r="F422" s="3" t="s">
        <v>295</v>
      </c>
      <c r="G422" s="3" t="s">
        <v>70</v>
      </c>
      <c r="H422" s="3" t="str">
        <f t="array" ref="H422">XLOOKUP(G:G,'Account Manager Data'!A:A,'Account Manager Data'!B:B,0)</f>
        <v>Yusuf Hidayat</v>
      </c>
      <c r="I422" s="11" t="str">
        <f t="array" ref="I422">XLOOKUP($G:$G,'Account Manager Data'!$A:$A,'Account Manager Data'!C:C)</f>
        <v>Sumatera</v>
      </c>
      <c r="J422" s="17">
        <v>6600460.0</v>
      </c>
      <c r="K422" s="17">
        <v>8865130.0</v>
      </c>
      <c r="L422" s="17">
        <v>0.0</v>
      </c>
      <c r="M422" s="17">
        <v>9597038.0</v>
      </c>
      <c r="N422" s="17">
        <v>6269448.0</v>
      </c>
      <c r="O422" s="17">
        <v>2876226.0</v>
      </c>
      <c r="P422" s="17">
        <v>1.1747221E7</v>
      </c>
      <c r="Q422" s="17">
        <v>4232799.0</v>
      </c>
      <c r="R422" s="17">
        <v>287536.0</v>
      </c>
      <c r="S422" s="17">
        <v>1.3834332E7</v>
      </c>
      <c r="T422" s="17">
        <v>1.647308E7</v>
      </c>
      <c r="U422" s="17">
        <v>1.1905247E7</v>
      </c>
      <c r="V422" s="11">
        <f t="array" ref="V422">XLOOKUP(A:A,'Raw Revenue'!A:A,'Raw Revenue'!B:B,0)
</f>
        <v>0</v>
      </c>
      <c r="W422" s="11">
        <f t="array" ref="W422">XLOOKUP(A:A,'Raw Revenue'!C:C,'Raw Revenue'!D:D,0)</f>
        <v>0</v>
      </c>
      <c r="X422" s="11">
        <f t="array" ref="X422">XLOOKUP(A:A,'Raw Revenue'!E:E,'Raw Revenue'!F:F,0)</f>
        <v>0</v>
      </c>
      <c r="Y422" s="11">
        <f t="array" ref="Y422">XLOOKUP(A:A,'Raw Revenue'!G:G,'Raw Revenue'!H:H,0)</f>
        <v>0</v>
      </c>
      <c r="Z422" s="11">
        <f t="array" ref="Z422">XLOOKUP(A:A,'Raw Revenue'!I:I,'Raw Revenue'!J:J,0)</f>
        <v>0</v>
      </c>
      <c r="AA422" s="11">
        <f t="array" ref="AA422">XLOOKUP(A:A,'Raw Revenue'!K:K,'Raw Revenue'!L:L,0)</f>
        <v>0</v>
      </c>
      <c r="AB422" s="11">
        <f t="array" ref="AB422">XLOOKUP(A:A,'Raw Revenue'!M:M,'Raw Revenue'!N:N,0)</f>
        <v>0</v>
      </c>
      <c r="AC422" s="3">
        <v>0.0</v>
      </c>
      <c r="AD422" s="3">
        <v>0.0</v>
      </c>
      <c r="AE422" s="3">
        <v>0.0</v>
      </c>
      <c r="AF422" s="3">
        <v>0.0</v>
      </c>
      <c r="AG422" s="3">
        <v>0.0</v>
      </c>
    </row>
    <row r="423">
      <c r="A423" s="3" t="s">
        <v>106</v>
      </c>
      <c r="B423" s="3" t="s">
        <v>1121</v>
      </c>
      <c r="C423" s="3" t="str">
        <f t="shared" si="1"/>
        <v>CV. Sumber Makmur</v>
      </c>
      <c r="D423" s="3" t="s">
        <v>103</v>
      </c>
      <c r="E423" s="3" t="s">
        <v>215</v>
      </c>
      <c r="F423" s="3" t="s">
        <v>216</v>
      </c>
      <c r="G423" s="3" t="s">
        <v>15</v>
      </c>
      <c r="H423" s="3" t="str">
        <f t="array" ref="H423">XLOOKUP(G:G,'Account Manager Data'!A:A,'Account Manager Data'!B:B,0)</f>
        <v>Rizky Maulana</v>
      </c>
      <c r="I423" s="11" t="str">
        <f t="array" ref="I423">XLOOKUP($G:$G,'Account Manager Data'!$A:$A,'Account Manager Data'!C:C)</f>
        <v>Jawa</v>
      </c>
      <c r="J423" s="17">
        <v>7462954.0</v>
      </c>
      <c r="K423" s="83">
        <v>9411765.0</v>
      </c>
      <c r="L423" s="84">
        <v>9108434.0</v>
      </c>
      <c r="M423" s="84">
        <v>5142857.0</v>
      </c>
      <c r="N423" s="84">
        <v>7690141.0</v>
      </c>
      <c r="O423" s="17">
        <v>5193569.0</v>
      </c>
      <c r="P423" s="84">
        <v>0.0</v>
      </c>
      <c r="Q423" s="84">
        <v>7.6470588E7</v>
      </c>
      <c r="R423" s="17">
        <v>1402242.0</v>
      </c>
      <c r="S423" s="17">
        <v>1.5370757E7</v>
      </c>
      <c r="T423" s="17">
        <v>7830106.0</v>
      </c>
      <c r="U423" s="17">
        <v>1.794764E7</v>
      </c>
      <c r="V423" s="85">
        <f t="array" ref="V423">XLOOKUP(A:A,'Raw Revenue'!A:A,'Raw Revenue'!B:B,0)
</f>
        <v>1400000</v>
      </c>
      <c r="W423" s="22">
        <f t="array" ref="W423">XLOOKUP(A:A,'Raw Revenue'!C:C,'Raw Revenue'!D:D,0)</f>
        <v>9411765</v>
      </c>
      <c r="X423" s="22">
        <f t="array" ref="X423">XLOOKUP(A:A,'Raw Revenue'!E:E,'Raw Revenue'!F:F,0)</f>
        <v>9108434</v>
      </c>
      <c r="Y423" s="22">
        <f t="array" ref="Y423">XLOOKUP(A:A,'Raw Revenue'!G:G,'Raw Revenue'!H:H,0)</f>
        <v>5142857</v>
      </c>
      <c r="Z423" s="22">
        <f t="array" ref="Z423">XLOOKUP(A:A,'Raw Revenue'!I:I,'Raw Revenue'!J:J,0)</f>
        <v>7690141</v>
      </c>
      <c r="AA423" s="22">
        <f t="array" ref="AA423">XLOOKUP(A:A,'Raw Revenue'!K:K,'Raw Revenue'!L:L,0)</f>
        <v>5193569</v>
      </c>
      <c r="AB423" s="22">
        <f t="array" ref="AB423">XLOOKUP(A:A,'Raw Revenue'!M:M,'Raw Revenue'!N:N,0)</f>
        <v>0</v>
      </c>
      <c r="AC423" s="3">
        <v>0.0</v>
      </c>
      <c r="AD423" s="3">
        <v>0.0</v>
      </c>
      <c r="AE423" s="3">
        <v>0.0</v>
      </c>
      <c r="AF423" s="3">
        <v>0.0</v>
      </c>
      <c r="AG423" s="3">
        <v>0.0</v>
      </c>
    </row>
    <row r="424">
      <c r="A424" s="3" t="s">
        <v>190</v>
      </c>
      <c r="B424" s="3" t="s">
        <v>1122</v>
      </c>
      <c r="C424" s="3" t="str">
        <f t="shared" si="1"/>
        <v>PT. Teknologi Nusantara</v>
      </c>
      <c r="D424" s="3" t="s">
        <v>103</v>
      </c>
      <c r="E424" s="3" t="s">
        <v>187</v>
      </c>
      <c r="F424" s="3" t="s">
        <v>269</v>
      </c>
      <c r="G424" s="3" t="s">
        <v>27</v>
      </c>
      <c r="H424" s="3" t="str">
        <f t="array" ref="H424">XLOOKUP(G:G,'Account Manager Data'!A:A,'Account Manager Data'!B:B,0)</f>
        <v>Dedi Kurniawan</v>
      </c>
      <c r="I424" s="11" t="str">
        <f t="array" ref="I424">XLOOKUP($G:$G,'Account Manager Data'!$A:$A,'Account Manager Data'!C:C)</f>
        <v>Kalimantan</v>
      </c>
      <c r="J424" s="17">
        <v>3378145.0</v>
      </c>
      <c r="K424" s="17">
        <v>4949917.0</v>
      </c>
      <c r="L424" s="17">
        <v>5952784.0</v>
      </c>
      <c r="M424" s="17">
        <v>9297822.0</v>
      </c>
      <c r="N424" s="17">
        <v>7072522.0</v>
      </c>
      <c r="O424" s="17">
        <v>6547897.0</v>
      </c>
      <c r="P424" s="17">
        <v>0.0</v>
      </c>
      <c r="Q424" s="17">
        <v>7094171.0</v>
      </c>
      <c r="R424" s="17">
        <v>1.1864543E7</v>
      </c>
      <c r="S424" s="17">
        <v>7754034.0</v>
      </c>
      <c r="T424" s="17">
        <v>7702381.0</v>
      </c>
      <c r="U424" s="17">
        <v>5965676.0</v>
      </c>
      <c r="V424" s="11">
        <f t="array" ref="V424">XLOOKUP(A:A,'Raw Revenue'!A:A,'Raw Revenue'!B:B,0)
</f>
        <v>9746812.991</v>
      </c>
      <c r="W424" s="11">
        <f t="array" ref="W424">XLOOKUP(A:A,'Raw Revenue'!C:C,'Raw Revenue'!D:D,0)</f>
        <v>9746812.991</v>
      </c>
      <c r="X424" s="11">
        <f t="array" ref="X424">XLOOKUP(A:A,'Raw Revenue'!E:E,'Raw Revenue'!F:F,0)</f>
        <v>19493625.98</v>
      </c>
      <c r="Y424" s="11">
        <f t="array" ref="Y424">XLOOKUP(A:A,'Raw Revenue'!G:G,'Raw Revenue'!H:H,0)</f>
        <v>15919794.55</v>
      </c>
      <c r="Z424" s="11">
        <f t="array" ref="Z424">XLOOKUP(A:A,'Raw Revenue'!I:I,'Raw Revenue'!J:J,0)</f>
        <v>14295325.72</v>
      </c>
      <c r="AA424" s="11">
        <f t="array" ref="AA424">XLOOKUP(A:A,'Raw Revenue'!K:K,'Raw Revenue'!L:L,0)</f>
        <v>36550548.72</v>
      </c>
      <c r="AB424" s="11">
        <f t="array" ref="AB424">XLOOKUP(A:A,'Raw Revenue'!M:M,'Raw Revenue'!N:N,0)</f>
        <v>33626504.82</v>
      </c>
      <c r="AC424" s="3">
        <v>0.0</v>
      </c>
      <c r="AD424" s="3">
        <v>0.0</v>
      </c>
      <c r="AE424" s="3">
        <v>0.0</v>
      </c>
      <c r="AF424" s="3">
        <v>0.0</v>
      </c>
      <c r="AG424" s="3">
        <v>0.0</v>
      </c>
    </row>
    <row r="425">
      <c r="A425" s="3" t="s">
        <v>1123</v>
      </c>
      <c r="B425" s="3" t="s">
        <v>1124</v>
      </c>
      <c r="C425" s="3" t="str">
        <f t="shared" si="1"/>
        <v>PT. Bakti Indonesia</v>
      </c>
      <c r="D425" s="3" t="s">
        <v>84</v>
      </c>
      <c r="E425" s="3" t="s">
        <v>196</v>
      </c>
      <c r="F425" s="3" t="s">
        <v>260</v>
      </c>
      <c r="G425" s="3" t="s">
        <v>78</v>
      </c>
      <c r="H425" s="3" t="str">
        <f t="array" ref="H425">XLOOKUP(G:G,'Account Manager Data'!A:A,'Account Manager Data'!B:B,0)</f>
        <v>Ilham Saputra</v>
      </c>
      <c r="I425" s="11" t="str">
        <f t="array" ref="I425">XLOOKUP($G:$G,'Account Manager Data'!$A:$A,'Account Manager Data'!C:C)</f>
        <v>Jawa</v>
      </c>
      <c r="J425" s="17">
        <v>4289164.0</v>
      </c>
      <c r="K425" s="17">
        <v>347110.0</v>
      </c>
      <c r="L425" s="17">
        <v>8028185.0</v>
      </c>
      <c r="M425" s="17">
        <v>142179.0</v>
      </c>
      <c r="N425" s="17">
        <v>7756215.0</v>
      </c>
      <c r="O425" s="17">
        <v>1.4534162E7</v>
      </c>
      <c r="P425" s="17">
        <v>1.2731845E7</v>
      </c>
      <c r="Q425" s="17">
        <v>1.6082744E7</v>
      </c>
      <c r="R425" s="17">
        <v>1.5023392E7</v>
      </c>
      <c r="S425" s="17">
        <v>6174731.0</v>
      </c>
      <c r="T425" s="17">
        <v>1937997.0</v>
      </c>
      <c r="U425" s="17">
        <v>6734669.0</v>
      </c>
      <c r="V425" s="11">
        <f t="array" ref="V425">XLOOKUP(A:A,'Raw Revenue'!A:A,'Raw Revenue'!B:B,0)
</f>
        <v>0</v>
      </c>
      <c r="W425" s="11">
        <f t="array" ref="W425">XLOOKUP(A:A,'Raw Revenue'!C:C,'Raw Revenue'!D:D,0)</f>
        <v>0</v>
      </c>
      <c r="X425" s="11">
        <f t="array" ref="X425">XLOOKUP(A:A,'Raw Revenue'!E:E,'Raw Revenue'!F:F,0)</f>
        <v>0</v>
      </c>
      <c r="Y425" s="11">
        <f t="array" ref="Y425">XLOOKUP(A:A,'Raw Revenue'!G:G,'Raw Revenue'!H:H,0)</f>
        <v>0</v>
      </c>
      <c r="Z425" s="11">
        <f t="array" ref="Z425">XLOOKUP(A:A,'Raw Revenue'!I:I,'Raw Revenue'!J:J,0)</f>
        <v>0</v>
      </c>
      <c r="AA425" s="11">
        <f t="array" ref="AA425">XLOOKUP(A:A,'Raw Revenue'!K:K,'Raw Revenue'!L:L,0)</f>
        <v>0</v>
      </c>
      <c r="AB425" s="11">
        <f t="array" ref="AB425">XLOOKUP(A:A,'Raw Revenue'!M:M,'Raw Revenue'!N:N,0)</f>
        <v>0</v>
      </c>
      <c r="AC425" s="3">
        <v>0.0</v>
      </c>
      <c r="AD425" s="3">
        <v>0.0</v>
      </c>
      <c r="AE425" s="3">
        <v>0.0</v>
      </c>
      <c r="AF425" s="3">
        <v>0.0</v>
      </c>
      <c r="AG425" s="3">
        <v>0.0</v>
      </c>
    </row>
    <row r="426">
      <c r="A426" s="3" t="s">
        <v>1125</v>
      </c>
      <c r="B426" s="3" t="s">
        <v>1126</v>
      </c>
      <c r="C426" s="3" t="str">
        <f t="shared" si="1"/>
        <v>CV. Amanah Sejahtera</v>
      </c>
      <c r="D426" s="3" t="s">
        <v>186</v>
      </c>
      <c r="E426" s="3" t="s">
        <v>104</v>
      </c>
      <c r="F426" s="3" t="s">
        <v>105</v>
      </c>
      <c r="G426" s="3" t="s">
        <v>53</v>
      </c>
      <c r="H426" s="3" t="str">
        <f t="array" ref="H426">XLOOKUP(G:G,'Account Manager Data'!A:A,'Account Manager Data'!B:B,0)</f>
        <v>Fajar Ramadhan</v>
      </c>
      <c r="I426" s="11" t="str">
        <f t="array" ref="I426">XLOOKUP($G:$G,'Account Manager Data'!$A:$A,'Account Manager Data'!C:C)</f>
        <v>Sulawesi</v>
      </c>
      <c r="J426" s="17">
        <v>82289.0</v>
      </c>
      <c r="K426" s="17">
        <v>3008525.0</v>
      </c>
      <c r="L426" s="17">
        <v>74398.0</v>
      </c>
      <c r="M426" s="17">
        <v>8328790.0</v>
      </c>
      <c r="N426" s="17">
        <v>8648838.0</v>
      </c>
      <c r="O426" s="17">
        <v>7589107.0</v>
      </c>
      <c r="P426" s="17">
        <v>1.2696682E7</v>
      </c>
      <c r="Q426" s="17">
        <v>5531251.0</v>
      </c>
      <c r="R426" s="17">
        <v>1.676062E7</v>
      </c>
      <c r="S426" s="17">
        <v>1992753.0</v>
      </c>
      <c r="T426" s="17">
        <v>1.7182355E7</v>
      </c>
      <c r="U426" s="17">
        <v>1.6352202E7</v>
      </c>
      <c r="V426" s="11">
        <f t="array" ref="V426">XLOOKUP(A:A,'Raw Revenue'!A:A,'Raw Revenue'!B:B,0)
</f>
        <v>0</v>
      </c>
      <c r="W426" s="11">
        <f t="array" ref="W426">XLOOKUP(A:A,'Raw Revenue'!C:C,'Raw Revenue'!D:D,0)</f>
        <v>0</v>
      </c>
      <c r="X426" s="11">
        <f t="array" ref="X426">XLOOKUP(A:A,'Raw Revenue'!E:E,'Raw Revenue'!F:F,0)</f>
        <v>0</v>
      </c>
      <c r="Y426" s="11">
        <f t="array" ref="Y426">XLOOKUP(A:A,'Raw Revenue'!G:G,'Raw Revenue'!H:H,0)</f>
        <v>0</v>
      </c>
      <c r="Z426" s="11">
        <f t="array" ref="Z426">XLOOKUP(A:A,'Raw Revenue'!I:I,'Raw Revenue'!J:J,0)</f>
        <v>0</v>
      </c>
      <c r="AA426" s="11">
        <f t="array" ref="AA426">XLOOKUP(A:A,'Raw Revenue'!K:K,'Raw Revenue'!L:L,0)</f>
        <v>0</v>
      </c>
      <c r="AB426" s="11">
        <f t="array" ref="AB426">XLOOKUP(A:A,'Raw Revenue'!M:M,'Raw Revenue'!N:N,0)</f>
        <v>0</v>
      </c>
      <c r="AC426" s="3">
        <v>0.0</v>
      </c>
      <c r="AD426" s="3">
        <v>0.0</v>
      </c>
      <c r="AE426" s="3">
        <v>0.0</v>
      </c>
      <c r="AF426" s="3">
        <v>0.0</v>
      </c>
      <c r="AG426" s="3">
        <v>0.0</v>
      </c>
    </row>
    <row r="427">
      <c r="A427" s="3" t="s">
        <v>1127</v>
      </c>
      <c r="B427" s="3" t="s">
        <v>1128</v>
      </c>
      <c r="C427" s="3" t="str">
        <f t="shared" si="1"/>
        <v>PT. Digital Solusi Pratama</v>
      </c>
      <c r="D427" s="3" t="s">
        <v>130</v>
      </c>
      <c r="E427" s="3" t="s">
        <v>187</v>
      </c>
      <c r="F427" s="3" t="s">
        <v>269</v>
      </c>
      <c r="G427" s="3" t="s">
        <v>63</v>
      </c>
      <c r="H427" s="3" t="str">
        <f t="array" ref="H427">XLOOKUP(G:G,'Account Manager Data'!A:A,'Account Manager Data'!B:B,0)</f>
        <v>Hendra Gunawan</v>
      </c>
      <c r="I427" s="11" t="str">
        <f t="array" ref="I427">XLOOKUP($G:$G,'Account Manager Data'!$A:$A,'Account Manager Data'!C:C)</f>
        <v>Kalimantan</v>
      </c>
      <c r="J427" s="17">
        <v>597615.0</v>
      </c>
      <c r="K427" s="17">
        <v>473299.0</v>
      </c>
      <c r="L427" s="17">
        <v>4391241.0</v>
      </c>
      <c r="M427" s="17">
        <v>585433.0</v>
      </c>
      <c r="N427" s="17">
        <v>1.3289914E7</v>
      </c>
      <c r="O427" s="17">
        <v>963434.0</v>
      </c>
      <c r="P427" s="17">
        <v>1429120.0</v>
      </c>
      <c r="Q427" s="17">
        <v>9931934.0</v>
      </c>
      <c r="R427" s="17">
        <v>4611145.0</v>
      </c>
      <c r="S427" s="17">
        <v>1.0695237E7</v>
      </c>
      <c r="T427" s="17">
        <v>3810104.0</v>
      </c>
      <c r="U427" s="17">
        <v>1.3149026E7</v>
      </c>
      <c r="V427" s="11">
        <f t="array" ref="V427">XLOOKUP(A:A,'Raw Revenue'!A:A,'Raw Revenue'!B:B,0)
</f>
        <v>0</v>
      </c>
      <c r="W427" s="11">
        <f t="array" ref="W427">XLOOKUP(A:A,'Raw Revenue'!C:C,'Raw Revenue'!D:D,0)</f>
        <v>0</v>
      </c>
      <c r="X427" s="11">
        <f t="array" ref="X427">XLOOKUP(A:A,'Raw Revenue'!E:E,'Raw Revenue'!F:F,0)</f>
        <v>0</v>
      </c>
      <c r="Y427" s="11">
        <f t="array" ref="Y427">XLOOKUP(A:A,'Raw Revenue'!G:G,'Raw Revenue'!H:H,0)</f>
        <v>0</v>
      </c>
      <c r="Z427" s="11">
        <f t="array" ref="Z427">XLOOKUP(A:A,'Raw Revenue'!I:I,'Raw Revenue'!J:J,0)</f>
        <v>0</v>
      </c>
      <c r="AA427" s="11">
        <f t="array" ref="AA427">XLOOKUP(A:A,'Raw Revenue'!K:K,'Raw Revenue'!L:L,0)</f>
        <v>0</v>
      </c>
      <c r="AB427" s="11">
        <f t="array" ref="AB427">XLOOKUP(A:A,'Raw Revenue'!M:M,'Raw Revenue'!N:N,0)</f>
        <v>0</v>
      </c>
      <c r="AC427" s="3">
        <v>0.0</v>
      </c>
      <c r="AD427" s="3">
        <v>0.0</v>
      </c>
      <c r="AE427" s="3">
        <v>0.0</v>
      </c>
      <c r="AF427" s="3">
        <v>0.0</v>
      </c>
      <c r="AG427" s="3">
        <v>0.0</v>
      </c>
    </row>
    <row r="428">
      <c r="A428" s="3" t="s">
        <v>1129</v>
      </c>
      <c r="B428" s="3" t="s">
        <v>1130</v>
      </c>
      <c r="C428" s="3" t="str">
        <f t="shared" si="1"/>
        <v>PT. Global Niaga Abadi</v>
      </c>
      <c r="D428" s="3" t="s">
        <v>214</v>
      </c>
      <c r="E428" s="3" t="s">
        <v>215</v>
      </c>
      <c r="F428" s="3" t="s">
        <v>227</v>
      </c>
      <c r="G428" s="3" t="s">
        <v>35</v>
      </c>
      <c r="H428" s="3" t="str">
        <f t="array" ref="H428">XLOOKUP(G:G,'Account Manager Data'!A:A,'Account Manager Data'!B:B,0)</f>
        <v>Ahmad Fauzi</v>
      </c>
      <c r="I428" s="11" t="str">
        <f t="array" ref="I428">XLOOKUP($G:$G,'Account Manager Data'!$A:$A,'Account Manager Data'!C:C)</f>
        <v>Sumatera</v>
      </c>
      <c r="J428" s="17">
        <v>1572805.0</v>
      </c>
      <c r="K428" s="17">
        <v>7495663.0</v>
      </c>
      <c r="L428" s="17">
        <v>7036614.0</v>
      </c>
      <c r="M428" s="17">
        <v>6572057.0</v>
      </c>
      <c r="N428" s="17">
        <v>1.1358029E7</v>
      </c>
      <c r="O428" s="17">
        <v>2042903.0</v>
      </c>
      <c r="P428" s="17">
        <v>1563214.0</v>
      </c>
      <c r="Q428" s="17">
        <v>0.0</v>
      </c>
      <c r="R428" s="17">
        <v>1.0124376E7</v>
      </c>
      <c r="S428" s="17">
        <v>5451444.0</v>
      </c>
      <c r="T428" s="17">
        <v>3790814.0</v>
      </c>
      <c r="U428" s="17">
        <v>8669957.0</v>
      </c>
      <c r="V428" s="11">
        <f t="array" ref="V428">XLOOKUP(A:A,'Raw Revenue'!A:A,'Raw Revenue'!B:B,0)
</f>
        <v>0</v>
      </c>
      <c r="W428" s="11">
        <f t="array" ref="W428">XLOOKUP(A:A,'Raw Revenue'!C:C,'Raw Revenue'!D:D,0)</f>
        <v>0</v>
      </c>
      <c r="X428" s="11">
        <f t="array" ref="X428">XLOOKUP(A:A,'Raw Revenue'!E:E,'Raw Revenue'!F:F,0)</f>
        <v>0</v>
      </c>
      <c r="Y428" s="11">
        <f t="array" ref="Y428">XLOOKUP(A:A,'Raw Revenue'!G:G,'Raw Revenue'!H:H,0)</f>
        <v>0</v>
      </c>
      <c r="Z428" s="11">
        <f t="array" ref="Z428">XLOOKUP(A:A,'Raw Revenue'!I:I,'Raw Revenue'!J:J,0)</f>
        <v>0</v>
      </c>
      <c r="AA428" s="11">
        <f t="array" ref="AA428">XLOOKUP(A:A,'Raw Revenue'!K:K,'Raw Revenue'!L:L,0)</f>
        <v>0</v>
      </c>
      <c r="AB428" s="11">
        <f t="array" ref="AB428">XLOOKUP(A:A,'Raw Revenue'!M:M,'Raw Revenue'!N:N,0)</f>
        <v>0</v>
      </c>
      <c r="AC428" s="3">
        <v>0.0</v>
      </c>
      <c r="AD428" s="3">
        <v>0.0</v>
      </c>
      <c r="AE428" s="3">
        <v>0.0</v>
      </c>
      <c r="AF428" s="3">
        <v>0.0</v>
      </c>
      <c r="AG428" s="3">
        <v>0.0</v>
      </c>
    </row>
    <row r="429">
      <c r="A429" s="3" t="s">
        <v>1131</v>
      </c>
      <c r="B429" s="3" t="s">
        <v>1132</v>
      </c>
      <c r="C429" s="3" t="str">
        <f t="shared" si="1"/>
        <v>PT. Indo Makmur Sentosa</v>
      </c>
      <c r="D429" s="3" t="s">
        <v>84</v>
      </c>
      <c r="E429" s="3" t="s">
        <v>85</v>
      </c>
      <c r="F429" s="3" t="s">
        <v>248</v>
      </c>
      <c r="G429" s="3" t="s">
        <v>74</v>
      </c>
      <c r="H429" s="3" t="str">
        <f t="array" ref="H429">XLOOKUP(G:G,'Account Manager Data'!A:A,'Account Manager Data'!B:B,0)</f>
        <v>Budi Santoso</v>
      </c>
      <c r="I429" s="11" t="str">
        <f t="array" ref="I429">XLOOKUP($G:$G,'Account Manager Data'!$A:$A,'Account Manager Data'!C:C)</f>
        <v>Papua</v>
      </c>
      <c r="J429" s="17">
        <v>212418.0</v>
      </c>
      <c r="K429" s="17">
        <v>641488.0</v>
      </c>
      <c r="L429" s="17">
        <v>1.0017174E7</v>
      </c>
      <c r="M429" s="17">
        <v>8678767.0</v>
      </c>
      <c r="N429" s="17">
        <v>6760967.0</v>
      </c>
      <c r="O429" s="17">
        <v>1.1323525E7</v>
      </c>
      <c r="P429" s="17">
        <v>525684.0</v>
      </c>
      <c r="Q429" s="17">
        <v>1.052669E7</v>
      </c>
      <c r="R429" s="17">
        <v>7894502.0</v>
      </c>
      <c r="S429" s="17">
        <v>7916111.0</v>
      </c>
      <c r="T429" s="17">
        <v>1.7518168E7</v>
      </c>
      <c r="U429" s="17">
        <v>1.8942592E7</v>
      </c>
      <c r="V429" s="11">
        <f t="array" ref="V429">XLOOKUP(A:A,'Raw Revenue'!A:A,'Raw Revenue'!B:B,0)
</f>
        <v>0</v>
      </c>
      <c r="W429" s="11">
        <f t="array" ref="W429">XLOOKUP(A:A,'Raw Revenue'!C:C,'Raw Revenue'!D:D,0)</f>
        <v>0</v>
      </c>
      <c r="X429" s="11">
        <f t="array" ref="X429">XLOOKUP(A:A,'Raw Revenue'!E:E,'Raw Revenue'!F:F,0)</f>
        <v>0</v>
      </c>
      <c r="Y429" s="11">
        <f t="array" ref="Y429">XLOOKUP(A:A,'Raw Revenue'!G:G,'Raw Revenue'!H:H,0)</f>
        <v>0</v>
      </c>
      <c r="Z429" s="11">
        <f t="array" ref="Z429">XLOOKUP(A:A,'Raw Revenue'!I:I,'Raw Revenue'!J:J,0)</f>
        <v>0</v>
      </c>
      <c r="AA429" s="11">
        <f t="array" ref="AA429">XLOOKUP(A:A,'Raw Revenue'!K:K,'Raw Revenue'!L:L,0)</f>
        <v>0</v>
      </c>
      <c r="AB429" s="11">
        <f t="array" ref="AB429">XLOOKUP(A:A,'Raw Revenue'!M:M,'Raw Revenue'!N:N,0)</f>
        <v>0</v>
      </c>
      <c r="AC429" s="3">
        <v>0.0</v>
      </c>
      <c r="AD429" s="3">
        <v>0.0</v>
      </c>
      <c r="AE429" s="3">
        <v>0.0</v>
      </c>
      <c r="AF429" s="3">
        <v>0.0</v>
      </c>
      <c r="AG429" s="3">
        <v>0.0</v>
      </c>
    </row>
    <row r="430">
      <c r="A430" s="3" t="s">
        <v>1133</v>
      </c>
      <c r="B430" s="3" t="s">
        <v>1134</v>
      </c>
      <c r="C430" s="3" t="str">
        <f t="shared" si="1"/>
        <v>PT. Citra Mandiri Utama</v>
      </c>
      <c r="D430" s="3" t="s">
        <v>195</v>
      </c>
      <c r="E430" s="3" t="s">
        <v>196</v>
      </c>
      <c r="F430" s="3" t="s">
        <v>260</v>
      </c>
      <c r="G430" s="3" t="s">
        <v>43</v>
      </c>
      <c r="H430" s="3" t="str">
        <f t="array" ref="H430">XLOOKUP(G:G,'Account Manager Data'!A:A,'Account Manager Data'!B:B,0)</f>
        <v>Eko Prasetyo</v>
      </c>
      <c r="I430" s="11" t="str">
        <f t="array" ref="I430">XLOOKUP($G:$G,'Account Manager Data'!$A:$A,'Account Manager Data'!C:C)</f>
        <v>Papua</v>
      </c>
      <c r="J430" s="17">
        <v>5129123.0</v>
      </c>
      <c r="K430" s="17">
        <v>8519019.0</v>
      </c>
      <c r="L430" s="17">
        <v>4821358.0</v>
      </c>
      <c r="M430" s="17">
        <v>4557041.0</v>
      </c>
      <c r="N430" s="17">
        <v>4741591.0</v>
      </c>
      <c r="O430" s="17">
        <v>1507647.0</v>
      </c>
      <c r="P430" s="17">
        <v>0.0</v>
      </c>
      <c r="Q430" s="17">
        <v>1.4302453E7</v>
      </c>
      <c r="R430" s="17">
        <v>1.0656863E7</v>
      </c>
      <c r="S430" s="17">
        <v>1.4249578E7</v>
      </c>
      <c r="T430" s="17">
        <v>1.7318079E7</v>
      </c>
      <c r="U430" s="17">
        <v>6424567.0</v>
      </c>
      <c r="V430" s="11">
        <f t="array" ref="V430">XLOOKUP(A:A,'Raw Revenue'!A:A,'Raw Revenue'!B:B,0)
</f>
        <v>0</v>
      </c>
      <c r="W430" s="11">
        <f t="array" ref="W430">XLOOKUP(A:A,'Raw Revenue'!C:C,'Raw Revenue'!D:D,0)</f>
        <v>0</v>
      </c>
      <c r="X430" s="11">
        <f t="array" ref="X430">XLOOKUP(A:A,'Raw Revenue'!E:E,'Raw Revenue'!F:F,0)</f>
        <v>0</v>
      </c>
      <c r="Y430" s="11">
        <f t="array" ref="Y430">XLOOKUP(A:A,'Raw Revenue'!G:G,'Raw Revenue'!H:H,0)</f>
        <v>0</v>
      </c>
      <c r="Z430" s="11">
        <f t="array" ref="Z430">XLOOKUP(A:A,'Raw Revenue'!I:I,'Raw Revenue'!J:J,0)</f>
        <v>0</v>
      </c>
      <c r="AA430" s="11">
        <f t="array" ref="AA430">XLOOKUP(A:A,'Raw Revenue'!K:K,'Raw Revenue'!L:L,0)</f>
        <v>0</v>
      </c>
      <c r="AB430" s="11">
        <f t="array" ref="AB430">XLOOKUP(A:A,'Raw Revenue'!M:M,'Raw Revenue'!N:N,0)</f>
        <v>0</v>
      </c>
      <c r="AC430" s="3">
        <v>0.0</v>
      </c>
      <c r="AD430" s="3">
        <v>0.0</v>
      </c>
      <c r="AE430" s="3">
        <v>0.0</v>
      </c>
      <c r="AF430" s="3">
        <v>0.0</v>
      </c>
      <c r="AG430" s="3">
        <v>0.0</v>
      </c>
    </row>
    <row r="431">
      <c r="A431" s="3" t="s">
        <v>1135</v>
      </c>
      <c r="B431" s="3" t="s">
        <v>1136</v>
      </c>
      <c r="C431" s="3" t="str">
        <f t="shared" si="1"/>
        <v>PT. Sinar Dunia Baru</v>
      </c>
      <c r="D431" s="3" t="s">
        <v>214</v>
      </c>
      <c r="E431" s="3" t="s">
        <v>85</v>
      </c>
      <c r="F431" s="3" t="s">
        <v>407</v>
      </c>
      <c r="G431" s="3" t="s">
        <v>76</v>
      </c>
      <c r="H431" s="3" t="str">
        <f t="array" ref="H431">XLOOKUP(G:G,'Account Manager Data'!A:A,'Account Manager Data'!B:B,0)</f>
        <v>Teguh Wijaya</v>
      </c>
      <c r="I431" s="11" t="str">
        <f t="array" ref="I431">XLOOKUP($G:$G,'Account Manager Data'!$A:$A,'Account Manager Data'!C:C)</f>
        <v>Sulawesi</v>
      </c>
      <c r="J431" s="17">
        <v>229310.0</v>
      </c>
      <c r="K431" s="17">
        <v>7065475.0</v>
      </c>
      <c r="L431" s="17">
        <v>176997.0</v>
      </c>
      <c r="M431" s="17">
        <v>6513755.0</v>
      </c>
      <c r="N431" s="17">
        <v>1.3576474E7</v>
      </c>
      <c r="O431" s="17">
        <v>9480529.0</v>
      </c>
      <c r="P431" s="17">
        <v>1.3929824E7</v>
      </c>
      <c r="Q431" s="17">
        <v>3904705.0</v>
      </c>
      <c r="R431" s="17">
        <v>1.6379805E7</v>
      </c>
      <c r="S431" s="17">
        <v>5138347.0</v>
      </c>
      <c r="T431" s="17">
        <v>1.6323032E7</v>
      </c>
      <c r="U431" s="17">
        <v>0.0</v>
      </c>
      <c r="V431" s="11">
        <f t="array" ref="V431">XLOOKUP(A:A,'Raw Revenue'!A:A,'Raw Revenue'!B:B,0)
</f>
        <v>0</v>
      </c>
      <c r="W431" s="11">
        <f t="array" ref="W431">XLOOKUP(A:A,'Raw Revenue'!C:C,'Raw Revenue'!D:D,0)</f>
        <v>0</v>
      </c>
      <c r="X431" s="11">
        <f t="array" ref="X431">XLOOKUP(A:A,'Raw Revenue'!E:E,'Raw Revenue'!F:F,0)</f>
        <v>0</v>
      </c>
      <c r="Y431" s="11">
        <f t="array" ref="Y431">XLOOKUP(A:A,'Raw Revenue'!G:G,'Raw Revenue'!H:H,0)</f>
        <v>0</v>
      </c>
      <c r="Z431" s="11">
        <f t="array" ref="Z431">XLOOKUP(A:A,'Raw Revenue'!I:I,'Raw Revenue'!J:J,0)</f>
        <v>0</v>
      </c>
      <c r="AA431" s="11">
        <f t="array" ref="AA431">XLOOKUP(A:A,'Raw Revenue'!K:K,'Raw Revenue'!L:L,0)</f>
        <v>0</v>
      </c>
      <c r="AB431" s="11">
        <f t="array" ref="AB431">XLOOKUP(A:A,'Raw Revenue'!M:M,'Raw Revenue'!N:N,0)</f>
        <v>0</v>
      </c>
      <c r="AC431" s="3">
        <v>0.0</v>
      </c>
      <c r="AD431" s="3">
        <v>0.0</v>
      </c>
      <c r="AE431" s="3">
        <v>0.0</v>
      </c>
      <c r="AF431" s="3">
        <v>0.0</v>
      </c>
      <c r="AG431" s="3">
        <v>0.0</v>
      </c>
    </row>
    <row r="432">
      <c r="A432" s="3" t="s">
        <v>1137</v>
      </c>
      <c r="B432" s="3" t="s">
        <v>1138</v>
      </c>
      <c r="C432" s="3" t="str">
        <f t="shared" si="1"/>
        <v>CV. Karya Utama Mandiri</v>
      </c>
      <c r="D432" s="3" t="s">
        <v>186</v>
      </c>
      <c r="E432" s="3" t="s">
        <v>104</v>
      </c>
      <c r="F432" s="3" t="s">
        <v>252</v>
      </c>
      <c r="G432" s="3" t="s">
        <v>70</v>
      </c>
      <c r="H432" s="3" t="str">
        <f t="array" ref="H432">XLOOKUP(G:G,'Account Manager Data'!A:A,'Account Manager Data'!B:B,0)</f>
        <v>Yusuf Hidayat</v>
      </c>
      <c r="I432" s="11" t="str">
        <f t="array" ref="I432">XLOOKUP($G:$G,'Account Manager Data'!$A:$A,'Account Manager Data'!C:C)</f>
        <v>Sumatera</v>
      </c>
      <c r="J432" s="17">
        <v>2884215.0</v>
      </c>
      <c r="K432" s="17">
        <v>2834256.0</v>
      </c>
      <c r="L432" s="17">
        <v>1.0019607E7</v>
      </c>
      <c r="M432" s="17">
        <v>1.0710881E7</v>
      </c>
      <c r="N432" s="17">
        <v>906627.0</v>
      </c>
      <c r="O432" s="17">
        <v>3698401.0</v>
      </c>
      <c r="P432" s="17">
        <v>1.0803981E7</v>
      </c>
      <c r="Q432" s="17">
        <v>7027541.0</v>
      </c>
      <c r="R432" s="17">
        <v>0.0</v>
      </c>
      <c r="S432" s="17">
        <v>1565685.0</v>
      </c>
      <c r="T432" s="17">
        <v>1.931404E7</v>
      </c>
      <c r="U432" s="17">
        <v>0.0</v>
      </c>
      <c r="V432" s="11">
        <f t="array" ref="V432">XLOOKUP(A:A,'Raw Revenue'!A:A,'Raw Revenue'!B:B,0)
</f>
        <v>0</v>
      </c>
      <c r="W432" s="11">
        <f t="array" ref="W432">XLOOKUP(A:A,'Raw Revenue'!C:C,'Raw Revenue'!D:D,0)</f>
        <v>0</v>
      </c>
      <c r="X432" s="11">
        <f t="array" ref="X432">XLOOKUP(A:A,'Raw Revenue'!E:E,'Raw Revenue'!F:F,0)</f>
        <v>0</v>
      </c>
      <c r="Y432" s="11">
        <f t="array" ref="Y432">XLOOKUP(A:A,'Raw Revenue'!G:G,'Raw Revenue'!H:H,0)</f>
        <v>0</v>
      </c>
      <c r="Z432" s="11">
        <f t="array" ref="Z432">XLOOKUP(A:A,'Raw Revenue'!I:I,'Raw Revenue'!J:J,0)</f>
        <v>0</v>
      </c>
      <c r="AA432" s="11">
        <f t="array" ref="AA432">XLOOKUP(A:A,'Raw Revenue'!K:K,'Raw Revenue'!L:L,0)</f>
        <v>0</v>
      </c>
      <c r="AB432" s="11">
        <f t="array" ref="AB432">XLOOKUP(A:A,'Raw Revenue'!M:M,'Raw Revenue'!N:N,0)</f>
        <v>0</v>
      </c>
      <c r="AC432" s="3">
        <v>0.0</v>
      </c>
      <c r="AD432" s="3">
        <v>0.0</v>
      </c>
      <c r="AE432" s="3">
        <v>0.0</v>
      </c>
      <c r="AF432" s="3">
        <v>0.0</v>
      </c>
      <c r="AG432" s="3">
        <v>0.0</v>
      </c>
    </row>
    <row r="433">
      <c r="A433" s="3" t="s">
        <v>107</v>
      </c>
      <c r="B433" s="3" t="s">
        <v>1139</v>
      </c>
      <c r="C433" s="3" t="str">
        <f t="shared" si="1"/>
        <v>PT. Pratama Jaya Sentosa</v>
      </c>
      <c r="D433" s="3" t="s">
        <v>103</v>
      </c>
      <c r="E433" s="3" t="s">
        <v>104</v>
      </c>
      <c r="F433" s="3" t="s">
        <v>252</v>
      </c>
      <c r="G433" s="3" t="s">
        <v>15</v>
      </c>
      <c r="H433" s="3" t="str">
        <f t="array" ref="H433">XLOOKUP(G:G,'Account Manager Data'!A:A,'Account Manager Data'!B:B,0)</f>
        <v>Rizky Maulana</v>
      </c>
      <c r="I433" s="11" t="str">
        <f t="array" ref="I433">XLOOKUP($G:$G,'Account Manager Data'!$A:$A,'Account Manager Data'!C:C)</f>
        <v>Jawa</v>
      </c>
      <c r="J433" s="17">
        <v>7879038.0</v>
      </c>
      <c r="K433" s="83">
        <v>941176.0</v>
      </c>
      <c r="L433" s="84">
        <v>4048193.0</v>
      </c>
      <c r="M433" s="84">
        <v>1714286.0</v>
      </c>
      <c r="N433" s="84">
        <v>1.0253521E7</v>
      </c>
      <c r="O433" s="17">
        <v>2488250.0</v>
      </c>
      <c r="P433" s="84">
        <v>4.3103448E7</v>
      </c>
      <c r="Q433" s="84">
        <v>1.2745098E8</v>
      </c>
      <c r="R433" s="17">
        <v>9654392.0</v>
      </c>
      <c r="S433" s="17">
        <v>0.0</v>
      </c>
      <c r="T433" s="17">
        <v>1.5731553E7</v>
      </c>
      <c r="U433" s="17">
        <v>1.5954258E7</v>
      </c>
      <c r="V433" s="85">
        <f t="array" ref="V433">XLOOKUP(A:A,'Raw Revenue'!A:A,'Raw Revenue'!B:B,0)
</f>
        <v>5600000</v>
      </c>
      <c r="W433" s="22">
        <f t="array" ref="W433">XLOOKUP(A:A,'Raw Revenue'!C:C,'Raw Revenue'!D:D,0)</f>
        <v>941176</v>
      </c>
      <c r="X433" s="22">
        <f t="array" ref="X433">XLOOKUP(A:A,'Raw Revenue'!E:E,'Raw Revenue'!F:F,0)</f>
        <v>4048193</v>
      </c>
      <c r="Y433" s="22">
        <f t="array" ref="Y433">XLOOKUP(A:A,'Raw Revenue'!G:G,'Raw Revenue'!H:H,0)</f>
        <v>1714286</v>
      </c>
      <c r="Z433" s="22">
        <f t="array" ref="Z433">XLOOKUP(A:A,'Raw Revenue'!I:I,'Raw Revenue'!J:J,0)</f>
        <v>10253521</v>
      </c>
      <c r="AA433" s="22">
        <f t="array" ref="AA433">XLOOKUP(A:A,'Raw Revenue'!K:K,'Raw Revenue'!L:L,0)</f>
        <v>2488250</v>
      </c>
      <c r="AB433" s="22">
        <f t="array" ref="AB433">XLOOKUP(A:A,'Raw Revenue'!M:M,'Raw Revenue'!N:N,0)</f>
        <v>43103448</v>
      </c>
      <c r="AC433" s="3">
        <v>0.0</v>
      </c>
      <c r="AD433" s="3">
        <v>0.0</v>
      </c>
      <c r="AE433" s="3">
        <v>0.0</v>
      </c>
      <c r="AF433" s="3">
        <v>0.0</v>
      </c>
      <c r="AG433" s="3">
        <v>0.0</v>
      </c>
    </row>
    <row r="434">
      <c r="A434" s="3" t="s">
        <v>1140</v>
      </c>
      <c r="B434" s="3" t="s">
        <v>1141</v>
      </c>
      <c r="C434" s="3" t="str">
        <f t="shared" si="1"/>
        <v>PT. Abadi Selamanya Jaya</v>
      </c>
      <c r="D434" s="3" t="s">
        <v>195</v>
      </c>
      <c r="E434" s="3" t="s">
        <v>187</v>
      </c>
      <c r="F434" s="3" t="s">
        <v>188</v>
      </c>
      <c r="G434" s="3" t="s">
        <v>53</v>
      </c>
      <c r="H434" s="3" t="str">
        <f t="array" ref="H434">XLOOKUP(G:G,'Account Manager Data'!A:A,'Account Manager Data'!B:B,0)</f>
        <v>Fajar Ramadhan</v>
      </c>
      <c r="I434" s="11" t="str">
        <f t="array" ref="I434">XLOOKUP($G:$G,'Account Manager Data'!$A:$A,'Account Manager Data'!C:C)</f>
        <v>Sulawesi</v>
      </c>
      <c r="J434" s="17">
        <v>5652912.0</v>
      </c>
      <c r="K434" s="17">
        <v>6990709.0</v>
      </c>
      <c r="L434" s="17">
        <v>2812635.0</v>
      </c>
      <c r="M434" s="17">
        <v>6766459.0</v>
      </c>
      <c r="N434" s="17">
        <v>634968.0</v>
      </c>
      <c r="O434" s="17">
        <v>4044443.0</v>
      </c>
      <c r="P434" s="17">
        <v>9262659.0</v>
      </c>
      <c r="Q434" s="17">
        <v>1.3871678E7</v>
      </c>
      <c r="R434" s="17">
        <v>3796886.0</v>
      </c>
      <c r="S434" s="17">
        <v>6330360.0</v>
      </c>
      <c r="T434" s="17">
        <v>4065779.0</v>
      </c>
      <c r="U434" s="17">
        <v>2657982.0</v>
      </c>
      <c r="V434" s="11">
        <f t="array" ref="V434">XLOOKUP(A:A,'Raw Revenue'!A:A,'Raw Revenue'!B:B,0)
</f>
        <v>0</v>
      </c>
      <c r="W434" s="11">
        <f t="array" ref="W434">XLOOKUP(A:A,'Raw Revenue'!C:C,'Raw Revenue'!D:D,0)</f>
        <v>0</v>
      </c>
      <c r="X434" s="11">
        <f t="array" ref="X434">XLOOKUP(A:A,'Raw Revenue'!E:E,'Raw Revenue'!F:F,0)</f>
        <v>0</v>
      </c>
      <c r="Y434" s="11">
        <f t="array" ref="Y434">XLOOKUP(A:A,'Raw Revenue'!G:G,'Raw Revenue'!H:H,0)</f>
        <v>0</v>
      </c>
      <c r="Z434" s="11">
        <f t="array" ref="Z434">XLOOKUP(A:A,'Raw Revenue'!I:I,'Raw Revenue'!J:J,0)</f>
        <v>0</v>
      </c>
      <c r="AA434" s="11">
        <f t="array" ref="AA434">XLOOKUP(A:A,'Raw Revenue'!K:K,'Raw Revenue'!L:L,0)</f>
        <v>0</v>
      </c>
      <c r="AB434" s="11">
        <f t="array" ref="AB434">XLOOKUP(A:A,'Raw Revenue'!M:M,'Raw Revenue'!N:N,0)</f>
        <v>0</v>
      </c>
      <c r="AC434" s="3">
        <v>0.0</v>
      </c>
      <c r="AD434" s="3">
        <v>0.0</v>
      </c>
      <c r="AE434" s="3">
        <v>0.0</v>
      </c>
      <c r="AF434" s="3">
        <v>0.0</v>
      </c>
      <c r="AG434" s="3">
        <v>0.0</v>
      </c>
    </row>
    <row r="435">
      <c r="A435" s="3" t="s">
        <v>1142</v>
      </c>
      <c r="B435" s="3" t="s">
        <v>1143</v>
      </c>
      <c r="C435" s="3" t="str">
        <f t="shared" si="1"/>
        <v>PT. Mandiri Sejahtera Bersama</v>
      </c>
      <c r="D435" s="3" t="s">
        <v>130</v>
      </c>
      <c r="E435" s="3" t="s">
        <v>187</v>
      </c>
      <c r="F435" s="3" t="s">
        <v>188</v>
      </c>
      <c r="G435" s="3" t="s">
        <v>27</v>
      </c>
      <c r="H435" s="3" t="str">
        <f t="array" ref="H435">XLOOKUP(G:G,'Account Manager Data'!A:A,'Account Manager Data'!B:B,0)</f>
        <v>Dedi Kurniawan</v>
      </c>
      <c r="I435" s="11" t="str">
        <f t="array" ref="I435">XLOOKUP($G:$G,'Account Manager Data'!$A:$A,'Account Manager Data'!C:C)</f>
        <v>Kalimantan</v>
      </c>
      <c r="J435" s="17">
        <v>1743832.0</v>
      </c>
      <c r="K435" s="17">
        <v>9016505.0</v>
      </c>
      <c r="L435" s="17">
        <v>8855237.0</v>
      </c>
      <c r="M435" s="17">
        <v>0.0</v>
      </c>
      <c r="N435" s="17">
        <v>1.0331651E7</v>
      </c>
      <c r="O435" s="17">
        <v>1024301.0</v>
      </c>
      <c r="P435" s="17">
        <v>7139676.0</v>
      </c>
      <c r="Q435" s="17">
        <v>7875319.0</v>
      </c>
      <c r="R435" s="17">
        <v>4005054.0</v>
      </c>
      <c r="S435" s="17">
        <v>8501244.0</v>
      </c>
      <c r="T435" s="17">
        <v>1.8715208E7</v>
      </c>
      <c r="U435" s="17">
        <v>1.4830667E7</v>
      </c>
      <c r="V435" s="11">
        <f t="array" ref="V435">XLOOKUP(A:A,'Raw Revenue'!A:A,'Raw Revenue'!B:B,0)
</f>
        <v>0</v>
      </c>
      <c r="W435" s="11">
        <f t="array" ref="W435">XLOOKUP(A:A,'Raw Revenue'!C:C,'Raw Revenue'!D:D,0)</f>
        <v>0</v>
      </c>
      <c r="X435" s="11">
        <f t="array" ref="X435">XLOOKUP(A:A,'Raw Revenue'!E:E,'Raw Revenue'!F:F,0)</f>
        <v>0</v>
      </c>
      <c r="Y435" s="11">
        <f t="array" ref="Y435">XLOOKUP(A:A,'Raw Revenue'!G:G,'Raw Revenue'!H:H,0)</f>
        <v>0</v>
      </c>
      <c r="Z435" s="11">
        <f t="array" ref="Z435">XLOOKUP(A:A,'Raw Revenue'!I:I,'Raw Revenue'!J:J,0)</f>
        <v>0</v>
      </c>
      <c r="AA435" s="11">
        <f t="array" ref="AA435">XLOOKUP(A:A,'Raw Revenue'!K:K,'Raw Revenue'!L:L,0)</f>
        <v>0</v>
      </c>
      <c r="AB435" s="11">
        <f t="array" ref="AB435">XLOOKUP(A:A,'Raw Revenue'!M:M,'Raw Revenue'!N:N,0)</f>
        <v>0</v>
      </c>
      <c r="AC435" s="3">
        <v>0.0</v>
      </c>
      <c r="AD435" s="3">
        <v>0.0</v>
      </c>
      <c r="AE435" s="3">
        <v>0.0</v>
      </c>
      <c r="AF435" s="3">
        <v>0.0</v>
      </c>
      <c r="AG435" s="3">
        <v>0.0</v>
      </c>
    </row>
    <row r="436">
      <c r="A436" s="3" t="s">
        <v>1144</v>
      </c>
      <c r="B436" s="3" t="s">
        <v>1145</v>
      </c>
      <c r="C436" s="3" t="str">
        <f t="shared" si="1"/>
        <v>PT. Sejahtera Alam Indonesia</v>
      </c>
      <c r="D436" s="3" t="s">
        <v>84</v>
      </c>
      <c r="E436" s="3" t="s">
        <v>187</v>
      </c>
      <c r="F436" s="3" t="s">
        <v>188</v>
      </c>
      <c r="G436" s="3" t="s">
        <v>78</v>
      </c>
      <c r="H436" s="3" t="str">
        <f t="array" ref="H436">XLOOKUP(G:G,'Account Manager Data'!A:A,'Account Manager Data'!B:B,0)</f>
        <v>Ilham Saputra</v>
      </c>
      <c r="I436" s="11" t="str">
        <f t="array" ref="I436">XLOOKUP($G:$G,'Account Manager Data'!$A:$A,'Account Manager Data'!C:C)</f>
        <v>Jawa</v>
      </c>
      <c r="J436" s="17">
        <v>6610796.0</v>
      </c>
      <c r="K436" s="17">
        <v>2574340.0</v>
      </c>
      <c r="L436" s="17">
        <v>5206812.0</v>
      </c>
      <c r="M436" s="17">
        <v>7347044.0</v>
      </c>
      <c r="N436" s="17">
        <v>408222.0</v>
      </c>
      <c r="O436" s="17">
        <v>6481903.0</v>
      </c>
      <c r="P436" s="17">
        <v>1.5385484E7</v>
      </c>
      <c r="Q436" s="17">
        <v>1.3721933E7</v>
      </c>
      <c r="R436" s="17">
        <v>1.5950525E7</v>
      </c>
      <c r="S436" s="17">
        <v>0.0</v>
      </c>
      <c r="T436" s="17">
        <v>1.439988E7</v>
      </c>
      <c r="U436" s="17">
        <v>1.3553473E7</v>
      </c>
      <c r="V436" s="11">
        <f t="array" ref="V436">XLOOKUP(A:A,'Raw Revenue'!A:A,'Raw Revenue'!B:B,0)
</f>
        <v>0</v>
      </c>
      <c r="W436" s="11">
        <f t="array" ref="W436">XLOOKUP(A:A,'Raw Revenue'!C:C,'Raw Revenue'!D:D,0)</f>
        <v>0</v>
      </c>
      <c r="X436" s="11">
        <f t="array" ref="X436">XLOOKUP(A:A,'Raw Revenue'!E:E,'Raw Revenue'!F:F,0)</f>
        <v>0</v>
      </c>
      <c r="Y436" s="11">
        <f t="array" ref="Y436">XLOOKUP(A:A,'Raw Revenue'!G:G,'Raw Revenue'!H:H,0)</f>
        <v>0</v>
      </c>
      <c r="Z436" s="11">
        <f t="array" ref="Z436">XLOOKUP(A:A,'Raw Revenue'!I:I,'Raw Revenue'!J:J,0)</f>
        <v>0</v>
      </c>
      <c r="AA436" s="11">
        <f t="array" ref="AA436">XLOOKUP(A:A,'Raw Revenue'!K:K,'Raw Revenue'!L:L,0)</f>
        <v>0</v>
      </c>
      <c r="AB436" s="11">
        <f t="array" ref="AB436">XLOOKUP(A:A,'Raw Revenue'!M:M,'Raw Revenue'!N:N,0)</f>
        <v>0</v>
      </c>
      <c r="AC436" s="3">
        <v>0.0</v>
      </c>
      <c r="AD436" s="3">
        <v>0.0</v>
      </c>
      <c r="AE436" s="3">
        <v>0.0</v>
      </c>
      <c r="AF436" s="3">
        <v>0.0</v>
      </c>
      <c r="AG436" s="3">
        <v>0.0</v>
      </c>
    </row>
    <row r="437">
      <c r="A437" s="3" t="s">
        <v>1146</v>
      </c>
      <c r="B437" s="3" t="s">
        <v>1147</v>
      </c>
      <c r="C437" s="3" t="str">
        <f t="shared" si="1"/>
        <v>PT. Indah Kargo Logistik</v>
      </c>
      <c r="D437" s="3" t="s">
        <v>195</v>
      </c>
      <c r="E437" s="3" t="s">
        <v>85</v>
      </c>
      <c r="F437" s="3" t="s">
        <v>248</v>
      </c>
      <c r="G437" s="3" t="s">
        <v>63</v>
      </c>
      <c r="H437" s="3" t="str">
        <f t="array" ref="H437">XLOOKUP(G:G,'Account Manager Data'!A:A,'Account Manager Data'!B:B,0)</f>
        <v>Hendra Gunawan</v>
      </c>
      <c r="I437" s="11" t="str">
        <f t="array" ref="I437">XLOOKUP($G:$G,'Account Manager Data'!$A:$A,'Account Manager Data'!C:C)</f>
        <v>Kalimantan</v>
      </c>
      <c r="J437" s="17">
        <v>1785351.0</v>
      </c>
      <c r="K437" s="17">
        <v>8901188.0</v>
      </c>
      <c r="L437" s="17">
        <v>5016816.0</v>
      </c>
      <c r="M437" s="17">
        <v>1.1008433E7</v>
      </c>
      <c r="N437" s="17">
        <v>1.3741499E7</v>
      </c>
      <c r="O437" s="17">
        <v>2750582.0</v>
      </c>
      <c r="P437" s="17">
        <v>6408456.0</v>
      </c>
      <c r="Q437" s="17">
        <v>1640880.0</v>
      </c>
      <c r="R437" s="17">
        <v>0.0</v>
      </c>
      <c r="S437" s="17">
        <v>1.3038051E7</v>
      </c>
      <c r="T437" s="17">
        <v>2266181.0</v>
      </c>
      <c r="U437" s="17">
        <v>1.4187941E7</v>
      </c>
      <c r="V437" s="11">
        <f t="array" ref="V437">XLOOKUP(A:A,'Raw Revenue'!A:A,'Raw Revenue'!B:B,0)
</f>
        <v>0</v>
      </c>
      <c r="W437" s="11">
        <f t="array" ref="W437">XLOOKUP(A:A,'Raw Revenue'!C:C,'Raw Revenue'!D:D,0)</f>
        <v>0</v>
      </c>
      <c r="X437" s="11">
        <f t="array" ref="X437">XLOOKUP(A:A,'Raw Revenue'!E:E,'Raw Revenue'!F:F,0)</f>
        <v>0</v>
      </c>
      <c r="Y437" s="11">
        <f t="array" ref="Y437">XLOOKUP(A:A,'Raw Revenue'!G:G,'Raw Revenue'!H:H,0)</f>
        <v>0</v>
      </c>
      <c r="Z437" s="11">
        <f t="array" ref="Z437">XLOOKUP(A:A,'Raw Revenue'!I:I,'Raw Revenue'!J:J,0)</f>
        <v>0</v>
      </c>
      <c r="AA437" s="11">
        <f t="array" ref="AA437">XLOOKUP(A:A,'Raw Revenue'!K:K,'Raw Revenue'!L:L,0)</f>
        <v>0</v>
      </c>
      <c r="AB437" s="11">
        <f t="array" ref="AB437">XLOOKUP(A:A,'Raw Revenue'!M:M,'Raw Revenue'!N:N,0)</f>
        <v>0</v>
      </c>
      <c r="AC437" s="3">
        <v>0.0</v>
      </c>
      <c r="AD437" s="3">
        <v>0.0</v>
      </c>
      <c r="AE437" s="3">
        <v>0.0</v>
      </c>
      <c r="AF437" s="3">
        <v>0.0</v>
      </c>
      <c r="AG437" s="3">
        <v>0.0</v>
      </c>
    </row>
    <row r="438">
      <c r="A438" s="3" t="s">
        <v>1148</v>
      </c>
      <c r="B438" s="3" t="s">
        <v>1149</v>
      </c>
      <c r="C438" s="3" t="str">
        <f t="shared" si="1"/>
        <v>PT. Berkah Alam Semesta</v>
      </c>
      <c r="D438" s="3" t="s">
        <v>84</v>
      </c>
      <c r="E438" s="3" t="s">
        <v>196</v>
      </c>
      <c r="F438" s="3" t="s">
        <v>197</v>
      </c>
      <c r="G438" s="3" t="s">
        <v>35</v>
      </c>
      <c r="H438" s="3" t="str">
        <f t="array" ref="H438">XLOOKUP(G:G,'Account Manager Data'!A:A,'Account Manager Data'!B:B,0)</f>
        <v>Ahmad Fauzi</v>
      </c>
      <c r="I438" s="11" t="str">
        <f t="array" ref="I438">XLOOKUP($G:$G,'Account Manager Data'!$A:$A,'Account Manager Data'!C:C)</f>
        <v>Sumatera</v>
      </c>
      <c r="J438" s="17">
        <v>5807062.0</v>
      </c>
      <c r="K438" s="17">
        <v>1641995.0</v>
      </c>
      <c r="L438" s="17">
        <v>1377597.0</v>
      </c>
      <c r="M438" s="17">
        <v>221820.0</v>
      </c>
      <c r="N438" s="17">
        <v>1.0939412E7</v>
      </c>
      <c r="O438" s="17">
        <v>1.425886E7</v>
      </c>
      <c r="P438" s="17">
        <v>1.1009E7</v>
      </c>
      <c r="Q438" s="17">
        <v>4358806.0</v>
      </c>
      <c r="R438" s="17">
        <v>1.2925422E7</v>
      </c>
      <c r="S438" s="17">
        <v>1.2083791E7</v>
      </c>
      <c r="T438" s="17">
        <v>1.2267558E7</v>
      </c>
      <c r="U438" s="17">
        <v>0.0</v>
      </c>
      <c r="V438" s="11">
        <f t="array" ref="V438">XLOOKUP(A:A,'Raw Revenue'!A:A,'Raw Revenue'!B:B,0)
</f>
        <v>0</v>
      </c>
      <c r="W438" s="11">
        <f t="array" ref="W438">XLOOKUP(A:A,'Raw Revenue'!C:C,'Raw Revenue'!D:D,0)</f>
        <v>0</v>
      </c>
      <c r="X438" s="11">
        <f t="array" ref="X438">XLOOKUP(A:A,'Raw Revenue'!E:E,'Raw Revenue'!F:F,0)</f>
        <v>0</v>
      </c>
      <c r="Y438" s="11">
        <f t="array" ref="Y438">XLOOKUP(A:A,'Raw Revenue'!G:G,'Raw Revenue'!H:H,0)</f>
        <v>0</v>
      </c>
      <c r="Z438" s="11">
        <f t="array" ref="Z438">XLOOKUP(A:A,'Raw Revenue'!I:I,'Raw Revenue'!J:J,0)</f>
        <v>0</v>
      </c>
      <c r="AA438" s="11">
        <f t="array" ref="AA438">XLOOKUP(A:A,'Raw Revenue'!K:K,'Raw Revenue'!L:L,0)</f>
        <v>0</v>
      </c>
      <c r="AB438" s="11">
        <f t="array" ref="AB438">XLOOKUP(A:A,'Raw Revenue'!M:M,'Raw Revenue'!N:N,0)</f>
        <v>0</v>
      </c>
      <c r="AC438" s="3">
        <v>0.0</v>
      </c>
      <c r="AD438" s="3">
        <v>0.0</v>
      </c>
      <c r="AE438" s="3">
        <v>0.0</v>
      </c>
      <c r="AF438" s="3">
        <v>0.0</v>
      </c>
      <c r="AG438" s="3">
        <v>0.0</v>
      </c>
    </row>
    <row r="439">
      <c r="A439" s="3" t="s">
        <v>1150</v>
      </c>
      <c r="B439" s="3" t="s">
        <v>1151</v>
      </c>
      <c r="C439" s="3" t="str">
        <f t="shared" si="1"/>
        <v>PT. Cahaya Baru Indonesia</v>
      </c>
      <c r="D439" s="3" t="s">
        <v>186</v>
      </c>
      <c r="E439" s="3" t="s">
        <v>104</v>
      </c>
      <c r="F439" s="3" t="s">
        <v>252</v>
      </c>
      <c r="G439" s="3" t="s">
        <v>43</v>
      </c>
      <c r="H439" s="3" t="str">
        <f t="array" ref="H439">XLOOKUP(G:G,'Account Manager Data'!A:A,'Account Manager Data'!B:B,0)</f>
        <v>Eko Prasetyo</v>
      </c>
      <c r="I439" s="11" t="str">
        <f t="array" ref="I439">XLOOKUP($G:$G,'Account Manager Data'!$A:$A,'Account Manager Data'!C:C)</f>
        <v>Papua</v>
      </c>
      <c r="J439" s="17">
        <v>501174.0</v>
      </c>
      <c r="K439" s="17">
        <v>0.0</v>
      </c>
      <c r="L439" s="17">
        <v>4351846.0</v>
      </c>
      <c r="M439" s="17">
        <v>317605.0</v>
      </c>
      <c r="N439" s="17">
        <v>5326462.0</v>
      </c>
      <c r="O439" s="17">
        <v>8658482.0</v>
      </c>
      <c r="P439" s="17">
        <v>0.0</v>
      </c>
      <c r="Q439" s="17">
        <v>1.4124418E7</v>
      </c>
      <c r="R439" s="17">
        <v>1.7094051E7</v>
      </c>
      <c r="S439" s="17">
        <v>1.6024371E7</v>
      </c>
      <c r="T439" s="17">
        <v>1.422392E7</v>
      </c>
      <c r="U439" s="17">
        <v>1.9049858E7</v>
      </c>
      <c r="V439" s="11">
        <f t="array" ref="V439">XLOOKUP(A:A,'Raw Revenue'!A:A,'Raw Revenue'!B:B,0)
</f>
        <v>0</v>
      </c>
      <c r="W439" s="11">
        <f t="array" ref="W439">XLOOKUP(A:A,'Raw Revenue'!C:C,'Raw Revenue'!D:D,0)</f>
        <v>0</v>
      </c>
      <c r="X439" s="11">
        <f t="array" ref="X439">XLOOKUP(A:A,'Raw Revenue'!E:E,'Raw Revenue'!F:F,0)</f>
        <v>0</v>
      </c>
      <c r="Y439" s="11">
        <f t="array" ref="Y439">XLOOKUP(A:A,'Raw Revenue'!G:G,'Raw Revenue'!H:H,0)</f>
        <v>0</v>
      </c>
      <c r="Z439" s="11">
        <f t="array" ref="Z439">XLOOKUP(A:A,'Raw Revenue'!I:I,'Raw Revenue'!J:J,0)</f>
        <v>0</v>
      </c>
      <c r="AA439" s="11">
        <f t="array" ref="AA439">XLOOKUP(A:A,'Raw Revenue'!K:K,'Raw Revenue'!L:L,0)</f>
        <v>0</v>
      </c>
      <c r="AB439" s="11">
        <f t="array" ref="AB439">XLOOKUP(A:A,'Raw Revenue'!M:M,'Raw Revenue'!N:N,0)</f>
        <v>0</v>
      </c>
      <c r="AC439" s="3">
        <v>0.0</v>
      </c>
      <c r="AD439" s="3">
        <v>0.0</v>
      </c>
      <c r="AE439" s="3">
        <v>0.0</v>
      </c>
      <c r="AF439" s="3">
        <v>0.0</v>
      </c>
      <c r="AG439" s="3">
        <v>0.0</v>
      </c>
    </row>
    <row r="440">
      <c r="A440" s="3" t="s">
        <v>1152</v>
      </c>
      <c r="B440" s="3" t="s">
        <v>1153</v>
      </c>
      <c r="C440" s="3" t="str">
        <f t="shared" si="1"/>
        <v>PT. Mentari Pagi Sejahtera</v>
      </c>
      <c r="D440" s="3" t="s">
        <v>214</v>
      </c>
      <c r="E440" s="3" t="s">
        <v>104</v>
      </c>
      <c r="F440" s="3" t="s">
        <v>134</v>
      </c>
      <c r="G440" s="3" t="s">
        <v>74</v>
      </c>
      <c r="H440" s="3" t="str">
        <f t="array" ref="H440">XLOOKUP(G:G,'Account Manager Data'!A:A,'Account Manager Data'!B:B,0)</f>
        <v>Budi Santoso</v>
      </c>
      <c r="I440" s="11" t="str">
        <f t="array" ref="I440">XLOOKUP($G:$G,'Account Manager Data'!$A:$A,'Account Manager Data'!C:C)</f>
        <v>Papua</v>
      </c>
      <c r="J440" s="17">
        <v>8052453.0</v>
      </c>
      <c r="K440" s="17">
        <v>4938868.0</v>
      </c>
      <c r="L440" s="17">
        <v>6936571.0</v>
      </c>
      <c r="M440" s="17">
        <v>8133901.0</v>
      </c>
      <c r="N440" s="17">
        <v>1.3388413E7</v>
      </c>
      <c r="O440" s="17">
        <v>1.4161034E7</v>
      </c>
      <c r="P440" s="17">
        <v>1.1657156E7</v>
      </c>
      <c r="Q440" s="17">
        <v>7289899.0</v>
      </c>
      <c r="R440" s="17">
        <v>1.3275629E7</v>
      </c>
      <c r="S440" s="17">
        <v>1.4365859E7</v>
      </c>
      <c r="T440" s="17">
        <v>1.5077873E7</v>
      </c>
      <c r="U440" s="17">
        <v>8886956.0</v>
      </c>
      <c r="V440" s="11">
        <f t="array" ref="V440">XLOOKUP(A:A,'Raw Revenue'!A:A,'Raw Revenue'!B:B,0)
</f>
        <v>0</v>
      </c>
      <c r="W440" s="11">
        <f t="array" ref="W440">XLOOKUP(A:A,'Raw Revenue'!C:C,'Raw Revenue'!D:D,0)</f>
        <v>0</v>
      </c>
      <c r="X440" s="11">
        <f t="array" ref="X440">XLOOKUP(A:A,'Raw Revenue'!E:E,'Raw Revenue'!F:F,0)</f>
        <v>0</v>
      </c>
      <c r="Y440" s="11">
        <f t="array" ref="Y440">XLOOKUP(A:A,'Raw Revenue'!G:G,'Raw Revenue'!H:H,0)</f>
        <v>0</v>
      </c>
      <c r="Z440" s="11">
        <f t="array" ref="Z440">XLOOKUP(A:A,'Raw Revenue'!I:I,'Raw Revenue'!J:J,0)</f>
        <v>0</v>
      </c>
      <c r="AA440" s="11">
        <f t="array" ref="AA440">XLOOKUP(A:A,'Raw Revenue'!K:K,'Raw Revenue'!L:L,0)</f>
        <v>0</v>
      </c>
      <c r="AB440" s="11">
        <f t="array" ref="AB440">XLOOKUP(A:A,'Raw Revenue'!M:M,'Raw Revenue'!N:N,0)</f>
        <v>0</v>
      </c>
      <c r="AC440" s="3">
        <v>0.0</v>
      </c>
      <c r="AD440" s="3">
        <v>0.0</v>
      </c>
      <c r="AE440" s="3">
        <v>0.0</v>
      </c>
      <c r="AF440" s="3">
        <v>0.0</v>
      </c>
      <c r="AG440" s="3">
        <v>0.0</v>
      </c>
    </row>
    <row r="441">
      <c r="A441" s="3" t="s">
        <v>1154</v>
      </c>
      <c r="B441" s="3" t="s">
        <v>1155</v>
      </c>
      <c r="C441" s="3" t="str">
        <f t="shared" si="1"/>
        <v>PT. Bintang Kejora Nusantara</v>
      </c>
      <c r="D441" s="3" t="s">
        <v>186</v>
      </c>
      <c r="E441" s="3" t="s">
        <v>196</v>
      </c>
      <c r="F441" s="3" t="s">
        <v>260</v>
      </c>
      <c r="G441" s="3" t="s">
        <v>76</v>
      </c>
      <c r="H441" s="3" t="str">
        <f t="array" ref="H441">XLOOKUP(G:G,'Account Manager Data'!A:A,'Account Manager Data'!B:B,0)</f>
        <v>Teguh Wijaya</v>
      </c>
      <c r="I441" s="11" t="str">
        <f t="array" ref="I441">XLOOKUP($G:$G,'Account Manager Data'!$A:$A,'Account Manager Data'!C:C)</f>
        <v>Sulawesi</v>
      </c>
      <c r="J441" s="17">
        <v>2783637.0</v>
      </c>
      <c r="K441" s="17">
        <v>6023263.0</v>
      </c>
      <c r="L441" s="17">
        <v>7261055.0</v>
      </c>
      <c r="M441" s="17">
        <v>0.0</v>
      </c>
      <c r="N441" s="17">
        <v>8651324.0</v>
      </c>
      <c r="O441" s="17">
        <v>1.2178387E7</v>
      </c>
      <c r="P441" s="17">
        <v>1.6206466E7</v>
      </c>
      <c r="Q441" s="17">
        <v>1925832.0</v>
      </c>
      <c r="R441" s="17">
        <v>5120792.0</v>
      </c>
      <c r="S441" s="17">
        <v>4242805.0</v>
      </c>
      <c r="T441" s="17">
        <v>1.6427164E7</v>
      </c>
      <c r="U441" s="17">
        <v>3298287.0</v>
      </c>
      <c r="V441" s="11">
        <f t="array" ref="V441">XLOOKUP(A:A,'Raw Revenue'!A:A,'Raw Revenue'!B:B,0)
</f>
        <v>0</v>
      </c>
      <c r="W441" s="11">
        <f t="array" ref="W441">XLOOKUP(A:A,'Raw Revenue'!C:C,'Raw Revenue'!D:D,0)</f>
        <v>0</v>
      </c>
      <c r="X441" s="11">
        <f t="array" ref="X441">XLOOKUP(A:A,'Raw Revenue'!E:E,'Raw Revenue'!F:F,0)</f>
        <v>0</v>
      </c>
      <c r="Y441" s="11">
        <f t="array" ref="Y441">XLOOKUP(A:A,'Raw Revenue'!G:G,'Raw Revenue'!H:H,0)</f>
        <v>0</v>
      </c>
      <c r="Z441" s="11">
        <f t="array" ref="Z441">XLOOKUP(A:A,'Raw Revenue'!I:I,'Raw Revenue'!J:J,0)</f>
        <v>0</v>
      </c>
      <c r="AA441" s="11">
        <f t="array" ref="AA441">XLOOKUP(A:A,'Raw Revenue'!K:K,'Raw Revenue'!L:L,0)</f>
        <v>0</v>
      </c>
      <c r="AB441" s="11">
        <f t="array" ref="AB441">XLOOKUP(A:A,'Raw Revenue'!M:M,'Raw Revenue'!N:N,0)</f>
        <v>0</v>
      </c>
      <c r="AC441" s="3">
        <v>0.0</v>
      </c>
      <c r="AD441" s="3">
        <v>0.0</v>
      </c>
      <c r="AE441" s="3">
        <v>0.0</v>
      </c>
      <c r="AF441" s="3">
        <v>0.0</v>
      </c>
      <c r="AG441" s="3">
        <v>0.0</v>
      </c>
    </row>
    <row r="442">
      <c r="A442" s="3" t="s">
        <v>1156</v>
      </c>
      <c r="B442" s="3" t="s">
        <v>1157</v>
      </c>
      <c r="C442" s="3" t="str">
        <f t="shared" si="1"/>
        <v>PT. Maju Jaya</v>
      </c>
      <c r="D442" s="3" t="s">
        <v>195</v>
      </c>
      <c r="E442" s="3" t="s">
        <v>215</v>
      </c>
      <c r="F442" s="3" t="s">
        <v>300</v>
      </c>
      <c r="G442" s="3" t="s">
        <v>70</v>
      </c>
      <c r="H442" s="3" t="str">
        <f t="array" ref="H442">XLOOKUP(G:G,'Account Manager Data'!A:A,'Account Manager Data'!B:B,0)</f>
        <v>Yusuf Hidayat</v>
      </c>
      <c r="I442" s="11" t="str">
        <f t="array" ref="I442">XLOOKUP($G:$G,'Account Manager Data'!$A:$A,'Account Manager Data'!C:C)</f>
        <v>Sumatera</v>
      </c>
      <c r="J442" s="17">
        <v>5679039.0</v>
      </c>
      <c r="K442" s="17">
        <v>5774502.0</v>
      </c>
      <c r="L442" s="17">
        <v>69181.0</v>
      </c>
      <c r="M442" s="17">
        <v>5758481.0</v>
      </c>
      <c r="N442" s="17">
        <v>0.0</v>
      </c>
      <c r="O442" s="17">
        <v>1.0089445E7</v>
      </c>
      <c r="P442" s="17">
        <v>1.2771696E7</v>
      </c>
      <c r="Q442" s="17">
        <v>1.5488659E7</v>
      </c>
      <c r="R442" s="17">
        <v>776543.0</v>
      </c>
      <c r="S442" s="17">
        <v>2240065.0</v>
      </c>
      <c r="T442" s="17">
        <v>5494733.0</v>
      </c>
      <c r="U442" s="17">
        <v>6629754.0</v>
      </c>
      <c r="V442" s="11">
        <f t="array" ref="V442">XLOOKUP(A:A,'Raw Revenue'!A:A,'Raw Revenue'!B:B,0)
</f>
        <v>0</v>
      </c>
      <c r="W442" s="11">
        <f t="array" ref="W442">XLOOKUP(A:A,'Raw Revenue'!C:C,'Raw Revenue'!D:D,0)</f>
        <v>0</v>
      </c>
      <c r="X442" s="11">
        <f t="array" ref="X442">XLOOKUP(A:A,'Raw Revenue'!E:E,'Raw Revenue'!F:F,0)</f>
        <v>0</v>
      </c>
      <c r="Y442" s="11">
        <f t="array" ref="Y442">XLOOKUP(A:A,'Raw Revenue'!G:G,'Raw Revenue'!H:H,0)</f>
        <v>0</v>
      </c>
      <c r="Z442" s="11">
        <f t="array" ref="Z442">XLOOKUP(A:A,'Raw Revenue'!I:I,'Raw Revenue'!J:J,0)</f>
        <v>0</v>
      </c>
      <c r="AA442" s="11">
        <f t="array" ref="AA442">XLOOKUP(A:A,'Raw Revenue'!K:K,'Raw Revenue'!L:L,0)</f>
        <v>0</v>
      </c>
      <c r="AB442" s="11">
        <f t="array" ref="AB442">XLOOKUP(A:A,'Raw Revenue'!M:M,'Raw Revenue'!N:N,0)</f>
        <v>0</v>
      </c>
      <c r="AC442" s="3">
        <v>0.0</v>
      </c>
      <c r="AD442" s="3">
        <v>0.0</v>
      </c>
      <c r="AE442" s="3">
        <v>0.0</v>
      </c>
      <c r="AF442" s="3">
        <v>0.0</v>
      </c>
      <c r="AG442" s="3">
        <v>0.0</v>
      </c>
    </row>
    <row r="443">
      <c r="A443" s="3" t="s">
        <v>1158</v>
      </c>
      <c r="B443" s="3" t="s">
        <v>1159</v>
      </c>
      <c r="C443" s="3" t="str">
        <f t="shared" si="1"/>
        <v>CV. Sumber Makmur</v>
      </c>
      <c r="D443" s="3" t="s">
        <v>130</v>
      </c>
      <c r="E443" s="3" t="s">
        <v>196</v>
      </c>
      <c r="F443" s="3" t="s">
        <v>197</v>
      </c>
      <c r="G443" s="3" t="s">
        <v>15</v>
      </c>
      <c r="H443" s="3" t="str">
        <f t="array" ref="H443">XLOOKUP(G:G,'Account Manager Data'!A:A,'Account Manager Data'!B:B,0)</f>
        <v>Rizky Maulana</v>
      </c>
      <c r="I443" s="11" t="str">
        <f t="array" ref="I443">XLOOKUP($G:$G,'Account Manager Data'!$A:$A,'Account Manager Data'!C:C)</f>
        <v>Jawa</v>
      </c>
      <c r="J443" s="17">
        <v>4301307.0</v>
      </c>
      <c r="K443" s="17">
        <v>3575786.0</v>
      </c>
      <c r="L443" s="17">
        <v>1189337.0</v>
      </c>
      <c r="M443" s="17">
        <v>1.0128567E7</v>
      </c>
      <c r="N443" s="17">
        <v>1.1795559E7</v>
      </c>
      <c r="O443" s="17">
        <v>0.0</v>
      </c>
      <c r="P443" s="17">
        <v>1.523872E7</v>
      </c>
      <c r="Q443" s="17">
        <v>4786184.0</v>
      </c>
      <c r="R443" s="17">
        <v>6225615.0</v>
      </c>
      <c r="S443" s="17">
        <v>1.4473368E7</v>
      </c>
      <c r="T443" s="17">
        <v>1.8246904E7</v>
      </c>
      <c r="U443" s="17">
        <v>4104167.0</v>
      </c>
      <c r="V443" s="11">
        <f t="array" ref="V443">XLOOKUP(A:A,'Raw Revenue'!A:A,'Raw Revenue'!B:B,0)
</f>
        <v>0</v>
      </c>
      <c r="W443" s="11">
        <f t="array" ref="W443">XLOOKUP(A:A,'Raw Revenue'!C:C,'Raw Revenue'!D:D,0)</f>
        <v>0</v>
      </c>
      <c r="X443" s="11">
        <f t="array" ref="X443">XLOOKUP(A:A,'Raw Revenue'!E:E,'Raw Revenue'!F:F,0)</f>
        <v>0</v>
      </c>
      <c r="Y443" s="11">
        <f t="array" ref="Y443">XLOOKUP(A:A,'Raw Revenue'!G:G,'Raw Revenue'!H:H,0)</f>
        <v>0</v>
      </c>
      <c r="Z443" s="11">
        <f t="array" ref="Z443">XLOOKUP(A:A,'Raw Revenue'!I:I,'Raw Revenue'!J:J,0)</f>
        <v>0</v>
      </c>
      <c r="AA443" s="11">
        <f t="array" ref="AA443">XLOOKUP(A:A,'Raw Revenue'!K:K,'Raw Revenue'!L:L,0)</f>
        <v>0</v>
      </c>
      <c r="AB443" s="11">
        <f t="array" ref="AB443">XLOOKUP(A:A,'Raw Revenue'!M:M,'Raw Revenue'!N:N,0)</f>
        <v>0</v>
      </c>
      <c r="AC443" s="3">
        <v>0.0</v>
      </c>
      <c r="AD443" s="3">
        <v>0.0</v>
      </c>
      <c r="AE443" s="3">
        <v>0.0</v>
      </c>
      <c r="AF443" s="3">
        <v>0.0</v>
      </c>
      <c r="AG443" s="3">
        <v>0.0</v>
      </c>
    </row>
    <row r="444">
      <c r="A444" s="3" t="s">
        <v>1160</v>
      </c>
      <c r="B444" s="3" t="s">
        <v>1161</v>
      </c>
      <c r="C444" s="3" t="str">
        <f t="shared" si="1"/>
        <v>PT. Teknologi Nusantara</v>
      </c>
      <c r="D444" s="3" t="s">
        <v>186</v>
      </c>
      <c r="E444" s="3" t="s">
        <v>85</v>
      </c>
      <c r="F444" s="3" t="s">
        <v>86</v>
      </c>
      <c r="G444" s="3" t="s">
        <v>27</v>
      </c>
      <c r="H444" s="3" t="str">
        <f t="array" ref="H444">XLOOKUP(G:G,'Account Manager Data'!A:A,'Account Manager Data'!B:B,0)</f>
        <v>Dedi Kurniawan</v>
      </c>
      <c r="I444" s="11" t="str">
        <f t="array" ref="I444">XLOOKUP($G:$G,'Account Manager Data'!$A:$A,'Account Manager Data'!C:C)</f>
        <v>Kalimantan</v>
      </c>
      <c r="J444" s="17">
        <v>4838599.0</v>
      </c>
      <c r="K444" s="17">
        <v>4564286.0</v>
      </c>
      <c r="L444" s="17">
        <v>178855.0</v>
      </c>
      <c r="M444" s="17">
        <v>4215199.0</v>
      </c>
      <c r="N444" s="17">
        <v>8738686.0</v>
      </c>
      <c r="O444" s="17">
        <v>1.1913508E7</v>
      </c>
      <c r="P444" s="17">
        <v>1428308.0</v>
      </c>
      <c r="Q444" s="17">
        <v>1.4645347E7</v>
      </c>
      <c r="R444" s="17">
        <v>4103526.0</v>
      </c>
      <c r="S444" s="17">
        <v>7557054.0</v>
      </c>
      <c r="T444" s="17">
        <v>1.733948E7</v>
      </c>
      <c r="U444" s="17">
        <v>8417941.0</v>
      </c>
      <c r="V444" s="11">
        <f t="array" ref="V444">XLOOKUP(A:A,'Raw Revenue'!A:A,'Raw Revenue'!B:B,0)
</f>
        <v>0</v>
      </c>
      <c r="W444" s="11">
        <f t="array" ref="W444">XLOOKUP(A:A,'Raw Revenue'!C:C,'Raw Revenue'!D:D,0)</f>
        <v>0</v>
      </c>
      <c r="X444" s="11">
        <f t="array" ref="X444">XLOOKUP(A:A,'Raw Revenue'!E:E,'Raw Revenue'!F:F,0)</f>
        <v>0</v>
      </c>
      <c r="Y444" s="11">
        <f t="array" ref="Y444">XLOOKUP(A:A,'Raw Revenue'!G:G,'Raw Revenue'!H:H,0)</f>
        <v>0</v>
      </c>
      <c r="Z444" s="11">
        <f t="array" ref="Z444">XLOOKUP(A:A,'Raw Revenue'!I:I,'Raw Revenue'!J:J,0)</f>
        <v>0</v>
      </c>
      <c r="AA444" s="11">
        <f t="array" ref="AA444">XLOOKUP(A:A,'Raw Revenue'!K:K,'Raw Revenue'!L:L,0)</f>
        <v>0</v>
      </c>
      <c r="AB444" s="11">
        <f t="array" ref="AB444">XLOOKUP(A:A,'Raw Revenue'!M:M,'Raw Revenue'!N:N,0)</f>
        <v>0</v>
      </c>
      <c r="AC444" s="3">
        <v>0.0</v>
      </c>
      <c r="AD444" s="3">
        <v>0.0</v>
      </c>
      <c r="AE444" s="3">
        <v>0.0</v>
      </c>
      <c r="AF444" s="3">
        <v>0.0</v>
      </c>
      <c r="AG444" s="3">
        <v>0.0</v>
      </c>
    </row>
    <row r="445">
      <c r="A445" s="3" t="s">
        <v>418</v>
      </c>
      <c r="B445" s="3" t="s">
        <v>1162</v>
      </c>
      <c r="C445" s="3" t="str">
        <f t="shared" si="1"/>
        <v>PT. Bakti Indonesia</v>
      </c>
      <c r="D445" s="3" t="s">
        <v>103</v>
      </c>
      <c r="E445" s="3" t="s">
        <v>85</v>
      </c>
      <c r="F445" s="3" t="s">
        <v>86</v>
      </c>
      <c r="G445" s="3" t="s">
        <v>78</v>
      </c>
      <c r="H445" s="3" t="str">
        <f t="array" ref="H445">XLOOKUP(G:G,'Account Manager Data'!A:A,'Account Manager Data'!B:B,0)</f>
        <v>Ilham Saputra</v>
      </c>
      <c r="I445" s="11" t="str">
        <f t="array" ref="I445">XLOOKUP($G:$G,'Account Manager Data'!$A:$A,'Account Manager Data'!C:C)</f>
        <v>Jawa</v>
      </c>
      <c r="J445" s="17">
        <v>7459635.0</v>
      </c>
      <c r="K445" s="17">
        <v>3225714.0</v>
      </c>
      <c r="L445" s="17">
        <v>5961068.0</v>
      </c>
      <c r="M445" s="17">
        <v>6186871.0</v>
      </c>
      <c r="N445" s="17">
        <v>1.1347104E7</v>
      </c>
      <c r="O445" s="17">
        <v>1.0495159E7</v>
      </c>
      <c r="P445" s="17">
        <v>623444.0</v>
      </c>
      <c r="Q445" s="17">
        <v>1.2643922E7</v>
      </c>
      <c r="R445" s="17">
        <v>98919.0</v>
      </c>
      <c r="S445" s="17">
        <v>1.7096406E7</v>
      </c>
      <c r="T445" s="17">
        <v>4785841.0</v>
      </c>
      <c r="U445" s="17">
        <v>4048180.0</v>
      </c>
      <c r="V445" s="11">
        <f t="array" ref="V445">XLOOKUP(A:A,'Raw Revenue'!A:A,'Raw Revenue'!B:B,0)
</f>
        <v>357026.1169</v>
      </c>
      <c r="W445" s="11">
        <f t="array" ref="W445">XLOOKUP(A:A,'Raw Revenue'!C:C,'Raw Revenue'!D:D,0)</f>
        <v>178513.0584</v>
      </c>
      <c r="X445" s="11">
        <f t="array" ref="X445">XLOOKUP(A:A,'Raw Revenue'!E:E,'Raw Revenue'!F:F,0)</f>
        <v>107107.8351</v>
      </c>
      <c r="Y445" s="11">
        <f t="array" ref="Y445">XLOOKUP(A:A,'Raw Revenue'!G:G,'Raw Revenue'!H:H,0)</f>
        <v>1249591.409</v>
      </c>
      <c r="Z445" s="11">
        <f t="array" ref="Z445">XLOOKUP(A:A,'Raw Revenue'!I:I,'Raw Revenue'!J:J,0)</f>
        <v>285620.8935</v>
      </c>
      <c r="AA445" s="11">
        <f t="array" ref="AA445">XLOOKUP(A:A,'Raw Revenue'!K:K,'Raw Revenue'!L:L,0)</f>
        <v>8033.08763</v>
      </c>
      <c r="AB445" s="11">
        <f t="array" ref="AB445">XLOOKUP(A:A,'Raw Revenue'!M:M,'Raw Revenue'!N:N,0)</f>
        <v>1076433.742</v>
      </c>
      <c r="AC445" s="3">
        <v>0.0</v>
      </c>
      <c r="AD445" s="3">
        <v>0.0</v>
      </c>
      <c r="AE445" s="3">
        <v>0.0</v>
      </c>
      <c r="AF445" s="3">
        <v>0.0</v>
      </c>
      <c r="AG445" s="3">
        <v>0.0</v>
      </c>
    </row>
    <row r="446">
      <c r="A446" s="3" t="s">
        <v>299</v>
      </c>
      <c r="B446" s="3" t="s">
        <v>1163</v>
      </c>
      <c r="C446" s="3" t="str">
        <f t="shared" si="1"/>
        <v>CV. Amanah Sejahtera</v>
      </c>
      <c r="D446" s="3" t="s">
        <v>103</v>
      </c>
      <c r="E446" s="3" t="s">
        <v>187</v>
      </c>
      <c r="F446" s="3" t="s">
        <v>269</v>
      </c>
      <c r="G446" s="3" t="s">
        <v>53</v>
      </c>
      <c r="H446" s="3" t="str">
        <f t="array" ref="H446">XLOOKUP(G:G,'Account Manager Data'!A:A,'Account Manager Data'!B:B,0)</f>
        <v>Fajar Ramadhan</v>
      </c>
      <c r="I446" s="11" t="str">
        <f t="array" ref="I446">XLOOKUP($G:$G,'Account Manager Data'!$A:$A,'Account Manager Data'!C:C)</f>
        <v>Sulawesi</v>
      </c>
      <c r="J446" s="17">
        <v>2451814.0</v>
      </c>
      <c r="K446" s="17">
        <v>507525.0</v>
      </c>
      <c r="L446" s="17">
        <v>5401543.0</v>
      </c>
      <c r="M446" s="17">
        <v>2681639.0</v>
      </c>
      <c r="N446" s="17">
        <v>1.1657601E7</v>
      </c>
      <c r="O446" s="17">
        <v>553688.0</v>
      </c>
      <c r="P446" s="17">
        <v>1.4052001E7</v>
      </c>
      <c r="Q446" s="17">
        <v>1.6048984E7</v>
      </c>
      <c r="R446" s="17">
        <v>8267096.0</v>
      </c>
      <c r="S446" s="17">
        <v>1.19238E7</v>
      </c>
      <c r="T446" s="17">
        <v>1.0099399E7</v>
      </c>
      <c r="U446" s="17">
        <v>7667859.0</v>
      </c>
      <c r="V446" s="11">
        <f t="array" ref="V446">XLOOKUP(A:A,'Raw Revenue'!A:A,'Raw Revenue'!B:B,0)
</f>
        <v>2227842.969</v>
      </c>
      <c r="W446" s="11">
        <f t="array" ref="W446">XLOOKUP(A:A,'Raw Revenue'!C:C,'Raw Revenue'!D:D,0)</f>
        <v>2227842.969</v>
      </c>
      <c r="X446" s="11">
        <f t="array" ref="X446">XLOOKUP(A:A,'Raw Revenue'!E:E,'Raw Revenue'!F:F,0)</f>
        <v>0</v>
      </c>
      <c r="Y446" s="11">
        <f t="array" ref="Y446">XLOOKUP(A:A,'Raw Revenue'!G:G,'Raw Revenue'!H:H,0)</f>
        <v>3638810.183</v>
      </c>
      <c r="Z446" s="11">
        <f t="array" ref="Z446">XLOOKUP(A:A,'Raw Revenue'!I:I,'Raw Revenue'!J:J,0)</f>
        <v>3267503.022</v>
      </c>
      <c r="AA446" s="11">
        <f t="array" ref="AA446">XLOOKUP(A:A,'Raw Revenue'!K:K,'Raw Revenue'!L:L,0)</f>
        <v>8354411.135</v>
      </c>
      <c r="AB446" s="11">
        <f t="array" ref="AB446">XLOOKUP(A:A,'Raw Revenue'!M:M,'Raw Revenue'!N:N,0)</f>
        <v>7686058.244</v>
      </c>
      <c r="AC446" s="3">
        <v>0.0</v>
      </c>
      <c r="AD446" s="3">
        <v>0.0</v>
      </c>
      <c r="AE446" s="3">
        <v>0.0</v>
      </c>
      <c r="AF446" s="3">
        <v>0.0</v>
      </c>
      <c r="AG446" s="3">
        <v>0.0</v>
      </c>
    </row>
    <row r="447">
      <c r="A447" s="3" t="s">
        <v>1164</v>
      </c>
      <c r="B447" s="3" t="s">
        <v>1165</v>
      </c>
      <c r="C447" s="3" t="str">
        <f t="shared" si="1"/>
        <v>PT. Digital Solusi Pratama</v>
      </c>
      <c r="D447" s="3" t="s">
        <v>84</v>
      </c>
      <c r="E447" s="3" t="s">
        <v>85</v>
      </c>
      <c r="F447" s="3" t="s">
        <v>407</v>
      </c>
      <c r="G447" s="3" t="s">
        <v>63</v>
      </c>
      <c r="H447" s="3" t="str">
        <f t="array" ref="H447">XLOOKUP(G:G,'Account Manager Data'!A:A,'Account Manager Data'!B:B,0)</f>
        <v>Hendra Gunawan</v>
      </c>
      <c r="I447" s="11" t="str">
        <f t="array" ref="I447">XLOOKUP($G:$G,'Account Manager Data'!$A:$A,'Account Manager Data'!C:C)</f>
        <v>Kalimantan</v>
      </c>
      <c r="J447" s="17">
        <v>3692866.0</v>
      </c>
      <c r="K447" s="17">
        <v>1577355.0</v>
      </c>
      <c r="L447" s="17">
        <v>8455422.0</v>
      </c>
      <c r="M447" s="17">
        <v>4711974.0</v>
      </c>
      <c r="N447" s="17">
        <v>3990517.0</v>
      </c>
      <c r="O447" s="17">
        <v>1.3892235E7</v>
      </c>
      <c r="P447" s="17">
        <v>1.5798606E7</v>
      </c>
      <c r="Q447" s="17">
        <v>56006.0</v>
      </c>
      <c r="R447" s="17">
        <v>7370369.0</v>
      </c>
      <c r="S447" s="17">
        <v>0.0</v>
      </c>
      <c r="T447" s="17">
        <v>1.0003349E7</v>
      </c>
      <c r="U447" s="17">
        <v>1.8014615E7</v>
      </c>
      <c r="V447" s="11">
        <f t="array" ref="V447">XLOOKUP(A:A,'Raw Revenue'!A:A,'Raw Revenue'!B:B,0)
</f>
        <v>0</v>
      </c>
      <c r="W447" s="11">
        <f t="array" ref="W447">XLOOKUP(A:A,'Raw Revenue'!C:C,'Raw Revenue'!D:D,0)</f>
        <v>0</v>
      </c>
      <c r="X447" s="11">
        <f t="array" ref="X447">XLOOKUP(A:A,'Raw Revenue'!E:E,'Raw Revenue'!F:F,0)</f>
        <v>0</v>
      </c>
      <c r="Y447" s="11">
        <f t="array" ref="Y447">XLOOKUP(A:A,'Raw Revenue'!G:G,'Raw Revenue'!H:H,0)</f>
        <v>0</v>
      </c>
      <c r="Z447" s="11">
        <f t="array" ref="Z447">XLOOKUP(A:A,'Raw Revenue'!I:I,'Raw Revenue'!J:J,0)</f>
        <v>0</v>
      </c>
      <c r="AA447" s="11">
        <f t="array" ref="AA447">XLOOKUP(A:A,'Raw Revenue'!K:K,'Raw Revenue'!L:L,0)</f>
        <v>0</v>
      </c>
      <c r="AB447" s="11">
        <f t="array" ref="AB447">XLOOKUP(A:A,'Raw Revenue'!M:M,'Raw Revenue'!N:N,0)</f>
        <v>0</v>
      </c>
      <c r="AC447" s="3">
        <v>0.0</v>
      </c>
      <c r="AD447" s="3">
        <v>0.0</v>
      </c>
      <c r="AE447" s="3">
        <v>0.0</v>
      </c>
      <c r="AF447" s="3">
        <v>0.0</v>
      </c>
      <c r="AG447" s="3">
        <v>0.0</v>
      </c>
    </row>
    <row r="448">
      <c r="A448" s="3" t="s">
        <v>1166</v>
      </c>
      <c r="B448" s="3" t="s">
        <v>1167</v>
      </c>
      <c r="C448" s="3" t="str">
        <f t="shared" si="1"/>
        <v>PT. Global Niaga Abadi</v>
      </c>
      <c r="D448" s="3" t="s">
        <v>84</v>
      </c>
      <c r="E448" s="3" t="s">
        <v>85</v>
      </c>
      <c r="F448" s="3" t="s">
        <v>248</v>
      </c>
      <c r="G448" s="3" t="s">
        <v>35</v>
      </c>
      <c r="H448" s="3" t="str">
        <f t="array" ref="H448">XLOOKUP(G:G,'Account Manager Data'!A:A,'Account Manager Data'!B:B,0)</f>
        <v>Ahmad Fauzi</v>
      </c>
      <c r="I448" s="11" t="str">
        <f t="array" ref="I448">XLOOKUP($G:$G,'Account Manager Data'!$A:$A,'Account Manager Data'!C:C)</f>
        <v>Sumatera</v>
      </c>
      <c r="J448" s="17">
        <v>1253709.0</v>
      </c>
      <c r="K448" s="17">
        <v>2681014.0</v>
      </c>
      <c r="L448" s="17">
        <v>6150824.0</v>
      </c>
      <c r="M448" s="17">
        <v>1.0653195E7</v>
      </c>
      <c r="N448" s="17">
        <v>2833530.0</v>
      </c>
      <c r="O448" s="17">
        <v>892955.0</v>
      </c>
      <c r="P448" s="17">
        <v>1.2691399E7</v>
      </c>
      <c r="Q448" s="17">
        <v>7372567.0</v>
      </c>
      <c r="R448" s="17">
        <v>2245798.0</v>
      </c>
      <c r="S448" s="17">
        <v>4824544.0</v>
      </c>
      <c r="T448" s="17">
        <v>1.6360466E7</v>
      </c>
      <c r="U448" s="17">
        <v>1.4349579E7</v>
      </c>
      <c r="V448" s="11">
        <f t="array" ref="V448">XLOOKUP(A:A,'Raw Revenue'!A:A,'Raw Revenue'!B:B,0)
</f>
        <v>0</v>
      </c>
      <c r="W448" s="11">
        <f t="array" ref="W448">XLOOKUP(A:A,'Raw Revenue'!C:C,'Raw Revenue'!D:D,0)</f>
        <v>0</v>
      </c>
      <c r="X448" s="11">
        <f t="array" ref="X448">XLOOKUP(A:A,'Raw Revenue'!E:E,'Raw Revenue'!F:F,0)</f>
        <v>0</v>
      </c>
      <c r="Y448" s="11">
        <f t="array" ref="Y448">XLOOKUP(A:A,'Raw Revenue'!G:G,'Raw Revenue'!H:H,0)</f>
        <v>0</v>
      </c>
      <c r="Z448" s="11">
        <f t="array" ref="Z448">XLOOKUP(A:A,'Raw Revenue'!I:I,'Raw Revenue'!J:J,0)</f>
        <v>0</v>
      </c>
      <c r="AA448" s="11">
        <f t="array" ref="AA448">XLOOKUP(A:A,'Raw Revenue'!K:K,'Raw Revenue'!L:L,0)</f>
        <v>0</v>
      </c>
      <c r="AB448" s="11">
        <f t="array" ref="AB448">XLOOKUP(A:A,'Raw Revenue'!M:M,'Raw Revenue'!N:N,0)</f>
        <v>0</v>
      </c>
      <c r="AC448" s="3">
        <v>0.0</v>
      </c>
      <c r="AD448" s="3">
        <v>0.0</v>
      </c>
      <c r="AE448" s="3">
        <v>0.0</v>
      </c>
      <c r="AF448" s="3">
        <v>0.0</v>
      </c>
      <c r="AG448" s="3">
        <v>0.0</v>
      </c>
    </row>
    <row r="449">
      <c r="A449" s="3" t="s">
        <v>1168</v>
      </c>
      <c r="B449" s="3" t="s">
        <v>1169</v>
      </c>
      <c r="C449" s="3" t="str">
        <f t="shared" si="1"/>
        <v>PT. Indo Makmur Sentosa</v>
      </c>
      <c r="D449" s="3" t="s">
        <v>195</v>
      </c>
      <c r="E449" s="3" t="s">
        <v>104</v>
      </c>
      <c r="F449" s="3" t="s">
        <v>252</v>
      </c>
      <c r="G449" s="3" t="s">
        <v>74</v>
      </c>
      <c r="H449" s="3" t="str">
        <f t="array" ref="H449">XLOOKUP(G:G,'Account Manager Data'!A:A,'Account Manager Data'!B:B,0)</f>
        <v>Budi Santoso</v>
      </c>
      <c r="I449" s="11" t="str">
        <f t="array" ref="I449">XLOOKUP($G:$G,'Account Manager Data'!$A:$A,'Account Manager Data'!C:C)</f>
        <v>Papua</v>
      </c>
      <c r="J449" s="17">
        <v>177557.0</v>
      </c>
      <c r="K449" s="17">
        <v>4934813.0</v>
      </c>
      <c r="L449" s="17">
        <v>1570046.0</v>
      </c>
      <c r="M449" s="17">
        <v>1035097.0</v>
      </c>
      <c r="N449" s="17">
        <v>1.1579642E7</v>
      </c>
      <c r="O449" s="17">
        <v>1603819.0</v>
      </c>
      <c r="P449" s="17">
        <v>4226172.0</v>
      </c>
      <c r="Q449" s="17">
        <v>533133.0</v>
      </c>
      <c r="R449" s="17">
        <v>1.5924166E7</v>
      </c>
      <c r="S449" s="17">
        <v>1.3744258E7</v>
      </c>
      <c r="T449" s="17">
        <v>1.133615E7</v>
      </c>
      <c r="U449" s="17">
        <v>6111620.0</v>
      </c>
      <c r="V449" s="11">
        <f t="array" ref="V449">XLOOKUP(A:A,'Raw Revenue'!A:A,'Raw Revenue'!B:B,0)
</f>
        <v>0</v>
      </c>
      <c r="W449" s="11">
        <f t="array" ref="W449">XLOOKUP(A:A,'Raw Revenue'!C:C,'Raw Revenue'!D:D,0)</f>
        <v>0</v>
      </c>
      <c r="X449" s="11">
        <f t="array" ref="X449">XLOOKUP(A:A,'Raw Revenue'!E:E,'Raw Revenue'!F:F,0)</f>
        <v>0</v>
      </c>
      <c r="Y449" s="11">
        <f t="array" ref="Y449">XLOOKUP(A:A,'Raw Revenue'!G:G,'Raw Revenue'!H:H,0)</f>
        <v>0</v>
      </c>
      <c r="Z449" s="11">
        <f t="array" ref="Z449">XLOOKUP(A:A,'Raw Revenue'!I:I,'Raw Revenue'!J:J,0)</f>
        <v>0</v>
      </c>
      <c r="AA449" s="11">
        <f t="array" ref="AA449">XLOOKUP(A:A,'Raw Revenue'!K:K,'Raw Revenue'!L:L,0)</f>
        <v>0</v>
      </c>
      <c r="AB449" s="11">
        <f t="array" ref="AB449">XLOOKUP(A:A,'Raw Revenue'!M:M,'Raw Revenue'!N:N,0)</f>
        <v>0</v>
      </c>
      <c r="AC449" s="3">
        <v>0.0</v>
      </c>
      <c r="AD449" s="3">
        <v>0.0</v>
      </c>
      <c r="AE449" s="3">
        <v>0.0</v>
      </c>
      <c r="AF449" s="3">
        <v>0.0</v>
      </c>
      <c r="AG449" s="3">
        <v>0.0</v>
      </c>
    </row>
    <row r="450">
      <c r="A450" s="3" t="s">
        <v>1170</v>
      </c>
      <c r="B450" s="3" t="s">
        <v>1171</v>
      </c>
      <c r="C450" s="3" t="str">
        <f t="shared" si="1"/>
        <v>PT. Citra Mandiri Utama</v>
      </c>
      <c r="D450" s="3" t="s">
        <v>130</v>
      </c>
      <c r="E450" s="3" t="s">
        <v>187</v>
      </c>
      <c r="F450" s="3" t="s">
        <v>295</v>
      </c>
      <c r="G450" s="3" t="s">
        <v>43</v>
      </c>
      <c r="H450" s="3" t="str">
        <f t="array" ref="H450">XLOOKUP(G:G,'Account Manager Data'!A:A,'Account Manager Data'!B:B,0)</f>
        <v>Eko Prasetyo</v>
      </c>
      <c r="I450" s="11" t="str">
        <f t="array" ref="I450">XLOOKUP($G:$G,'Account Manager Data'!$A:$A,'Account Manager Data'!C:C)</f>
        <v>Papua</v>
      </c>
      <c r="J450" s="17">
        <v>1377283.0</v>
      </c>
      <c r="K450" s="17">
        <v>2044019.0</v>
      </c>
      <c r="L450" s="17">
        <v>7447006.0</v>
      </c>
      <c r="M450" s="17">
        <v>9116773.0</v>
      </c>
      <c r="N450" s="17">
        <v>5774266.0</v>
      </c>
      <c r="O450" s="17">
        <v>4063000.0</v>
      </c>
      <c r="P450" s="17">
        <v>3729331.0</v>
      </c>
      <c r="Q450" s="17">
        <v>2375137.0</v>
      </c>
      <c r="R450" s="17">
        <v>0.0</v>
      </c>
      <c r="S450" s="17">
        <v>4319789.0</v>
      </c>
      <c r="T450" s="17">
        <v>1.9179014E7</v>
      </c>
      <c r="U450" s="17">
        <v>4523159.0</v>
      </c>
      <c r="V450" s="11">
        <f t="array" ref="V450">XLOOKUP(A:A,'Raw Revenue'!A:A,'Raw Revenue'!B:B,0)
</f>
        <v>0</v>
      </c>
      <c r="W450" s="11">
        <f t="array" ref="W450">XLOOKUP(A:A,'Raw Revenue'!C:C,'Raw Revenue'!D:D,0)</f>
        <v>0</v>
      </c>
      <c r="X450" s="11">
        <f t="array" ref="X450">XLOOKUP(A:A,'Raw Revenue'!E:E,'Raw Revenue'!F:F,0)</f>
        <v>0</v>
      </c>
      <c r="Y450" s="11">
        <f t="array" ref="Y450">XLOOKUP(A:A,'Raw Revenue'!G:G,'Raw Revenue'!H:H,0)</f>
        <v>0</v>
      </c>
      <c r="Z450" s="11">
        <f t="array" ref="Z450">XLOOKUP(A:A,'Raw Revenue'!I:I,'Raw Revenue'!J:J,0)</f>
        <v>0</v>
      </c>
      <c r="AA450" s="11">
        <f t="array" ref="AA450">XLOOKUP(A:A,'Raw Revenue'!K:K,'Raw Revenue'!L:L,0)</f>
        <v>0</v>
      </c>
      <c r="AB450" s="11">
        <f t="array" ref="AB450">XLOOKUP(A:A,'Raw Revenue'!M:M,'Raw Revenue'!N:N,0)</f>
        <v>0</v>
      </c>
      <c r="AC450" s="3">
        <v>0.0</v>
      </c>
      <c r="AD450" s="3">
        <v>0.0</v>
      </c>
      <c r="AE450" s="3">
        <v>0.0</v>
      </c>
      <c r="AF450" s="3">
        <v>0.0</v>
      </c>
      <c r="AG450" s="3">
        <v>0.0</v>
      </c>
    </row>
    <row r="451">
      <c r="A451" s="3" t="s">
        <v>1172</v>
      </c>
      <c r="B451" s="3" t="s">
        <v>1173</v>
      </c>
      <c r="C451" s="3" t="str">
        <f t="shared" si="1"/>
        <v>PT. Sinar Dunia Baru</v>
      </c>
      <c r="D451" s="3" t="s">
        <v>84</v>
      </c>
      <c r="E451" s="3" t="s">
        <v>187</v>
      </c>
      <c r="F451" s="3" t="s">
        <v>188</v>
      </c>
      <c r="G451" s="3" t="s">
        <v>76</v>
      </c>
      <c r="H451" s="3" t="str">
        <f t="array" ref="H451">XLOOKUP(G:G,'Account Manager Data'!A:A,'Account Manager Data'!B:B,0)</f>
        <v>Teguh Wijaya</v>
      </c>
      <c r="I451" s="11" t="str">
        <f t="array" ref="I451">XLOOKUP($G:$G,'Account Manager Data'!$A:$A,'Account Manager Data'!C:C)</f>
        <v>Sulawesi</v>
      </c>
      <c r="J451" s="17">
        <v>1304563.0</v>
      </c>
      <c r="K451" s="17">
        <v>2431193.0</v>
      </c>
      <c r="L451" s="17">
        <v>2102584.0</v>
      </c>
      <c r="M451" s="17">
        <v>9791756.0</v>
      </c>
      <c r="N451" s="17">
        <v>1.1043098E7</v>
      </c>
      <c r="O451" s="17">
        <v>1.040309E7</v>
      </c>
      <c r="P451" s="17">
        <v>679739.0</v>
      </c>
      <c r="Q451" s="17">
        <v>0.0</v>
      </c>
      <c r="R451" s="17">
        <v>1.057895E7</v>
      </c>
      <c r="S451" s="17">
        <v>1.1111048E7</v>
      </c>
      <c r="T451" s="17">
        <v>9034011.0</v>
      </c>
      <c r="U451" s="17">
        <v>0.0</v>
      </c>
      <c r="V451" s="11">
        <f t="array" ref="V451">XLOOKUP(A:A,'Raw Revenue'!A:A,'Raw Revenue'!B:B,0)
</f>
        <v>0</v>
      </c>
      <c r="W451" s="11">
        <f t="array" ref="W451">XLOOKUP(A:A,'Raw Revenue'!C:C,'Raw Revenue'!D:D,0)</f>
        <v>0</v>
      </c>
      <c r="X451" s="11">
        <f t="array" ref="X451">XLOOKUP(A:A,'Raw Revenue'!E:E,'Raw Revenue'!F:F,0)</f>
        <v>0</v>
      </c>
      <c r="Y451" s="11">
        <f t="array" ref="Y451">XLOOKUP(A:A,'Raw Revenue'!G:G,'Raw Revenue'!H:H,0)</f>
        <v>0</v>
      </c>
      <c r="Z451" s="11">
        <f t="array" ref="Z451">XLOOKUP(A:A,'Raw Revenue'!I:I,'Raw Revenue'!J:J,0)</f>
        <v>0</v>
      </c>
      <c r="AA451" s="11">
        <f t="array" ref="AA451">XLOOKUP(A:A,'Raw Revenue'!K:K,'Raw Revenue'!L:L,0)</f>
        <v>0</v>
      </c>
      <c r="AB451" s="11">
        <f t="array" ref="AB451">XLOOKUP(A:A,'Raw Revenue'!M:M,'Raw Revenue'!N:N,0)</f>
        <v>0</v>
      </c>
      <c r="AC451" s="3">
        <v>0.0</v>
      </c>
      <c r="AD451" s="3">
        <v>0.0</v>
      </c>
      <c r="AE451" s="3">
        <v>0.0</v>
      </c>
      <c r="AF451" s="3">
        <v>0.0</v>
      </c>
      <c r="AG451" s="3">
        <v>0.0</v>
      </c>
    </row>
    <row r="452">
      <c r="A452" s="3" t="s">
        <v>1174</v>
      </c>
      <c r="B452" s="3" t="s">
        <v>1175</v>
      </c>
      <c r="C452" s="3" t="str">
        <f t="shared" si="1"/>
        <v>CV. Karya Utama Mandiri</v>
      </c>
      <c r="D452" s="3" t="s">
        <v>195</v>
      </c>
      <c r="E452" s="3" t="s">
        <v>196</v>
      </c>
      <c r="F452" s="3" t="s">
        <v>260</v>
      </c>
      <c r="G452" s="3" t="s">
        <v>70</v>
      </c>
      <c r="H452" s="3" t="str">
        <f t="array" ref="H452">XLOOKUP(G:G,'Account Manager Data'!A:A,'Account Manager Data'!B:B,0)</f>
        <v>Yusuf Hidayat</v>
      </c>
      <c r="I452" s="11" t="str">
        <f t="array" ref="I452">XLOOKUP($G:$G,'Account Manager Data'!$A:$A,'Account Manager Data'!C:C)</f>
        <v>Sumatera</v>
      </c>
      <c r="J452" s="17">
        <v>5591.0</v>
      </c>
      <c r="K452" s="17">
        <v>713393.0</v>
      </c>
      <c r="L452" s="17">
        <v>1.006619E7</v>
      </c>
      <c r="M452" s="17">
        <v>6576407.0</v>
      </c>
      <c r="N452" s="17">
        <v>0.0</v>
      </c>
      <c r="O452" s="17">
        <v>0.0</v>
      </c>
      <c r="P452" s="17">
        <v>4983661.0</v>
      </c>
      <c r="Q452" s="17">
        <v>5738677.0</v>
      </c>
      <c r="R452" s="17">
        <v>7625271.0</v>
      </c>
      <c r="S452" s="17">
        <v>0.0</v>
      </c>
      <c r="T452" s="17">
        <v>0.0</v>
      </c>
      <c r="U452" s="17">
        <v>1.406389E7</v>
      </c>
      <c r="V452" s="11">
        <f t="array" ref="V452">XLOOKUP(A:A,'Raw Revenue'!A:A,'Raw Revenue'!B:B,0)
</f>
        <v>0</v>
      </c>
      <c r="W452" s="11">
        <f t="array" ref="W452">XLOOKUP(A:A,'Raw Revenue'!C:C,'Raw Revenue'!D:D,0)</f>
        <v>0</v>
      </c>
      <c r="X452" s="11">
        <f t="array" ref="X452">XLOOKUP(A:A,'Raw Revenue'!E:E,'Raw Revenue'!F:F,0)</f>
        <v>0</v>
      </c>
      <c r="Y452" s="11">
        <f t="array" ref="Y452">XLOOKUP(A:A,'Raw Revenue'!G:G,'Raw Revenue'!H:H,0)</f>
        <v>0</v>
      </c>
      <c r="Z452" s="11">
        <f t="array" ref="Z452">XLOOKUP(A:A,'Raw Revenue'!I:I,'Raw Revenue'!J:J,0)</f>
        <v>0</v>
      </c>
      <c r="AA452" s="11">
        <f t="array" ref="AA452">XLOOKUP(A:A,'Raw Revenue'!K:K,'Raw Revenue'!L:L,0)</f>
        <v>0</v>
      </c>
      <c r="AB452" s="11">
        <f t="array" ref="AB452">XLOOKUP(A:A,'Raw Revenue'!M:M,'Raw Revenue'!N:N,0)</f>
        <v>0</v>
      </c>
      <c r="AC452" s="3">
        <v>0.0</v>
      </c>
      <c r="AD452" s="3">
        <v>0.0</v>
      </c>
      <c r="AE452" s="3">
        <v>0.0</v>
      </c>
      <c r="AF452" s="3">
        <v>0.0</v>
      </c>
      <c r="AG452" s="3">
        <v>0.0</v>
      </c>
    </row>
    <row r="453">
      <c r="A453" s="3" t="s">
        <v>1176</v>
      </c>
      <c r="B453" s="3" t="s">
        <v>1177</v>
      </c>
      <c r="C453" s="3" t="str">
        <f t="shared" si="1"/>
        <v>PT. Pratama Jaya Sentosa</v>
      </c>
      <c r="D453" s="3" t="s">
        <v>195</v>
      </c>
      <c r="E453" s="3" t="s">
        <v>196</v>
      </c>
      <c r="F453" s="3" t="s">
        <v>315</v>
      </c>
      <c r="G453" s="3" t="s">
        <v>15</v>
      </c>
      <c r="H453" s="3" t="str">
        <f t="array" ref="H453">XLOOKUP(G:G,'Account Manager Data'!A:A,'Account Manager Data'!B:B,0)</f>
        <v>Rizky Maulana</v>
      </c>
      <c r="I453" s="11" t="str">
        <f t="array" ref="I453">XLOOKUP($G:$G,'Account Manager Data'!$A:$A,'Account Manager Data'!C:C)</f>
        <v>Jawa</v>
      </c>
      <c r="J453" s="17">
        <v>7135729.0</v>
      </c>
      <c r="K453" s="17">
        <v>5797296.0</v>
      </c>
      <c r="L453" s="17">
        <v>0.0</v>
      </c>
      <c r="M453" s="17">
        <v>1728685.0</v>
      </c>
      <c r="N453" s="17">
        <v>8988203.0</v>
      </c>
      <c r="O453" s="17">
        <v>4761436.0</v>
      </c>
      <c r="P453" s="17">
        <v>7815276.0</v>
      </c>
      <c r="Q453" s="17">
        <v>5016490.0</v>
      </c>
      <c r="R453" s="17">
        <v>1.3140114E7</v>
      </c>
      <c r="S453" s="17">
        <v>1.0473034E7</v>
      </c>
      <c r="T453" s="17">
        <v>0.0</v>
      </c>
      <c r="U453" s="17">
        <v>9819792.0</v>
      </c>
      <c r="V453" s="11">
        <f t="array" ref="V453">XLOOKUP(A:A,'Raw Revenue'!A:A,'Raw Revenue'!B:B,0)
</f>
        <v>0</v>
      </c>
      <c r="W453" s="11">
        <f t="array" ref="W453">XLOOKUP(A:A,'Raw Revenue'!C:C,'Raw Revenue'!D:D,0)</f>
        <v>0</v>
      </c>
      <c r="X453" s="11">
        <f t="array" ref="X453">XLOOKUP(A:A,'Raw Revenue'!E:E,'Raw Revenue'!F:F,0)</f>
        <v>0</v>
      </c>
      <c r="Y453" s="11">
        <f t="array" ref="Y453">XLOOKUP(A:A,'Raw Revenue'!G:G,'Raw Revenue'!H:H,0)</f>
        <v>0</v>
      </c>
      <c r="Z453" s="11">
        <f t="array" ref="Z453">XLOOKUP(A:A,'Raw Revenue'!I:I,'Raw Revenue'!J:J,0)</f>
        <v>0</v>
      </c>
      <c r="AA453" s="11">
        <f t="array" ref="AA453">XLOOKUP(A:A,'Raw Revenue'!K:K,'Raw Revenue'!L:L,0)</f>
        <v>0</v>
      </c>
      <c r="AB453" s="11">
        <f t="array" ref="AB453">XLOOKUP(A:A,'Raw Revenue'!M:M,'Raw Revenue'!N:N,0)</f>
        <v>0</v>
      </c>
      <c r="AC453" s="3">
        <v>0.0</v>
      </c>
      <c r="AD453" s="3">
        <v>0.0</v>
      </c>
      <c r="AE453" s="3">
        <v>0.0</v>
      </c>
      <c r="AF453" s="3">
        <v>0.0</v>
      </c>
      <c r="AG453" s="3">
        <v>0.0</v>
      </c>
    </row>
    <row r="454">
      <c r="A454" s="3" t="s">
        <v>1178</v>
      </c>
      <c r="B454" s="3" t="s">
        <v>1179</v>
      </c>
      <c r="C454" s="3" t="str">
        <f t="shared" si="1"/>
        <v>PT. Abadi Selamanya Jaya</v>
      </c>
      <c r="D454" s="3" t="s">
        <v>195</v>
      </c>
      <c r="E454" s="3" t="s">
        <v>85</v>
      </c>
      <c r="F454" s="3" t="s">
        <v>248</v>
      </c>
      <c r="G454" s="3" t="s">
        <v>53</v>
      </c>
      <c r="H454" s="3" t="str">
        <f t="array" ref="H454">XLOOKUP(G:G,'Account Manager Data'!A:A,'Account Manager Data'!B:B,0)</f>
        <v>Fajar Ramadhan</v>
      </c>
      <c r="I454" s="11" t="str">
        <f t="array" ref="I454">XLOOKUP($G:$G,'Account Manager Data'!$A:$A,'Account Manager Data'!C:C)</f>
        <v>Sulawesi</v>
      </c>
      <c r="J454" s="17">
        <v>6619032.0</v>
      </c>
      <c r="K454" s="17">
        <v>0.0</v>
      </c>
      <c r="L454" s="17">
        <v>4458660.0</v>
      </c>
      <c r="M454" s="17">
        <v>3981912.0</v>
      </c>
      <c r="N454" s="17">
        <v>4877084.0</v>
      </c>
      <c r="O454" s="17">
        <v>3695502.0</v>
      </c>
      <c r="P454" s="17">
        <v>2993733.0</v>
      </c>
      <c r="Q454" s="17">
        <v>5643937.0</v>
      </c>
      <c r="R454" s="17">
        <v>1.091852E7</v>
      </c>
      <c r="S454" s="17">
        <v>1.0440847E7</v>
      </c>
      <c r="T454" s="17">
        <v>1.5011226E7</v>
      </c>
      <c r="U454" s="17">
        <v>1.3038202E7</v>
      </c>
      <c r="V454" s="11">
        <f t="array" ref="V454">XLOOKUP(A:A,'Raw Revenue'!A:A,'Raw Revenue'!B:B,0)
</f>
        <v>0</v>
      </c>
      <c r="W454" s="11">
        <f t="array" ref="W454">XLOOKUP(A:A,'Raw Revenue'!C:C,'Raw Revenue'!D:D,0)</f>
        <v>0</v>
      </c>
      <c r="X454" s="11">
        <f t="array" ref="X454">XLOOKUP(A:A,'Raw Revenue'!E:E,'Raw Revenue'!F:F,0)</f>
        <v>0</v>
      </c>
      <c r="Y454" s="11">
        <f t="array" ref="Y454">XLOOKUP(A:A,'Raw Revenue'!G:G,'Raw Revenue'!H:H,0)</f>
        <v>0</v>
      </c>
      <c r="Z454" s="11">
        <f t="array" ref="Z454">XLOOKUP(A:A,'Raw Revenue'!I:I,'Raw Revenue'!J:J,0)</f>
        <v>0</v>
      </c>
      <c r="AA454" s="11">
        <f t="array" ref="AA454">XLOOKUP(A:A,'Raw Revenue'!K:K,'Raw Revenue'!L:L,0)</f>
        <v>0</v>
      </c>
      <c r="AB454" s="11">
        <f t="array" ref="AB454">XLOOKUP(A:A,'Raw Revenue'!M:M,'Raw Revenue'!N:N,0)</f>
        <v>0</v>
      </c>
      <c r="AC454" s="3">
        <v>0.0</v>
      </c>
      <c r="AD454" s="3">
        <v>0.0</v>
      </c>
      <c r="AE454" s="3">
        <v>0.0</v>
      </c>
      <c r="AF454" s="3">
        <v>0.0</v>
      </c>
      <c r="AG454" s="3">
        <v>0.0</v>
      </c>
    </row>
    <row r="455">
      <c r="A455" s="3" t="s">
        <v>191</v>
      </c>
      <c r="B455" s="3" t="s">
        <v>1180</v>
      </c>
      <c r="C455" s="3" t="str">
        <f t="shared" si="1"/>
        <v>PT. Mandiri Sejahtera Bersama</v>
      </c>
      <c r="D455" s="3" t="s">
        <v>103</v>
      </c>
      <c r="E455" s="3" t="s">
        <v>104</v>
      </c>
      <c r="F455" s="3" t="s">
        <v>105</v>
      </c>
      <c r="G455" s="3" t="s">
        <v>27</v>
      </c>
      <c r="H455" s="3" t="str">
        <f t="array" ref="H455">XLOOKUP(G:G,'Account Manager Data'!A:A,'Account Manager Data'!B:B,0)</f>
        <v>Dedi Kurniawan</v>
      </c>
      <c r="I455" s="11" t="str">
        <f t="array" ref="I455">XLOOKUP($G:$G,'Account Manager Data'!$A:$A,'Account Manager Data'!C:C)</f>
        <v>Kalimantan</v>
      </c>
      <c r="J455" s="17">
        <v>7501638.0</v>
      </c>
      <c r="K455" s="17">
        <v>1468287.0</v>
      </c>
      <c r="L455" s="17">
        <v>5885691.0</v>
      </c>
      <c r="M455" s="17">
        <v>6510079.0</v>
      </c>
      <c r="N455" s="17">
        <v>8165036.0</v>
      </c>
      <c r="O455" s="17">
        <v>8051493.0</v>
      </c>
      <c r="P455" s="17">
        <v>1.0818548E7</v>
      </c>
      <c r="Q455" s="17">
        <v>8432115.0</v>
      </c>
      <c r="R455" s="17">
        <v>1.6056883E7</v>
      </c>
      <c r="S455" s="17">
        <v>3366783.0</v>
      </c>
      <c r="T455" s="17">
        <v>5550310.0</v>
      </c>
      <c r="U455" s="17">
        <v>1.1882912E7</v>
      </c>
      <c r="V455" s="11">
        <f t="array" ref="V455">XLOOKUP(A:A,'Raw Revenue'!A:A,'Raw Revenue'!B:B,0)
</f>
        <v>8354411.135</v>
      </c>
      <c r="W455" s="11">
        <f t="array" ref="W455">XLOOKUP(A:A,'Raw Revenue'!C:C,'Raw Revenue'!D:D,0)</f>
        <v>8354411.135</v>
      </c>
      <c r="X455" s="11">
        <f t="array" ref="X455">XLOOKUP(A:A,'Raw Revenue'!E:E,'Raw Revenue'!F:F,0)</f>
        <v>16708822.27</v>
      </c>
      <c r="Y455" s="11">
        <f t="array" ref="Y455">XLOOKUP(A:A,'Raw Revenue'!G:G,'Raw Revenue'!H:H,0)</f>
        <v>13645538.19</v>
      </c>
      <c r="Z455" s="11">
        <f t="array" ref="Z455">XLOOKUP(A:A,'Raw Revenue'!I:I,'Raw Revenue'!J:J,0)</f>
        <v>12253136.33</v>
      </c>
      <c r="AA455" s="11">
        <f t="array" ref="AA455">XLOOKUP(A:A,'Raw Revenue'!K:K,'Raw Revenue'!L:L,0)</f>
        <v>31329041.76</v>
      </c>
      <c r="AB455" s="11">
        <f t="array" ref="AB455">XLOOKUP(A:A,'Raw Revenue'!M:M,'Raw Revenue'!N:N,0)</f>
        <v>28822718.42</v>
      </c>
      <c r="AC455" s="3">
        <v>0.0</v>
      </c>
      <c r="AD455" s="3">
        <v>0.0</v>
      </c>
      <c r="AE455" s="3">
        <v>0.0</v>
      </c>
      <c r="AF455" s="3">
        <v>0.0</v>
      </c>
      <c r="AG455" s="3">
        <v>0.0</v>
      </c>
    </row>
    <row r="456">
      <c r="A456" s="3" t="s">
        <v>1181</v>
      </c>
      <c r="B456" s="3" t="s">
        <v>1182</v>
      </c>
      <c r="C456" s="3" t="str">
        <f t="shared" si="1"/>
        <v>PT. Sejahtera Alam Indonesia</v>
      </c>
      <c r="D456" s="3" t="s">
        <v>186</v>
      </c>
      <c r="E456" s="3" t="s">
        <v>215</v>
      </c>
      <c r="F456" s="3" t="s">
        <v>300</v>
      </c>
      <c r="G456" s="3" t="s">
        <v>78</v>
      </c>
      <c r="H456" s="3" t="str">
        <f t="array" ref="H456">XLOOKUP(G:G,'Account Manager Data'!A:A,'Account Manager Data'!B:B,0)</f>
        <v>Ilham Saputra</v>
      </c>
      <c r="I456" s="11" t="str">
        <f t="array" ref="I456">XLOOKUP($G:$G,'Account Manager Data'!$A:$A,'Account Manager Data'!C:C)</f>
        <v>Jawa</v>
      </c>
      <c r="J456" s="17">
        <v>5575378.0</v>
      </c>
      <c r="K456" s="17">
        <v>3092988.0</v>
      </c>
      <c r="L456" s="17">
        <v>6169006.0</v>
      </c>
      <c r="M456" s="17">
        <v>4642687.0</v>
      </c>
      <c r="N456" s="17">
        <v>8977221.0</v>
      </c>
      <c r="O456" s="17">
        <v>3017947.0</v>
      </c>
      <c r="P456" s="17">
        <v>3093367.0</v>
      </c>
      <c r="Q456" s="17">
        <v>1.1739284E7</v>
      </c>
      <c r="R456" s="17">
        <v>9563995.0</v>
      </c>
      <c r="S456" s="17">
        <v>9450993.0</v>
      </c>
      <c r="T456" s="17">
        <v>8744863.0</v>
      </c>
      <c r="U456" s="17">
        <v>1.7883371E7</v>
      </c>
      <c r="V456" s="11">
        <f t="array" ref="V456">XLOOKUP(A:A,'Raw Revenue'!A:A,'Raw Revenue'!B:B,0)
</f>
        <v>0</v>
      </c>
      <c r="W456" s="11">
        <f t="array" ref="W456">XLOOKUP(A:A,'Raw Revenue'!C:C,'Raw Revenue'!D:D,0)</f>
        <v>0</v>
      </c>
      <c r="X456" s="11">
        <f t="array" ref="X456">XLOOKUP(A:A,'Raw Revenue'!E:E,'Raw Revenue'!F:F,0)</f>
        <v>0</v>
      </c>
      <c r="Y456" s="11">
        <f t="array" ref="Y456">XLOOKUP(A:A,'Raw Revenue'!G:G,'Raw Revenue'!H:H,0)</f>
        <v>0</v>
      </c>
      <c r="Z456" s="11">
        <f t="array" ref="Z456">XLOOKUP(A:A,'Raw Revenue'!I:I,'Raw Revenue'!J:J,0)</f>
        <v>0</v>
      </c>
      <c r="AA456" s="11">
        <f t="array" ref="AA456">XLOOKUP(A:A,'Raw Revenue'!K:K,'Raw Revenue'!L:L,0)</f>
        <v>0</v>
      </c>
      <c r="AB456" s="11">
        <f t="array" ref="AB456">XLOOKUP(A:A,'Raw Revenue'!M:M,'Raw Revenue'!N:N,0)</f>
        <v>0</v>
      </c>
      <c r="AC456" s="3">
        <v>0.0</v>
      </c>
      <c r="AD456" s="3">
        <v>0.0</v>
      </c>
      <c r="AE456" s="3">
        <v>0.0</v>
      </c>
      <c r="AF456" s="3">
        <v>0.0</v>
      </c>
      <c r="AG456" s="3">
        <v>0.0</v>
      </c>
    </row>
    <row r="457">
      <c r="A457" s="3" t="s">
        <v>1183</v>
      </c>
      <c r="B457" s="3" t="s">
        <v>1184</v>
      </c>
      <c r="C457" s="3" t="str">
        <f t="shared" si="1"/>
        <v>PT. Indah Kargo Logistik</v>
      </c>
      <c r="D457" s="3" t="s">
        <v>84</v>
      </c>
      <c r="E457" s="3" t="s">
        <v>196</v>
      </c>
      <c r="F457" s="3" t="s">
        <v>260</v>
      </c>
      <c r="G457" s="3" t="s">
        <v>63</v>
      </c>
      <c r="H457" s="3" t="str">
        <f t="array" ref="H457">XLOOKUP(G:G,'Account Manager Data'!A:A,'Account Manager Data'!B:B,0)</f>
        <v>Hendra Gunawan</v>
      </c>
      <c r="I457" s="11" t="str">
        <f t="array" ref="I457">XLOOKUP($G:$G,'Account Manager Data'!$A:$A,'Account Manager Data'!C:C)</f>
        <v>Kalimantan</v>
      </c>
      <c r="J457" s="17">
        <v>6878003.0</v>
      </c>
      <c r="K457" s="17">
        <v>4038604.0</v>
      </c>
      <c r="L457" s="17">
        <v>6717721.0</v>
      </c>
      <c r="M457" s="17">
        <v>1.0603069E7</v>
      </c>
      <c r="N457" s="17">
        <v>1.3587777E7</v>
      </c>
      <c r="O457" s="17">
        <v>8197351.0</v>
      </c>
      <c r="P457" s="17">
        <v>9860134.0</v>
      </c>
      <c r="Q457" s="17">
        <v>1.3993437E7</v>
      </c>
      <c r="R457" s="17">
        <v>8052799.0</v>
      </c>
      <c r="S457" s="17">
        <v>7790246.0</v>
      </c>
      <c r="T457" s="17">
        <v>1.4193763E7</v>
      </c>
      <c r="U457" s="17">
        <v>3377444.0</v>
      </c>
      <c r="V457" s="11">
        <f t="array" ref="V457">XLOOKUP(A:A,'Raw Revenue'!A:A,'Raw Revenue'!B:B,0)
</f>
        <v>0</v>
      </c>
      <c r="W457" s="11">
        <f t="array" ref="W457">XLOOKUP(A:A,'Raw Revenue'!C:C,'Raw Revenue'!D:D,0)</f>
        <v>0</v>
      </c>
      <c r="X457" s="11">
        <f t="array" ref="X457">XLOOKUP(A:A,'Raw Revenue'!E:E,'Raw Revenue'!F:F,0)</f>
        <v>0</v>
      </c>
      <c r="Y457" s="11">
        <f t="array" ref="Y457">XLOOKUP(A:A,'Raw Revenue'!G:G,'Raw Revenue'!H:H,0)</f>
        <v>0</v>
      </c>
      <c r="Z457" s="11">
        <f t="array" ref="Z457">XLOOKUP(A:A,'Raw Revenue'!I:I,'Raw Revenue'!J:J,0)</f>
        <v>0</v>
      </c>
      <c r="AA457" s="11">
        <f t="array" ref="AA457">XLOOKUP(A:A,'Raw Revenue'!K:K,'Raw Revenue'!L:L,0)</f>
        <v>0</v>
      </c>
      <c r="AB457" s="11">
        <f t="array" ref="AB457">XLOOKUP(A:A,'Raw Revenue'!M:M,'Raw Revenue'!N:N,0)</f>
        <v>0</v>
      </c>
      <c r="AC457" s="3">
        <v>0.0</v>
      </c>
      <c r="AD457" s="3">
        <v>0.0</v>
      </c>
      <c r="AE457" s="3">
        <v>0.0</v>
      </c>
      <c r="AF457" s="3">
        <v>0.0</v>
      </c>
      <c r="AG457" s="3">
        <v>0.0</v>
      </c>
    </row>
    <row r="458">
      <c r="A458" s="3" t="s">
        <v>1185</v>
      </c>
      <c r="B458" s="3" t="s">
        <v>1186</v>
      </c>
      <c r="C458" s="3" t="str">
        <f t="shared" si="1"/>
        <v>PT. Berkah Alam Semesta</v>
      </c>
      <c r="D458" s="3" t="s">
        <v>214</v>
      </c>
      <c r="E458" s="3" t="s">
        <v>104</v>
      </c>
      <c r="F458" s="3" t="s">
        <v>105</v>
      </c>
      <c r="G458" s="3" t="s">
        <v>35</v>
      </c>
      <c r="H458" s="3" t="str">
        <f t="array" ref="H458">XLOOKUP(G:G,'Account Manager Data'!A:A,'Account Manager Data'!B:B,0)</f>
        <v>Ahmad Fauzi</v>
      </c>
      <c r="I458" s="11" t="str">
        <f t="array" ref="I458">XLOOKUP($G:$G,'Account Manager Data'!$A:$A,'Account Manager Data'!C:C)</f>
        <v>Sumatera</v>
      </c>
      <c r="J458" s="17">
        <v>4879017.0</v>
      </c>
      <c r="K458" s="17">
        <v>1560666.0</v>
      </c>
      <c r="L458" s="17">
        <v>3816921.0</v>
      </c>
      <c r="M458" s="17">
        <v>2547234.0</v>
      </c>
      <c r="N458" s="17">
        <v>1.1618241E7</v>
      </c>
      <c r="O458" s="17">
        <v>271895.0</v>
      </c>
      <c r="P458" s="17">
        <v>1.523767E7</v>
      </c>
      <c r="Q458" s="17">
        <v>9256536.0</v>
      </c>
      <c r="R458" s="17">
        <v>9599373.0</v>
      </c>
      <c r="S458" s="17">
        <v>1.1370293E7</v>
      </c>
      <c r="T458" s="17">
        <v>1.514302E7</v>
      </c>
      <c r="U458" s="17">
        <v>84224.0</v>
      </c>
      <c r="V458" s="11">
        <f t="array" ref="V458">XLOOKUP(A:A,'Raw Revenue'!A:A,'Raw Revenue'!B:B,0)
</f>
        <v>0</v>
      </c>
      <c r="W458" s="11">
        <f t="array" ref="W458">XLOOKUP(A:A,'Raw Revenue'!C:C,'Raw Revenue'!D:D,0)</f>
        <v>0</v>
      </c>
      <c r="X458" s="11">
        <f t="array" ref="X458">XLOOKUP(A:A,'Raw Revenue'!E:E,'Raw Revenue'!F:F,0)</f>
        <v>0</v>
      </c>
      <c r="Y458" s="11">
        <f t="array" ref="Y458">XLOOKUP(A:A,'Raw Revenue'!G:G,'Raw Revenue'!H:H,0)</f>
        <v>0</v>
      </c>
      <c r="Z458" s="11">
        <f t="array" ref="Z458">XLOOKUP(A:A,'Raw Revenue'!I:I,'Raw Revenue'!J:J,0)</f>
        <v>0</v>
      </c>
      <c r="AA458" s="11">
        <f t="array" ref="AA458">XLOOKUP(A:A,'Raw Revenue'!K:K,'Raw Revenue'!L:L,0)</f>
        <v>0</v>
      </c>
      <c r="AB458" s="11">
        <f t="array" ref="AB458">XLOOKUP(A:A,'Raw Revenue'!M:M,'Raw Revenue'!N:N,0)</f>
        <v>0</v>
      </c>
      <c r="AC458" s="3">
        <v>0.0</v>
      </c>
      <c r="AD458" s="3">
        <v>0.0</v>
      </c>
      <c r="AE458" s="3">
        <v>0.0</v>
      </c>
      <c r="AF458" s="3">
        <v>0.0</v>
      </c>
      <c r="AG458" s="3">
        <v>0.0</v>
      </c>
    </row>
    <row r="459">
      <c r="A459" s="3" t="s">
        <v>1187</v>
      </c>
      <c r="B459" s="3" t="s">
        <v>1188</v>
      </c>
      <c r="C459" s="3" t="str">
        <f t="shared" si="1"/>
        <v>PT. Cahaya Baru Indonesia</v>
      </c>
      <c r="D459" s="3" t="s">
        <v>214</v>
      </c>
      <c r="E459" s="3" t="s">
        <v>85</v>
      </c>
      <c r="F459" s="3" t="s">
        <v>248</v>
      </c>
      <c r="G459" s="3" t="s">
        <v>43</v>
      </c>
      <c r="H459" s="3" t="str">
        <f t="array" ref="H459">XLOOKUP(G:G,'Account Manager Data'!A:A,'Account Manager Data'!B:B,0)</f>
        <v>Eko Prasetyo</v>
      </c>
      <c r="I459" s="11" t="str">
        <f t="array" ref="I459">XLOOKUP($G:$G,'Account Manager Data'!$A:$A,'Account Manager Data'!C:C)</f>
        <v>Papua</v>
      </c>
      <c r="J459" s="17">
        <v>1506384.0</v>
      </c>
      <c r="K459" s="17">
        <v>5527245.0</v>
      </c>
      <c r="L459" s="17">
        <v>5912425.0</v>
      </c>
      <c r="M459" s="17">
        <v>5157387.0</v>
      </c>
      <c r="N459" s="17">
        <v>2344209.0</v>
      </c>
      <c r="O459" s="17">
        <v>0.0</v>
      </c>
      <c r="P459" s="17">
        <v>7938343.0</v>
      </c>
      <c r="Q459" s="17">
        <v>1.0441514E7</v>
      </c>
      <c r="R459" s="17">
        <v>8753734.0</v>
      </c>
      <c r="S459" s="17">
        <v>1889484.0</v>
      </c>
      <c r="T459" s="17">
        <v>1.7963933E7</v>
      </c>
      <c r="U459" s="17">
        <v>2924934.0</v>
      </c>
      <c r="V459" s="11">
        <f t="array" ref="V459">XLOOKUP(A:A,'Raw Revenue'!A:A,'Raw Revenue'!B:B,0)
</f>
        <v>0</v>
      </c>
      <c r="W459" s="11">
        <f t="array" ref="W459">XLOOKUP(A:A,'Raw Revenue'!C:C,'Raw Revenue'!D:D,0)</f>
        <v>0</v>
      </c>
      <c r="X459" s="11">
        <f t="array" ref="X459">XLOOKUP(A:A,'Raw Revenue'!E:E,'Raw Revenue'!F:F,0)</f>
        <v>0</v>
      </c>
      <c r="Y459" s="11">
        <f t="array" ref="Y459">XLOOKUP(A:A,'Raw Revenue'!G:G,'Raw Revenue'!H:H,0)</f>
        <v>0</v>
      </c>
      <c r="Z459" s="11">
        <f t="array" ref="Z459">XLOOKUP(A:A,'Raw Revenue'!I:I,'Raw Revenue'!J:J,0)</f>
        <v>0</v>
      </c>
      <c r="AA459" s="11">
        <f t="array" ref="AA459">XLOOKUP(A:A,'Raw Revenue'!K:K,'Raw Revenue'!L:L,0)</f>
        <v>0</v>
      </c>
      <c r="AB459" s="11">
        <f t="array" ref="AB459">XLOOKUP(A:A,'Raw Revenue'!M:M,'Raw Revenue'!N:N,0)</f>
        <v>0</v>
      </c>
      <c r="AC459" s="3">
        <v>0.0</v>
      </c>
      <c r="AD459" s="3">
        <v>0.0</v>
      </c>
      <c r="AE459" s="3">
        <v>0.0</v>
      </c>
      <c r="AF459" s="3">
        <v>0.0</v>
      </c>
      <c r="AG459" s="3">
        <v>0.0</v>
      </c>
    </row>
    <row r="460">
      <c r="A460" s="3" t="s">
        <v>382</v>
      </c>
      <c r="B460" s="3" t="s">
        <v>1189</v>
      </c>
      <c r="C460" s="3" t="str">
        <f t="shared" si="1"/>
        <v>PT. Mentari Pagi Sejahtera</v>
      </c>
      <c r="D460" s="3" t="s">
        <v>103</v>
      </c>
      <c r="E460" s="3" t="s">
        <v>104</v>
      </c>
      <c r="F460" s="3" t="s">
        <v>105</v>
      </c>
      <c r="G460" s="3" t="s">
        <v>74</v>
      </c>
      <c r="H460" s="3" t="str">
        <f t="array" ref="H460">XLOOKUP(G:G,'Account Manager Data'!A:A,'Account Manager Data'!B:B,0)</f>
        <v>Budi Santoso</v>
      </c>
      <c r="I460" s="11" t="str">
        <f t="array" ref="I460">XLOOKUP($G:$G,'Account Manager Data'!$A:$A,'Account Manager Data'!C:C)</f>
        <v>Papua</v>
      </c>
      <c r="J460" s="17">
        <v>22990.0</v>
      </c>
      <c r="K460" s="17">
        <v>8183946.0</v>
      </c>
      <c r="L460" s="17">
        <v>5217342.0</v>
      </c>
      <c r="M460" s="17">
        <v>5759610.0</v>
      </c>
      <c r="N460" s="17">
        <v>1.1847278E7</v>
      </c>
      <c r="O460" s="17">
        <v>2179663.0</v>
      </c>
      <c r="P460" s="17">
        <v>3342938.0</v>
      </c>
      <c r="Q460" s="17">
        <v>1.2480421E7</v>
      </c>
      <c r="R460" s="17">
        <v>1.0058254E7</v>
      </c>
      <c r="S460" s="17">
        <v>1.7241271E7</v>
      </c>
      <c r="T460" s="17">
        <v>1.0009466E7</v>
      </c>
      <c r="U460" s="17">
        <v>1.3220643E7</v>
      </c>
      <c r="V460" s="11">
        <f t="array" ref="V460">XLOOKUP(A:A,'Raw Revenue'!A:A,'Raw Revenue'!B:B,0)
</f>
        <v>1025980.315</v>
      </c>
      <c r="W460" s="11">
        <f t="array" ref="W460">XLOOKUP(A:A,'Raw Revenue'!C:C,'Raw Revenue'!D:D,0)</f>
        <v>512990.1574</v>
      </c>
      <c r="X460" s="11">
        <f t="array" ref="X460">XLOOKUP(A:A,'Raw Revenue'!E:E,'Raw Revenue'!F:F,0)</f>
        <v>307794.0945</v>
      </c>
      <c r="Y460" s="11">
        <f t="array" ref="Y460">XLOOKUP(A:A,'Raw Revenue'!G:G,'Raw Revenue'!H:H,0)</f>
        <v>3590931.102</v>
      </c>
      <c r="Z460" s="11">
        <f t="array" ref="Z460">XLOOKUP(A:A,'Raw Revenue'!I:I,'Raw Revenue'!J:J,0)</f>
        <v>820784.2519</v>
      </c>
      <c r="AA460" s="11">
        <f t="array" ref="AA460">XLOOKUP(A:A,'Raw Revenue'!K:K,'Raw Revenue'!L:L,0)</f>
        <v>23084.55708</v>
      </c>
      <c r="AB460" s="11">
        <f t="array" ref="AB460">XLOOKUP(A:A,'Raw Revenue'!M:M,'Raw Revenue'!N:N,0)</f>
        <v>3093330.649</v>
      </c>
      <c r="AC460" s="3">
        <v>0.0</v>
      </c>
      <c r="AD460" s="3">
        <v>0.0</v>
      </c>
      <c r="AE460" s="3">
        <v>0.0</v>
      </c>
      <c r="AF460" s="3">
        <v>0.0</v>
      </c>
      <c r="AG460" s="3">
        <v>0.0</v>
      </c>
    </row>
    <row r="461">
      <c r="A461" s="3" t="s">
        <v>1190</v>
      </c>
      <c r="B461" s="3" t="s">
        <v>1191</v>
      </c>
      <c r="C461" s="3" t="str">
        <f t="shared" si="1"/>
        <v>PT. Bintang Kejora Nusantara</v>
      </c>
      <c r="D461" s="3" t="s">
        <v>186</v>
      </c>
      <c r="E461" s="3" t="s">
        <v>104</v>
      </c>
      <c r="F461" s="3" t="s">
        <v>134</v>
      </c>
      <c r="G461" s="3" t="s">
        <v>76</v>
      </c>
      <c r="H461" s="3" t="str">
        <f t="array" ref="H461">XLOOKUP(G:G,'Account Manager Data'!A:A,'Account Manager Data'!B:B,0)</f>
        <v>Teguh Wijaya</v>
      </c>
      <c r="I461" s="11" t="str">
        <f t="array" ref="I461">XLOOKUP($G:$G,'Account Manager Data'!$A:$A,'Account Manager Data'!C:C)</f>
        <v>Sulawesi</v>
      </c>
      <c r="J461" s="17">
        <v>3542837.0</v>
      </c>
      <c r="K461" s="17">
        <v>3722270.0</v>
      </c>
      <c r="L461" s="17">
        <v>3472069.0</v>
      </c>
      <c r="M461" s="17">
        <v>2973910.0</v>
      </c>
      <c r="N461" s="17">
        <v>1227240.0</v>
      </c>
      <c r="O461" s="17">
        <v>1.0021961E7</v>
      </c>
      <c r="P461" s="17">
        <v>1.288444E7</v>
      </c>
      <c r="Q461" s="17">
        <v>8879846.0</v>
      </c>
      <c r="R461" s="17">
        <v>1033983.0</v>
      </c>
      <c r="S461" s="17">
        <v>9061264.0</v>
      </c>
      <c r="T461" s="17">
        <v>5666160.0</v>
      </c>
      <c r="U461" s="17">
        <v>6562833.0</v>
      </c>
      <c r="V461" s="11">
        <f t="array" ref="V461">XLOOKUP(A:A,'Raw Revenue'!A:A,'Raw Revenue'!B:B,0)
</f>
        <v>0</v>
      </c>
      <c r="W461" s="11">
        <f t="array" ref="W461">XLOOKUP(A:A,'Raw Revenue'!C:C,'Raw Revenue'!D:D,0)</f>
        <v>0</v>
      </c>
      <c r="X461" s="11">
        <f t="array" ref="X461">XLOOKUP(A:A,'Raw Revenue'!E:E,'Raw Revenue'!F:F,0)</f>
        <v>0</v>
      </c>
      <c r="Y461" s="11">
        <f t="array" ref="Y461">XLOOKUP(A:A,'Raw Revenue'!G:G,'Raw Revenue'!H:H,0)</f>
        <v>0</v>
      </c>
      <c r="Z461" s="11">
        <f t="array" ref="Z461">XLOOKUP(A:A,'Raw Revenue'!I:I,'Raw Revenue'!J:J,0)</f>
        <v>0</v>
      </c>
      <c r="AA461" s="11">
        <f t="array" ref="AA461">XLOOKUP(A:A,'Raw Revenue'!K:K,'Raw Revenue'!L:L,0)</f>
        <v>0</v>
      </c>
      <c r="AB461" s="11">
        <f t="array" ref="AB461">XLOOKUP(A:A,'Raw Revenue'!M:M,'Raw Revenue'!N:N,0)</f>
        <v>0</v>
      </c>
      <c r="AC461" s="3">
        <v>0.0</v>
      </c>
      <c r="AD461" s="3">
        <v>0.0</v>
      </c>
      <c r="AE461" s="3">
        <v>0.0</v>
      </c>
      <c r="AF461" s="3">
        <v>0.0</v>
      </c>
      <c r="AG461" s="3">
        <v>0.0</v>
      </c>
    </row>
    <row r="462">
      <c r="A462" s="3" t="s">
        <v>1192</v>
      </c>
      <c r="B462" s="3" t="s">
        <v>1193</v>
      </c>
      <c r="C462" s="3" t="str">
        <f t="shared" si="1"/>
        <v>PT. Maju Jaya</v>
      </c>
      <c r="D462" s="3" t="s">
        <v>130</v>
      </c>
      <c r="E462" s="3" t="s">
        <v>215</v>
      </c>
      <c r="F462" s="3" t="s">
        <v>227</v>
      </c>
      <c r="G462" s="3" t="s">
        <v>70</v>
      </c>
      <c r="H462" s="3" t="str">
        <f t="array" ref="H462">XLOOKUP(G:G,'Account Manager Data'!A:A,'Account Manager Data'!B:B,0)</f>
        <v>Yusuf Hidayat</v>
      </c>
      <c r="I462" s="11" t="str">
        <f t="array" ref="I462">XLOOKUP($G:$G,'Account Manager Data'!$A:$A,'Account Manager Data'!C:C)</f>
        <v>Sumatera</v>
      </c>
      <c r="J462" s="17">
        <v>5743083.0</v>
      </c>
      <c r="K462" s="17">
        <v>8965159.0</v>
      </c>
      <c r="L462" s="17">
        <v>6575152.0</v>
      </c>
      <c r="M462" s="17">
        <v>6132206.0</v>
      </c>
      <c r="N462" s="17">
        <v>1.0667801E7</v>
      </c>
      <c r="O462" s="17">
        <v>1.4782865E7</v>
      </c>
      <c r="P462" s="17">
        <v>1062577.0</v>
      </c>
      <c r="Q462" s="17">
        <v>9437590.0</v>
      </c>
      <c r="R462" s="17">
        <v>1841858.0</v>
      </c>
      <c r="S462" s="17">
        <v>2783893.0</v>
      </c>
      <c r="T462" s="17">
        <v>1.6799068E7</v>
      </c>
      <c r="U462" s="17">
        <v>1.3477406E7</v>
      </c>
      <c r="V462" s="11">
        <f t="array" ref="V462">XLOOKUP(A:A,'Raw Revenue'!A:A,'Raw Revenue'!B:B,0)
</f>
        <v>0</v>
      </c>
      <c r="W462" s="11">
        <f t="array" ref="W462">XLOOKUP(A:A,'Raw Revenue'!C:C,'Raw Revenue'!D:D,0)</f>
        <v>0</v>
      </c>
      <c r="X462" s="11">
        <f t="array" ref="X462">XLOOKUP(A:A,'Raw Revenue'!E:E,'Raw Revenue'!F:F,0)</f>
        <v>0</v>
      </c>
      <c r="Y462" s="11">
        <f t="array" ref="Y462">XLOOKUP(A:A,'Raw Revenue'!G:G,'Raw Revenue'!H:H,0)</f>
        <v>0</v>
      </c>
      <c r="Z462" s="11">
        <f t="array" ref="Z462">XLOOKUP(A:A,'Raw Revenue'!I:I,'Raw Revenue'!J:J,0)</f>
        <v>0</v>
      </c>
      <c r="AA462" s="11">
        <f t="array" ref="AA462">XLOOKUP(A:A,'Raw Revenue'!K:K,'Raw Revenue'!L:L,0)</f>
        <v>0</v>
      </c>
      <c r="AB462" s="11">
        <f t="array" ref="AB462">XLOOKUP(A:A,'Raw Revenue'!M:M,'Raw Revenue'!N:N,0)</f>
        <v>0</v>
      </c>
      <c r="AC462" s="3">
        <v>0.0</v>
      </c>
      <c r="AD462" s="3">
        <v>0.0</v>
      </c>
      <c r="AE462" s="3">
        <v>0.0</v>
      </c>
      <c r="AF462" s="3">
        <v>0.0</v>
      </c>
      <c r="AG462" s="3">
        <v>0.0</v>
      </c>
    </row>
    <row r="463">
      <c r="A463" s="3" t="s">
        <v>1194</v>
      </c>
      <c r="B463" s="3" t="s">
        <v>1195</v>
      </c>
      <c r="C463" s="3" t="str">
        <f t="shared" si="1"/>
        <v>CV. Sumber Makmur</v>
      </c>
      <c r="D463" s="3" t="s">
        <v>84</v>
      </c>
      <c r="E463" s="3" t="s">
        <v>215</v>
      </c>
      <c r="F463" s="3" t="s">
        <v>216</v>
      </c>
      <c r="G463" s="3" t="s">
        <v>15</v>
      </c>
      <c r="H463" s="3" t="str">
        <f t="array" ref="H463">XLOOKUP(G:G,'Account Manager Data'!A:A,'Account Manager Data'!B:B,0)</f>
        <v>Rizky Maulana</v>
      </c>
      <c r="I463" s="11" t="str">
        <f t="array" ref="I463">XLOOKUP($G:$G,'Account Manager Data'!$A:$A,'Account Manager Data'!C:C)</f>
        <v>Jawa</v>
      </c>
      <c r="J463" s="17">
        <v>6101352.0</v>
      </c>
      <c r="K463" s="17">
        <v>8805486.0</v>
      </c>
      <c r="L463" s="17">
        <v>1501842.0</v>
      </c>
      <c r="M463" s="17">
        <v>8343175.0</v>
      </c>
      <c r="N463" s="17">
        <v>1.1860406E7</v>
      </c>
      <c r="O463" s="17">
        <v>1.3133507E7</v>
      </c>
      <c r="P463" s="17">
        <v>4951291.0</v>
      </c>
      <c r="Q463" s="17">
        <v>1.1800616E7</v>
      </c>
      <c r="R463" s="17">
        <v>3177306.0</v>
      </c>
      <c r="S463" s="17">
        <v>1.4995695E7</v>
      </c>
      <c r="T463" s="17">
        <v>8845295.0</v>
      </c>
      <c r="U463" s="17">
        <v>1.4531976E7</v>
      </c>
      <c r="V463" s="11">
        <f t="array" ref="V463">XLOOKUP(A:A,'Raw Revenue'!A:A,'Raw Revenue'!B:B,0)
</f>
        <v>0</v>
      </c>
      <c r="W463" s="11">
        <f t="array" ref="W463">XLOOKUP(A:A,'Raw Revenue'!C:C,'Raw Revenue'!D:D,0)</f>
        <v>0</v>
      </c>
      <c r="X463" s="11">
        <f t="array" ref="X463">XLOOKUP(A:A,'Raw Revenue'!E:E,'Raw Revenue'!F:F,0)</f>
        <v>0</v>
      </c>
      <c r="Y463" s="11">
        <f t="array" ref="Y463">XLOOKUP(A:A,'Raw Revenue'!G:G,'Raw Revenue'!H:H,0)</f>
        <v>0</v>
      </c>
      <c r="Z463" s="11">
        <f t="array" ref="Z463">XLOOKUP(A:A,'Raw Revenue'!I:I,'Raw Revenue'!J:J,0)</f>
        <v>0</v>
      </c>
      <c r="AA463" s="11">
        <f t="array" ref="AA463">XLOOKUP(A:A,'Raw Revenue'!K:K,'Raw Revenue'!L:L,0)</f>
        <v>0</v>
      </c>
      <c r="AB463" s="11">
        <f t="array" ref="AB463">XLOOKUP(A:A,'Raw Revenue'!M:M,'Raw Revenue'!N:N,0)</f>
        <v>0</v>
      </c>
      <c r="AC463" s="3">
        <v>0.0</v>
      </c>
      <c r="AD463" s="3">
        <v>0.0</v>
      </c>
      <c r="AE463" s="3">
        <v>0.0</v>
      </c>
      <c r="AF463" s="3">
        <v>0.0</v>
      </c>
      <c r="AG463" s="3">
        <v>0.0</v>
      </c>
    </row>
    <row r="464">
      <c r="A464" s="3" t="s">
        <v>1196</v>
      </c>
      <c r="B464" s="3" t="s">
        <v>1197</v>
      </c>
      <c r="C464" s="3" t="str">
        <f t="shared" si="1"/>
        <v>PT. Teknologi Nusantara</v>
      </c>
      <c r="D464" s="3" t="s">
        <v>195</v>
      </c>
      <c r="E464" s="3" t="s">
        <v>187</v>
      </c>
      <c r="F464" s="3" t="s">
        <v>188</v>
      </c>
      <c r="G464" s="3" t="s">
        <v>27</v>
      </c>
      <c r="H464" s="3" t="str">
        <f t="array" ref="H464">XLOOKUP(G:G,'Account Manager Data'!A:A,'Account Manager Data'!B:B,0)</f>
        <v>Dedi Kurniawan</v>
      </c>
      <c r="I464" s="11" t="str">
        <f t="array" ref="I464">XLOOKUP($G:$G,'Account Manager Data'!$A:$A,'Account Manager Data'!C:C)</f>
        <v>Kalimantan</v>
      </c>
      <c r="J464" s="17">
        <v>1101349.0</v>
      </c>
      <c r="K464" s="17">
        <v>522806.0</v>
      </c>
      <c r="L464" s="17">
        <v>7016374.0</v>
      </c>
      <c r="M464" s="17">
        <v>0.0</v>
      </c>
      <c r="N464" s="17">
        <v>3039079.0</v>
      </c>
      <c r="O464" s="17">
        <v>4007809.0</v>
      </c>
      <c r="P464" s="17">
        <v>295076.0</v>
      </c>
      <c r="Q464" s="17">
        <v>7842661.0</v>
      </c>
      <c r="R464" s="17">
        <v>416681.0</v>
      </c>
      <c r="S464" s="17">
        <v>7466131.0</v>
      </c>
      <c r="T464" s="17">
        <v>1.3520941E7</v>
      </c>
      <c r="U464" s="17">
        <v>8770935.0</v>
      </c>
      <c r="V464" s="11">
        <f t="array" ref="V464">XLOOKUP(A:A,'Raw Revenue'!A:A,'Raw Revenue'!B:B,0)
</f>
        <v>0</v>
      </c>
      <c r="W464" s="11">
        <f t="array" ref="W464">XLOOKUP(A:A,'Raw Revenue'!C:C,'Raw Revenue'!D:D,0)</f>
        <v>0</v>
      </c>
      <c r="X464" s="11">
        <f t="array" ref="X464">XLOOKUP(A:A,'Raw Revenue'!E:E,'Raw Revenue'!F:F,0)</f>
        <v>0</v>
      </c>
      <c r="Y464" s="11">
        <f t="array" ref="Y464">XLOOKUP(A:A,'Raw Revenue'!G:G,'Raw Revenue'!H:H,0)</f>
        <v>0</v>
      </c>
      <c r="Z464" s="11">
        <f t="array" ref="Z464">XLOOKUP(A:A,'Raw Revenue'!I:I,'Raw Revenue'!J:J,0)</f>
        <v>0</v>
      </c>
      <c r="AA464" s="11">
        <f t="array" ref="AA464">XLOOKUP(A:A,'Raw Revenue'!K:K,'Raw Revenue'!L:L,0)</f>
        <v>0</v>
      </c>
      <c r="AB464" s="11">
        <f t="array" ref="AB464">XLOOKUP(A:A,'Raw Revenue'!M:M,'Raw Revenue'!N:N,0)</f>
        <v>0</v>
      </c>
      <c r="AC464" s="3">
        <v>0.0</v>
      </c>
      <c r="AD464" s="3">
        <v>0.0</v>
      </c>
      <c r="AE464" s="3">
        <v>0.0</v>
      </c>
      <c r="AF464" s="3">
        <v>0.0</v>
      </c>
      <c r="AG464" s="3">
        <v>0.0</v>
      </c>
    </row>
    <row r="465">
      <c r="A465" s="3" t="s">
        <v>1198</v>
      </c>
      <c r="B465" s="3" t="s">
        <v>1199</v>
      </c>
      <c r="C465" s="3" t="str">
        <f t="shared" si="1"/>
        <v>PT. Bakti Indonesia</v>
      </c>
      <c r="D465" s="3" t="s">
        <v>130</v>
      </c>
      <c r="E465" s="3" t="s">
        <v>187</v>
      </c>
      <c r="F465" s="3" t="s">
        <v>188</v>
      </c>
      <c r="G465" s="3" t="s">
        <v>78</v>
      </c>
      <c r="H465" s="3" t="str">
        <f t="array" ref="H465">XLOOKUP(G:G,'Account Manager Data'!A:A,'Account Manager Data'!B:B,0)</f>
        <v>Ilham Saputra</v>
      </c>
      <c r="I465" s="11" t="str">
        <f t="array" ref="I465">XLOOKUP($G:$G,'Account Manager Data'!$A:$A,'Account Manager Data'!C:C)</f>
        <v>Jawa</v>
      </c>
      <c r="J465" s="17">
        <v>7907428.0</v>
      </c>
      <c r="K465" s="17">
        <v>4521975.0</v>
      </c>
      <c r="L465" s="17">
        <v>1692301.0</v>
      </c>
      <c r="M465" s="17">
        <v>9096799.0</v>
      </c>
      <c r="N465" s="17">
        <v>2467435.0</v>
      </c>
      <c r="O465" s="17">
        <v>1.2826636E7</v>
      </c>
      <c r="P465" s="17">
        <v>4424926.0</v>
      </c>
      <c r="Q465" s="17">
        <v>5540472.0</v>
      </c>
      <c r="R465" s="17">
        <v>7848778.0</v>
      </c>
      <c r="S465" s="17">
        <v>8491369.0</v>
      </c>
      <c r="T465" s="17">
        <v>5284693.0</v>
      </c>
      <c r="U465" s="17">
        <v>1.7931396E7</v>
      </c>
      <c r="V465" s="11">
        <f t="array" ref="V465">XLOOKUP(A:A,'Raw Revenue'!A:A,'Raw Revenue'!B:B,0)
</f>
        <v>0</v>
      </c>
      <c r="W465" s="11">
        <f t="array" ref="W465">XLOOKUP(A:A,'Raw Revenue'!C:C,'Raw Revenue'!D:D,0)</f>
        <v>0</v>
      </c>
      <c r="X465" s="11">
        <f t="array" ref="X465">XLOOKUP(A:A,'Raw Revenue'!E:E,'Raw Revenue'!F:F,0)</f>
        <v>0</v>
      </c>
      <c r="Y465" s="11">
        <f t="array" ref="Y465">XLOOKUP(A:A,'Raw Revenue'!G:G,'Raw Revenue'!H:H,0)</f>
        <v>0</v>
      </c>
      <c r="Z465" s="11">
        <f t="array" ref="Z465">XLOOKUP(A:A,'Raw Revenue'!I:I,'Raw Revenue'!J:J,0)</f>
        <v>0</v>
      </c>
      <c r="AA465" s="11">
        <f t="array" ref="AA465">XLOOKUP(A:A,'Raw Revenue'!K:K,'Raw Revenue'!L:L,0)</f>
        <v>0</v>
      </c>
      <c r="AB465" s="11">
        <f t="array" ref="AB465">XLOOKUP(A:A,'Raw Revenue'!M:M,'Raw Revenue'!N:N,0)</f>
        <v>0</v>
      </c>
      <c r="AC465" s="3">
        <v>0.0</v>
      </c>
      <c r="AD465" s="3">
        <v>0.0</v>
      </c>
      <c r="AE465" s="3">
        <v>0.0</v>
      </c>
      <c r="AF465" s="3">
        <v>0.0</v>
      </c>
      <c r="AG465" s="3">
        <v>0.0</v>
      </c>
    </row>
    <row r="466">
      <c r="A466" s="3" t="s">
        <v>1200</v>
      </c>
      <c r="B466" s="3" t="s">
        <v>1201</v>
      </c>
      <c r="C466" s="3" t="str">
        <f t="shared" si="1"/>
        <v>CV. Amanah Sejahtera</v>
      </c>
      <c r="D466" s="3" t="s">
        <v>195</v>
      </c>
      <c r="E466" s="3" t="s">
        <v>215</v>
      </c>
      <c r="F466" s="3" t="s">
        <v>227</v>
      </c>
      <c r="G466" s="3" t="s">
        <v>53</v>
      </c>
      <c r="H466" s="3" t="str">
        <f t="array" ref="H466">XLOOKUP(G:G,'Account Manager Data'!A:A,'Account Manager Data'!B:B,0)</f>
        <v>Fajar Ramadhan</v>
      </c>
      <c r="I466" s="11" t="str">
        <f t="array" ref="I466">XLOOKUP($G:$G,'Account Manager Data'!$A:$A,'Account Manager Data'!C:C)</f>
        <v>Sulawesi</v>
      </c>
      <c r="J466" s="17">
        <v>639468.0</v>
      </c>
      <c r="K466" s="17">
        <v>6270910.0</v>
      </c>
      <c r="L466" s="17">
        <v>8380653.0</v>
      </c>
      <c r="M466" s="17">
        <v>461653.0</v>
      </c>
      <c r="N466" s="17">
        <v>9375576.0</v>
      </c>
      <c r="O466" s="17">
        <v>0.0</v>
      </c>
      <c r="P466" s="17">
        <v>7059355.0</v>
      </c>
      <c r="Q466" s="17">
        <v>0.0</v>
      </c>
      <c r="R466" s="17">
        <v>6808663.0</v>
      </c>
      <c r="S466" s="17">
        <v>8294292.0</v>
      </c>
      <c r="T466" s="17">
        <v>903472.0</v>
      </c>
      <c r="U466" s="17">
        <v>8890867.0</v>
      </c>
      <c r="V466" s="11">
        <f t="array" ref="V466">XLOOKUP(A:A,'Raw Revenue'!A:A,'Raw Revenue'!B:B,0)
</f>
        <v>0</v>
      </c>
      <c r="W466" s="11">
        <f t="array" ref="W466">XLOOKUP(A:A,'Raw Revenue'!C:C,'Raw Revenue'!D:D,0)</f>
        <v>0</v>
      </c>
      <c r="X466" s="11">
        <f t="array" ref="X466">XLOOKUP(A:A,'Raw Revenue'!E:E,'Raw Revenue'!F:F,0)</f>
        <v>0</v>
      </c>
      <c r="Y466" s="11">
        <f t="array" ref="Y466">XLOOKUP(A:A,'Raw Revenue'!G:G,'Raw Revenue'!H:H,0)</f>
        <v>0</v>
      </c>
      <c r="Z466" s="11">
        <f t="array" ref="Z466">XLOOKUP(A:A,'Raw Revenue'!I:I,'Raw Revenue'!J:J,0)</f>
        <v>0</v>
      </c>
      <c r="AA466" s="11">
        <f t="array" ref="AA466">XLOOKUP(A:A,'Raw Revenue'!K:K,'Raw Revenue'!L:L,0)</f>
        <v>0</v>
      </c>
      <c r="AB466" s="11">
        <f t="array" ref="AB466">XLOOKUP(A:A,'Raw Revenue'!M:M,'Raw Revenue'!N:N,0)</f>
        <v>0</v>
      </c>
      <c r="AC466" s="3">
        <v>0.0</v>
      </c>
      <c r="AD466" s="3">
        <v>0.0</v>
      </c>
      <c r="AE466" s="3">
        <v>0.0</v>
      </c>
      <c r="AF466" s="3">
        <v>0.0</v>
      </c>
      <c r="AG466" s="3">
        <v>0.0</v>
      </c>
    </row>
    <row r="467">
      <c r="A467" s="3" t="s">
        <v>1202</v>
      </c>
      <c r="B467" s="3" t="s">
        <v>1203</v>
      </c>
      <c r="C467" s="3" t="str">
        <f t="shared" si="1"/>
        <v>PT. Digital Solusi Pratama</v>
      </c>
      <c r="D467" s="3" t="s">
        <v>130</v>
      </c>
      <c r="E467" s="3" t="s">
        <v>85</v>
      </c>
      <c r="F467" s="3" t="s">
        <v>407</v>
      </c>
      <c r="G467" s="3" t="s">
        <v>63</v>
      </c>
      <c r="H467" s="3" t="str">
        <f t="array" ref="H467">XLOOKUP(G:G,'Account Manager Data'!A:A,'Account Manager Data'!B:B,0)</f>
        <v>Hendra Gunawan</v>
      </c>
      <c r="I467" s="11" t="str">
        <f t="array" ref="I467">XLOOKUP($G:$G,'Account Manager Data'!$A:$A,'Account Manager Data'!C:C)</f>
        <v>Kalimantan</v>
      </c>
      <c r="J467" s="17">
        <v>1584893.0</v>
      </c>
      <c r="K467" s="17">
        <v>5592434.0</v>
      </c>
      <c r="L467" s="17">
        <v>0.0</v>
      </c>
      <c r="M467" s="17">
        <v>1486432.0</v>
      </c>
      <c r="N467" s="17">
        <v>0.0</v>
      </c>
      <c r="O467" s="17">
        <v>5698644.0</v>
      </c>
      <c r="P467" s="17">
        <v>3845288.0</v>
      </c>
      <c r="Q467" s="17">
        <v>1.3023521E7</v>
      </c>
      <c r="R467" s="17">
        <v>1.0498327E7</v>
      </c>
      <c r="S467" s="17">
        <v>8161378.0</v>
      </c>
      <c r="T467" s="17">
        <v>225490.0</v>
      </c>
      <c r="U467" s="17">
        <v>1.7812583E7</v>
      </c>
      <c r="V467" s="11">
        <f t="array" ref="V467">XLOOKUP(A:A,'Raw Revenue'!A:A,'Raw Revenue'!B:B,0)
</f>
        <v>0</v>
      </c>
      <c r="W467" s="11">
        <f t="array" ref="W467">XLOOKUP(A:A,'Raw Revenue'!C:C,'Raw Revenue'!D:D,0)</f>
        <v>0</v>
      </c>
      <c r="X467" s="11">
        <f t="array" ref="X467">XLOOKUP(A:A,'Raw Revenue'!E:E,'Raw Revenue'!F:F,0)</f>
        <v>0</v>
      </c>
      <c r="Y467" s="11">
        <f t="array" ref="Y467">XLOOKUP(A:A,'Raw Revenue'!G:G,'Raw Revenue'!H:H,0)</f>
        <v>0</v>
      </c>
      <c r="Z467" s="11">
        <f t="array" ref="Z467">XLOOKUP(A:A,'Raw Revenue'!I:I,'Raw Revenue'!J:J,0)</f>
        <v>0</v>
      </c>
      <c r="AA467" s="11">
        <f t="array" ref="AA467">XLOOKUP(A:A,'Raw Revenue'!K:K,'Raw Revenue'!L:L,0)</f>
        <v>0</v>
      </c>
      <c r="AB467" s="11">
        <f t="array" ref="AB467">XLOOKUP(A:A,'Raw Revenue'!M:M,'Raw Revenue'!N:N,0)</f>
        <v>0</v>
      </c>
      <c r="AC467" s="3">
        <v>0.0</v>
      </c>
      <c r="AD467" s="3">
        <v>0.0</v>
      </c>
      <c r="AE467" s="3">
        <v>0.0</v>
      </c>
      <c r="AF467" s="3">
        <v>0.0</v>
      </c>
      <c r="AG467" s="3">
        <v>0.0</v>
      </c>
    </row>
    <row r="468">
      <c r="A468" s="3" t="s">
        <v>213</v>
      </c>
      <c r="B468" s="3" t="s">
        <v>1204</v>
      </c>
      <c r="C468" s="3" t="str">
        <f t="shared" si="1"/>
        <v>PT. Global Niaga Abadi</v>
      </c>
      <c r="D468" s="3" t="s">
        <v>103</v>
      </c>
      <c r="E468" s="3" t="s">
        <v>187</v>
      </c>
      <c r="F468" s="3" t="s">
        <v>295</v>
      </c>
      <c r="G468" s="3" t="s">
        <v>35</v>
      </c>
      <c r="H468" s="3" t="str">
        <f t="array" ref="H468">XLOOKUP(G:G,'Account Manager Data'!A:A,'Account Manager Data'!B:B,0)</f>
        <v>Ahmad Fauzi</v>
      </c>
      <c r="I468" s="11" t="str">
        <f t="array" ref="I468">XLOOKUP($G:$G,'Account Manager Data'!$A:$A,'Account Manager Data'!C:C)</f>
        <v>Sumatera</v>
      </c>
      <c r="J468" s="17">
        <v>4369443.0</v>
      </c>
      <c r="K468" s="17">
        <v>318729.0</v>
      </c>
      <c r="L468" s="17">
        <v>8331688.0</v>
      </c>
      <c r="M468" s="17">
        <v>478577.0</v>
      </c>
      <c r="N468" s="17">
        <v>8697616.0</v>
      </c>
      <c r="O468" s="17">
        <v>2257097.0</v>
      </c>
      <c r="P468" s="17">
        <v>1.1056754E7</v>
      </c>
      <c r="Q468" s="17">
        <v>7521152.0</v>
      </c>
      <c r="R468" s="17">
        <v>1.374616E7</v>
      </c>
      <c r="S468" s="17">
        <v>8794540.0</v>
      </c>
      <c r="T468" s="17">
        <v>9584429.0</v>
      </c>
      <c r="U468" s="17">
        <v>1.8406153E7</v>
      </c>
      <c r="V468" s="11">
        <f t="array" ref="V468">XLOOKUP(A:A,'Raw Revenue'!A:A,'Raw Revenue'!B:B,0)
</f>
        <v>6426470.104</v>
      </c>
      <c r="W468" s="11">
        <f t="array" ref="W468">XLOOKUP(A:A,'Raw Revenue'!C:C,'Raw Revenue'!D:D,0)</f>
        <v>6426470.104</v>
      </c>
      <c r="X468" s="11">
        <f t="array" ref="X468">XLOOKUP(A:A,'Raw Revenue'!E:E,'Raw Revenue'!F:F,0)</f>
        <v>12852940.21</v>
      </c>
      <c r="Y468" s="11">
        <f t="array" ref="Y468">XLOOKUP(A:A,'Raw Revenue'!G:G,'Raw Revenue'!H:H,0)</f>
        <v>10496567.84</v>
      </c>
      <c r="Z468" s="11">
        <f t="array" ref="Z468">XLOOKUP(A:A,'Raw Revenue'!I:I,'Raw Revenue'!J:J,0)</f>
        <v>9425489.486</v>
      </c>
      <c r="AA468" s="11">
        <f t="array" ref="AA468">XLOOKUP(A:A,'Raw Revenue'!K:K,'Raw Revenue'!L:L,0)</f>
        <v>24099262.89</v>
      </c>
      <c r="AB468" s="11">
        <f t="array" ref="AB468">XLOOKUP(A:A,'Raw Revenue'!M:M,'Raw Revenue'!N:N,0)</f>
        <v>22171321.86</v>
      </c>
      <c r="AC468" s="3">
        <v>0.0</v>
      </c>
      <c r="AD468" s="3">
        <v>0.0</v>
      </c>
      <c r="AE468" s="3">
        <v>0.0</v>
      </c>
      <c r="AF468" s="3">
        <v>0.0</v>
      </c>
      <c r="AG468" s="3">
        <v>0.0</v>
      </c>
    </row>
    <row r="469">
      <c r="A469" s="3" t="s">
        <v>1205</v>
      </c>
      <c r="B469" s="3" t="s">
        <v>1206</v>
      </c>
      <c r="C469" s="3" t="str">
        <f t="shared" si="1"/>
        <v>PT. Indo Makmur Sentosa</v>
      </c>
      <c r="D469" s="3" t="s">
        <v>130</v>
      </c>
      <c r="E469" s="3" t="s">
        <v>187</v>
      </c>
      <c r="F469" s="3" t="s">
        <v>188</v>
      </c>
      <c r="G469" s="3" t="s">
        <v>74</v>
      </c>
      <c r="H469" s="3" t="str">
        <f t="array" ref="H469">XLOOKUP(G:G,'Account Manager Data'!A:A,'Account Manager Data'!B:B,0)</f>
        <v>Budi Santoso</v>
      </c>
      <c r="I469" s="11" t="str">
        <f t="array" ref="I469">XLOOKUP($G:$G,'Account Manager Data'!$A:$A,'Account Manager Data'!C:C)</f>
        <v>Papua</v>
      </c>
      <c r="J469" s="17">
        <v>8019010.0</v>
      </c>
      <c r="K469" s="17">
        <v>5093551.0</v>
      </c>
      <c r="L469" s="17">
        <v>1.0017157E7</v>
      </c>
      <c r="M469" s="17">
        <v>825972.0</v>
      </c>
      <c r="N469" s="17">
        <v>0.0</v>
      </c>
      <c r="O469" s="17">
        <v>1.2638075E7</v>
      </c>
      <c r="P469" s="17">
        <v>1292109.0</v>
      </c>
      <c r="Q469" s="17">
        <v>8326909.0</v>
      </c>
      <c r="R469" s="17">
        <v>0.0</v>
      </c>
      <c r="S469" s="17">
        <v>3178949.0</v>
      </c>
      <c r="T469" s="17">
        <v>0.0</v>
      </c>
      <c r="U469" s="17">
        <v>1.0427644E7</v>
      </c>
      <c r="V469" s="11">
        <f t="array" ref="V469">XLOOKUP(A:A,'Raw Revenue'!A:A,'Raw Revenue'!B:B,0)
</f>
        <v>0</v>
      </c>
      <c r="W469" s="11">
        <f t="array" ref="W469">XLOOKUP(A:A,'Raw Revenue'!C:C,'Raw Revenue'!D:D,0)</f>
        <v>0</v>
      </c>
      <c r="X469" s="11">
        <f t="array" ref="X469">XLOOKUP(A:A,'Raw Revenue'!E:E,'Raw Revenue'!F:F,0)</f>
        <v>0</v>
      </c>
      <c r="Y469" s="11">
        <f t="array" ref="Y469">XLOOKUP(A:A,'Raw Revenue'!G:G,'Raw Revenue'!H:H,0)</f>
        <v>0</v>
      </c>
      <c r="Z469" s="11">
        <f t="array" ref="Z469">XLOOKUP(A:A,'Raw Revenue'!I:I,'Raw Revenue'!J:J,0)</f>
        <v>0</v>
      </c>
      <c r="AA469" s="11">
        <f t="array" ref="AA469">XLOOKUP(A:A,'Raw Revenue'!K:K,'Raw Revenue'!L:L,0)</f>
        <v>0</v>
      </c>
      <c r="AB469" s="11">
        <f t="array" ref="AB469">XLOOKUP(A:A,'Raw Revenue'!M:M,'Raw Revenue'!N:N,0)</f>
        <v>0</v>
      </c>
      <c r="AC469" s="3">
        <v>0.0</v>
      </c>
      <c r="AD469" s="3">
        <v>0.0</v>
      </c>
      <c r="AE469" s="3">
        <v>0.0</v>
      </c>
      <c r="AF469" s="3">
        <v>0.0</v>
      </c>
      <c r="AG469" s="3">
        <v>0.0</v>
      </c>
    </row>
    <row r="470">
      <c r="A470" s="3" t="s">
        <v>1207</v>
      </c>
      <c r="B470" s="3" t="s">
        <v>1208</v>
      </c>
      <c r="C470" s="3" t="str">
        <f t="shared" si="1"/>
        <v>PT. Citra Mandiri Utama</v>
      </c>
      <c r="D470" s="3" t="s">
        <v>130</v>
      </c>
      <c r="E470" s="3" t="s">
        <v>104</v>
      </c>
      <c r="F470" s="3" t="s">
        <v>134</v>
      </c>
      <c r="G470" s="3" t="s">
        <v>43</v>
      </c>
      <c r="H470" s="3" t="str">
        <f t="array" ref="H470">XLOOKUP(G:G,'Account Manager Data'!A:A,'Account Manager Data'!B:B,0)</f>
        <v>Eko Prasetyo</v>
      </c>
      <c r="I470" s="11" t="str">
        <f t="array" ref="I470">XLOOKUP($G:$G,'Account Manager Data'!$A:$A,'Account Manager Data'!C:C)</f>
        <v>Papua</v>
      </c>
      <c r="J470" s="17">
        <v>6386060.0</v>
      </c>
      <c r="K470" s="17">
        <v>4829072.0</v>
      </c>
      <c r="L470" s="17">
        <v>5007767.0</v>
      </c>
      <c r="M470" s="17">
        <v>1.1624761E7</v>
      </c>
      <c r="N470" s="17">
        <v>389118.0</v>
      </c>
      <c r="O470" s="17">
        <v>1.1626198E7</v>
      </c>
      <c r="P470" s="17">
        <v>1.1348483E7</v>
      </c>
      <c r="Q470" s="17">
        <v>1.0630171E7</v>
      </c>
      <c r="R470" s="17">
        <v>3631.0</v>
      </c>
      <c r="S470" s="17">
        <v>6444122.0</v>
      </c>
      <c r="T470" s="17">
        <v>4219657.0</v>
      </c>
      <c r="U470" s="17">
        <v>1.134255E7</v>
      </c>
      <c r="V470" s="11">
        <f t="array" ref="V470">XLOOKUP(A:A,'Raw Revenue'!A:A,'Raw Revenue'!B:B,0)
</f>
        <v>0</v>
      </c>
      <c r="W470" s="11">
        <f t="array" ref="W470">XLOOKUP(A:A,'Raw Revenue'!C:C,'Raw Revenue'!D:D,0)</f>
        <v>0</v>
      </c>
      <c r="X470" s="11">
        <f t="array" ref="X470">XLOOKUP(A:A,'Raw Revenue'!E:E,'Raw Revenue'!F:F,0)</f>
        <v>0</v>
      </c>
      <c r="Y470" s="11">
        <f t="array" ref="Y470">XLOOKUP(A:A,'Raw Revenue'!G:G,'Raw Revenue'!H:H,0)</f>
        <v>0</v>
      </c>
      <c r="Z470" s="11">
        <f t="array" ref="Z470">XLOOKUP(A:A,'Raw Revenue'!I:I,'Raw Revenue'!J:J,0)</f>
        <v>0</v>
      </c>
      <c r="AA470" s="11">
        <f t="array" ref="AA470">XLOOKUP(A:A,'Raw Revenue'!K:K,'Raw Revenue'!L:L,0)</f>
        <v>0</v>
      </c>
      <c r="AB470" s="11">
        <f t="array" ref="AB470">XLOOKUP(A:A,'Raw Revenue'!M:M,'Raw Revenue'!N:N,0)</f>
        <v>0</v>
      </c>
      <c r="AC470" s="3">
        <v>0.0</v>
      </c>
      <c r="AD470" s="3">
        <v>0.0</v>
      </c>
      <c r="AE470" s="3">
        <v>0.0</v>
      </c>
      <c r="AF470" s="3">
        <v>0.0</v>
      </c>
      <c r="AG470" s="3">
        <v>0.0</v>
      </c>
    </row>
    <row r="471">
      <c r="A471" s="3" t="s">
        <v>1209</v>
      </c>
      <c r="B471" s="3" t="s">
        <v>1210</v>
      </c>
      <c r="C471" s="3" t="str">
        <f t="shared" si="1"/>
        <v>PT. Sinar Dunia Baru</v>
      </c>
      <c r="D471" s="3" t="s">
        <v>186</v>
      </c>
      <c r="E471" s="3" t="s">
        <v>215</v>
      </c>
      <c r="F471" s="3" t="s">
        <v>227</v>
      </c>
      <c r="G471" s="3" t="s">
        <v>76</v>
      </c>
      <c r="H471" s="3" t="str">
        <f t="array" ref="H471">XLOOKUP(G:G,'Account Manager Data'!A:A,'Account Manager Data'!B:B,0)</f>
        <v>Teguh Wijaya</v>
      </c>
      <c r="I471" s="11" t="str">
        <f t="array" ref="I471">XLOOKUP($G:$G,'Account Manager Data'!$A:$A,'Account Manager Data'!C:C)</f>
        <v>Sulawesi</v>
      </c>
      <c r="J471" s="17">
        <v>2607859.0</v>
      </c>
      <c r="K471" s="17">
        <v>5209808.0</v>
      </c>
      <c r="L471" s="17">
        <v>1.0374138E7</v>
      </c>
      <c r="M471" s="17">
        <v>8872745.0</v>
      </c>
      <c r="N471" s="17">
        <v>1423807.0</v>
      </c>
      <c r="O471" s="17">
        <v>9327854.0</v>
      </c>
      <c r="P471" s="17">
        <v>1.4514328E7</v>
      </c>
      <c r="Q471" s="17">
        <v>0.0</v>
      </c>
      <c r="R471" s="17">
        <v>0.0</v>
      </c>
      <c r="S471" s="17">
        <v>8187800.0</v>
      </c>
      <c r="T471" s="17">
        <v>1.2370714E7</v>
      </c>
      <c r="U471" s="17">
        <v>1.3825923E7</v>
      </c>
      <c r="V471" s="11">
        <f t="array" ref="V471">XLOOKUP(A:A,'Raw Revenue'!A:A,'Raw Revenue'!B:B,0)
</f>
        <v>0</v>
      </c>
      <c r="W471" s="11">
        <f t="array" ref="W471">XLOOKUP(A:A,'Raw Revenue'!C:C,'Raw Revenue'!D:D,0)</f>
        <v>0</v>
      </c>
      <c r="X471" s="11">
        <f t="array" ref="X471">XLOOKUP(A:A,'Raw Revenue'!E:E,'Raw Revenue'!F:F,0)</f>
        <v>0</v>
      </c>
      <c r="Y471" s="11">
        <f t="array" ref="Y471">XLOOKUP(A:A,'Raw Revenue'!G:G,'Raw Revenue'!H:H,0)</f>
        <v>0</v>
      </c>
      <c r="Z471" s="11">
        <f t="array" ref="Z471">XLOOKUP(A:A,'Raw Revenue'!I:I,'Raw Revenue'!J:J,0)</f>
        <v>0</v>
      </c>
      <c r="AA471" s="11">
        <f t="array" ref="AA471">XLOOKUP(A:A,'Raw Revenue'!K:K,'Raw Revenue'!L:L,0)</f>
        <v>0</v>
      </c>
      <c r="AB471" s="11">
        <f t="array" ref="AB471">XLOOKUP(A:A,'Raw Revenue'!M:M,'Raw Revenue'!N:N,0)</f>
        <v>0</v>
      </c>
      <c r="AC471" s="3">
        <v>0.0</v>
      </c>
      <c r="AD471" s="3">
        <v>0.0</v>
      </c>
      <c r="AE471" s="3">
        <v>0.0</v>
      </c>
      <c r="AF471" s="3">
        <v>0.0</v>
      </c>
      <c r="AG471" s="3">
        <v>0.0</v>
      </c>
    </row>
    <row r="472">
      <c r="A472" s="3" t="s">
        <v>1211</v>
      </c>
      <c r="B472" s="3" t="s">
        <v>1212</v>
      </c>
      <c r="C472" s="3" t="str">
        <f t="shared" si="1"/>
        <v>CV. Karya Utama Mandiri</v>
      </c>
      <c r="D472" s="3" t="s">
        <v>195</v>
      </c>
      <c r="E472" s="3" t="s">
        <v>104</v>
      </c>
      <c r="F472" s="3" t="s">
        <v>105</v>
      </c>
      <c r="G472" s="3" t="s">
        <v>70</v>
      </c>
      <c r="H472" s="3" t="str">
        <f t="array" ref="H472">XLOOKUP(G:G,'Account Manager Data'!A:A,'Account Manager Data'!B:B,0)</f>
        <v>Yusuf Hidayat</v>
      </c>
      <c r="I472" s="11" t="str">
        <f t="array" ref="I472">XLOOKUP($G:$G,'Account Manager Data'!$A:$A,'Account Manager Data'!C:C)</f>
        <v>Sumatera</v>
      </c>
      <c r="J472" s="17">
        <v>4871792.0</v>
      </c>
      <c r="K472" s="17">
        <v>7581336.0</v>
      </c>
      <c r="L472" s="17">
        <v>4807760.0</v>
      </c>
      <c r="M472" s="17">
        <v>7702628.0</v>
      </c>
      <c r="N472" s="17">
        <v>1.3834877E7</v>
      </c>
      <c r="O472" s="17">
        <v>1.4320952E7</v>
      </c>
      <c r="P472" s="17">
        <v>1.0842379E7</v>
      </c>
      <c r="Q472" s="17">
        <v>1.5540056E7</v>
      </c>
      <c r="R472" s="17">
        <v>1.322061E7</v>
      </c>
      <c r="S472" s="17">
        <v>4327777.0</v>
      </c>
      <c r="T472" s="17">
        <v>9620312.0</v>
      </c>
      <c r="U472" s="17">
        <v>8557735.0</v>
      </c>
      <c r="V472" s="11">
        <f t="array" ref="V472">XLOOKUP(A:A,'Raw Revenue'!A:A,'Raw Revenue'!B:B,0)
</f>
        <v>0</v>
      </c>
      <c r="W472" s="11">
        <f t="array" ref="W472">XLOOKUP(A:A,'Raw Revenue'!C:C,'Raw Revenue'!D:D,0)</f>
        <v>0</v>
      </c>
      <c r="X472" s="11">
        <f t="array" ref="X472">XLOOKUP(A:A,'Raw Revenue'!E:E,'Raw Revenue'!F:F,0)</f>
        <v>0</v>
      </c>
      <c r="Y472" s="11">
        <f t="array" ref="Y472">XLOOKUP(A:A,'Raw Revenue'!G:G,'Raw Revenue'!H:H,0)</f>
        <v>0</v>
      </c>
      <c r="Z472" s="11">
        <f t="array" ref="Z472">XLOOKUP(A:A,'Raw Revenue'!I:I,'Raw Revenue'!J:J,0)</f>
        <v>0</v>
      </c>
      <c r="AA472" s="11">
        <f t="array" ref="AA472">XLOOKUP(A:A,'Raw Revenue'!K:K,'Raw Revenue'!L:L,0)</f>
        <v>0</v>
      </c>
      <c r="AB472" s="11">
        <f t="array" ref="AB472">XLOOKUP(A:A,'Raw Revenue'!M:M,'Raw Revenue'!N:N,0)</f>
        <v>0</v>
      </c>
      <c r="AC472" s="3">
        <v>0.0</v>
      </c>
      <c r="AD472" s="3">
        <v>0.0</v>
      </c>
      <c r="AE472" s="3">
        <v>0.0</v>
      </c>
      <c r="AF472" s="3">
        <v>0.0</v>
      </c>
      <c r="AG472" s="3">
        <v>0.0</v>
      </c>
    </row>
    <row r="473">
      <c r="A473" s="3" t="s">
        <v>1213</v>
      </c>
      <c r="B473" s="3" t="s">
        <v>1214</v>
      </c>
      <c r="C473" s="3" t="str">
        <f t="shared" si="1"/>
        <v>PT. Pratama Jaya Sentosa</v>
      </c>
      <c r="D473" s="3" t="s">
        <v>195</v>
      </c>
      <c r="E473" s="3" t="s">
        <v>215</v>
      </c>
      <c r="F473" s="3" t="s">
        <v>227</v>
      </c>
      <c r="G473" s="3" t="s">
        <v>15</v>
      </c>
      <c r="H473" s="3" t="str">
        <f t="array" ref="H473">XLOOKUP(G:G,'Account Manager Data'!A:A,'Account Manager Data'!B:B,0)</f>
        <v>Rizky Maulana</v>
      </c>
      <c r="I473" s="11" t="str">
        <f t="array" ref="I473">XLOOKUP($G:$G,'Account Manager Data'!$A:$A,'Account Manager Data'!C:C)</f>
        <v>Jawa</v>
      </c>
      <c r="J473" s="17">
        <v>5082939.0</v>
      </c>
      <c r="K473" s="17">
        <v>2658868.0</v>
      </c>
      <c r="L473" s="17">
        <v>1577024.0</v>
      </c>
      <c r="M473" s="17">
        <v>978291.0</v>
      </c>
      <c r="N473" s="17">
        <v>2488195.0</v>
      </c>
      <c r="O473" s="17">
        <v>7509391.0</v>
      </c>
      <c r="P473" s="17">
        <v>2888992.0</v>
      </c>
      <c r="Q473" s="17">
        <v>1.4841909E7</v>
      </c>
      <c r="R473" s="17">
        <v>5674821.0</v>
      </c>
      <c r="S473" s="17">
        <v>1.096517E7</v>
      </c>
      <c r="T473" s="17">
        <v>1.6075462E7</v>
      </c>
      <c r="U473" s="17">
        <v>0.0</v>
      </c>
      <c r="V473" s="11">
        <f t="array" ref="V473">XLOOKUP(A:A,'Raw Revenue'!A:A,'Raw Revenue'!B:B,0)
</f>
        <v>0</v>
      </c>
      <c r="W473" s="11">
        <f t="array" ref="W473">XLOOKUP(A:A,'Raw Revenue'!C:C,'Raw Revenue'!D:D,0)</f>
        <v>0</v>
      </c>
      <c r="X473" s="11">
        <f t="array" ref="X473">XLOOKUP(A:A,'Raw Revenue'!E:E,'Raw Revenue'!F:F,0)</f>
        <v>0</v>
      </c>
      <c r="Y473" s="11">
        <f t="array" ref="Y473">XLOOKUP(A:A,'Raw Revenue'!G:G,'Raw Revenue'!H:H,0)</f>
        <v>0</v>
      </c>
      <c r="Z473" s="11">
        <f t="array" ref="Z473">XLOOKUP(A:A,'Raw Revenue'!I:I,'Raw Revenue'!J:J,0)</f>
        <v>0</v>
      </c>
      <c r="AA473" s="11">
        <f t="array" ref="AA473">XLOOKUP(A:A,'Raw Revenue'!K:K,'Raw Revenue'!L:L,0)</f>
        <v>0</v>
      </c>
      <c r="AB473" s="11">
        <f t="array" ref="AB473">XLOOKUP(A:A,'Raw Revenue'!M:M,'Raw Revenue'!N:N,0)</f>
        <v>0</v>
      </c>
      <c r="AC473" s="3">
        <v>0.0</v>
      </c>
      <c r="AD473" s="3">
        <v>0.0</v>
      </c>
      <c r="AE473" s="3">
        <v>0.0</v>
      </c>
      <c r="AF473" s="3">
        <v>0.0</v>
      </c>
      <c r="AG473" s="3">
        <v>0.0</v>
      </c>
    </row>
    <row r="474">
      <c r="A474" s="3" t="s">
        <v>1215</v>
      </c>
      <c r="B474" s="3" t="s">
        <v>1216</v>
      </c>
      <c r="C474" s="3" t="str">
        <f t="shared" si="1"/>
        <v>PT. Abadi Selamanya Jaya</v>
      </c>
      <c r="D474" s="3" t="s">
        <v>130</v>
      </c>
      <c r="E474" s="3" t="s">
        <v>196</v>
      </c>
      <c r="F474" s="3" t="s">
        <v>197</v>
      </c>
      <c r="G474" s="3" t="s">
        <v>53</v>
      </c>
      <c r="H474" s="3" t="str">
        <f t="array" ref="H474">XLOOKUP(G:G,'Account Manager Data'!A:A,'Account Manager Data'!B:B,0)</f>
        <v>Fajar Ramadhan</v>
      </c>
      <c r="I474" s="11" t="str">
        <f t="array" ref="I474">XLOOKUP($G:$G,'Account Manager Data'!$A:$A,'Account Manager Data'!C:C)</f>
        <v>Sulawesi</v>
      </c>
      <c r="J474" s="17">
        <v>2159302.0</v>
      </c>
      <c r="K474" s="17">
        <v>3162875.0</v>
      </c>
      <c r="L474" s="17">
        <v>1.0730076E7</v>
      </c>
      <c r="M474" s="17">
        <v>1.1671651E7</v>
      </c>
      <c r="N474" s="17">
        <v>3780637.0</v>
      </c>
      <c r="O474" s="17">
        <v>7510290.0</v>
      </c>
      <c r="P474" s="17">
        <v>9676152.0</v>
      </c>
      <c r="Q474" s="17">
        <v>7616056.0</v>
      </c>
      <c r="R474" s="17">
        <v>3869595.0</v>
      </c>
      <c r="S474" s="17">
        <v>1.5852175E7</v>
      </c>
      <c r="T474" s="17">
        <v>8351503.0</v>
      </c>
      <c r="U474" s="17">
        <v>3868602.0</v>
      </c>
      <c r="V474" s="11">
        <f t="array" ref="V474">XLOOKUP(A:A,'Raw Revenue'!A:A,'Raw Revenue'!B:B,0)
</f>
        <v>0</v>
      </c>
      <c r="W474" s="11">
        <f t="array" ref="W474">XLOOKUP(A:A,'Raw Revenue'!C:C,'Raw Revenue'!D:D,0)</f>
        <v>0</v>
      </c>
      <c r="X474" s="11">
        <f t="array" ref="X474">XLOOKUP(A:A,'Raw Revenue'!E:E,'Raw Revenue'!F:F,0)</f>
        <v>0</v>
      </c>
      <c r="Y474" s="11">
        <f t="array" ref="Y474">XLOOKUP(A:A,'Raw Revenue'!G:G,'Raw Revenue'!H:H,0)</f>
        <v>0</v>
      </c>
      <c r="Z474" s="11">
        <f t="array" ref="Z474">XLOOKUP(A:A,'Raw Revenue'!I:I,'Raw Revenue'!J:J,0)</f>
        <v>0</v>
      </c>
      <c r="AA474" s="11">
        <f t="array" ref="AA474">XLOOKUP(A:A,'Raw Revenue'!K:K,'Raw Revenue'!L:L,0)</f>
        <v>0</v>
      </c>
      <c r="AB474" s="11">
        <f t="array" ref="AB474">XLOOKUP(A:A,'Raw Revenue'!M:M,'Raw Revenue'!N:N,0)</f>
        <v>0</v>
      </c>
      <c r="AC474" s="3">
        <v>0.0</v>
      </c>
      <c r="AD474" s="3">
        <v>0.0</v>
      </c>
      <c r="AE474" s="3">
        <v>0.0</v>
      </c>
      <c r="AF474" s="3">
        <v>0.0</v>
      </c>
      <c r="AG474" s="3">
        <v>0.0</v>
      </c>
    </row>
    <row r="475">
      <c r="A475" s="3" t="s">
        <v>1217</v>
      </c>
      <c r="B475" s="3" t="s">
        <v>1218</v>
      </c>
      <c r="C475" s="3" t="str">
        <f t="shared" si="1"/>
        <v>PT. Mandiri Sejahtera Bersama</v>
      </c>
      <c r="D475" s="3" t="s">
        <v>130</v>
      </c>
      <c r="E475" s="3" t="s">
        <v>85</v>
      </c>
      <c r="F475" s="3" t="s">
        <v>248</v>
      </c>
      <c r="G475" s="3" t="s">
        <v>27</v>
      </c>
      <c r="H475" s="3" t="str">
        <f t="array" ref="H475">XLOOKUP(G:G,'Account Manager Data'!A:A,'Account Manager Data'!B:B,0)</f>
        <v>Dedi Kurniawan</v>
      </c>
      <c r="I475" s="11" t="str">
        <f t="array" ref="I475">XLOOKUP($G:$G,'Account Manager Data'!$A:$A,'Account Manager Data'!C:C)</f>
        <v>Kalimantan</v>
      </c>
      <c r="J475" s="17">
        <v>3152934.0</v>
      </c>
      <c r="K475" s="17">
        <v>5191788.0</v>
      </c>
      <c r="L475" s="17">
        <v>4161033.0</v>
      </c>
      <c r="M475" s="17">
        <v>9830568.0</v>
      </c>
      <c r="N475" s="17">
        <v>2319560.0</v>
      </c>
      <c r="O475" s="17">
        <v>1.2789083E7</v>
      </c>
      <c r="P475" s="17">
        <v>1.0423425E7</v>
      </c>
      <c r="Q475" s="17">
        <v>1.2892012E7</v>
      </c>
      <c r="R475" s="17">
        <v>1.1466502E7</v>
      </c>
      <c r="S475" s="17">
        <v>1.5834244E7</v>
      </c>
      <c r="T475" s="17">
        <v>0.0</v>
      </c>
      <c r="U475" s="17">
        <v>1.2784575E7</v>
      </c>
      <c r="V475" s="11">
        <f t="array" ref="V475">XLOOKUP(A:A,'Raw Revenue'!A:A,'Raw Revenue'!B:B,0)
</f>
        <v>0</v>
      </c>
      <c r="W475" s="11">
        <f t="array" ref="W475">XLOOKUP(A:A,'Raw Revenue'!C:C,'Raw Revenue'!D:D,0)</f>
        <v>0</v>
      </c>
      <c r="X475" s="11">
        <f t="array" ref="X475">XLOOKUP(A:A,'Raw Revenue'!E:E,'Raw Revenue'!F:F,0)</f>
        <v>0</v>
      </c>
      <c r="Y475" s="11">
        <f t="array" ref="Y475">XLOOKUP(A:A,'Raw Revenue'!G:G,'Raw Revenue'!H:H,0)</f>
        <v>0</v>
      </c>
      <c r="Z475" s="11">
        <f t="array" ref="Z475">XLOOKUP(A:A,'Raw Revenue'!I:I,'Raw Revenue'!J:J,0)</f>
        <v>0</v>
      </c>
      <c r="AA475" s="11">
        <f t="array" ref="AA475">XLOOKUP(A:A,'Raw Revenue'!K:K,'Raw Revenue'!L:L,0)</f>
        <v>0</v>
      </c>
      <c r="AB475" s="11">
        <f t="array" ref="AB475">XLOOKUP(A:A,'Raw Revenue'!M:M,'Raw Revenue'!N:N,0)</f>
        <v>0</v>
      </c>
      <c r="AC475" s="3">
        <v>0.0</v>
      </c>
      <c r="AD475" s="3">
        <v>0.0</v>
      </c>
      <c r="AE475" s="3">
        <v>0.0</v>
      </c>
      <c r="AF475" s="3">
        <v>0.0</v>
      </c>
      <c r="AG475" s="3">
        <v>0.0</v>
      </c>
    </row>
    <row r="476">
      <c r="A476" s="3" t="s">
        <v>1219</v>
      </c>
      <c r="B476" s="3" t="s">
        <v>1220</v>
      </c>
      <c r="C476" s="3" t="str">
        <f t="shared" si="1"/>
        <v>PT. Sejahtera Alam Indonesia</v>
      </c>
      <c r="D476" s="3" t="s">
        <v>130</v>
      </c>
      <c r="E476" s="3" t="s">
        <v>104</v>
      </c>
      <c r="F476" s="3" t="s">
        <v>134</v>
      </c>
      <c r="G476" s="3" t="s">
        <v>78</v>
      </c>
      <c r="H476" s="3" t="str">
        <f t="array" ref="H476">XLOOKUP(G:G,'Account Manager Data'!A:A,'Account Manager Data'!B:B,0)</f>
        <v>Ilham Saputra</v>
      </c>
      <c r="I476" s="11" t="str">
        <f t="array" ref="I476">XLOOKUP($G:$G,'Account Manager Data'!$A:$A,'Account Manager Data'!C:C)</f>
        <v>Jawa</v>
      </c>
      <c r="J476" s="17">
        <v>0.0</v>
      </c>
      <c r="K476" s="17">
        <v>5804322.0</v>
      </c>
      <c r="L476" s="17">
        <v>1123931.0</v>
      </c>
      <c r="M476" s="17">
        <v>8540618.0</v>
      </c>
      <c r="N476" s="17">
        <v>5217926.0</v>
      </c>
      <c r="O476" s="17">
        <v>3254256.0</v>
      </c>
      <c r="P476" s="17">
        <v>5619593.0</v>
      </c>
      <c r="Q476" s="17">
        <v>2439687.0</v>
      </c>
      <c r="R476" s="17">
        <v>5000087.0</v>
      </c>
      <c r="S476" s="17">
        <v>9003312.0</v>
      </c>
      <c r="T476" s="17">
        <v>1726706.0</v>
      </c>
      <c r="U476" s="17">
        <v>3576444.0</v>
      </c>
      <c r="V476" s="11">
        <f t="array" ref="V476">XLOOKUP(A:A,'Raw Revenue'!A:A,'Raw Revenue'!B:B,0)
</f>
        <v>0</v>
      </c>
      <c r="W476" s="11">
        <f t="array" ref="W476">XLOOKUP(A:A,'Raw Revenue'!C:C,'Raw Revenue'!D:D,0)</f>
        <v>0</v>
      </c>
      <c r="X476" s="11">
        <f t="array" ref="X476">XLOOKUP(A:A,'Raw Revenue'!E:E,'Raw Revenue'!F:F,0)</f>
        <v>0</v>
      </c>
      <c r="Y476" s="11">
        <f t="array" ref="Y476">XLOOKUP(A:A,'Raw Revenue'!G:G,'Raw Revenue'!H:H,0)</f>
        <v>0</v>
      </c>
      <c r="Z476" s="11">
        <f t="array" ref="Z476">XLOOKUP(A:A,'Raw Revenue'!I:I,'Raw Revenue'!J:J,0)</f>
        <v>0</v>
      </c>
      <c r="AA476" s="11">
        <f t="array" ref="AA476">XLOOKUP(A:A,'Raw Revenue'!K:K,'Raw Revenue'!L:L,0)</f>
        <v>0</v>
      </c>
      <c r="AB476" s="11">
        <f t="array" ref="AB476">XLOOKUP(A:A,'Raw Revenue'!M:M,'Raw Revenue'!N:N,0)</f>
        <v>0</v>
      </c>
      <c r="AC476" s="3">
        <v>0.0</v>
      </c>
      <c r="AD476" s="3">
        <v>0.0</v>
      </c>
      <c r="AE476" s="3">
        <v>0.0</v>
      </c>
      <c r="AF476" s="3">
        <v>0.0</v>
      </c>
      <c r="AG476" s="3">
        <v>0.0</v>
      </c>
    </row>
    <row r="477">
      <c r="A477" s="3" t="s">
        <v>1221</v>
      </c>
      <c r="B477" s="3" t="s">
        <v>1222</v>
      </c>
      <c r="C477" s="3" t="str">
        <f t="shared" si="1"/>
        <v>PT. Indah Kargo Logistik</v>
      </c>
      <c r="D477" s="3" t="s">
        <v>186</v>
      </c>
      <c r="E477" s="3" t="s">
        <v>104</v>
      </c>
      <c r="F477" s="3" t="s">
        <v>105</v>
      </c>
      <c r="G477" s="3" t="s">
        <v>63</v>
      </c>
      <c r="H477" s="3" t="str">
        <f t="array" ref="H477">XLOOKUP(G:G,'Account Manager Data'!A:A,'Account Manager Data'!B:B,0)</f>
        <v>Hendra Gunawan</v>
      </c>
      <c r="I477" s="11" t="str">
        <f t="array" ref="I477">XLOOKUP($G:$G,'Account Manager Data'!$A:$A,'Account Manager Data'!C:C)</f>
        <v>Kalimantan</v>
      </c>
      <c r="J477" s="17">
        <v>2893333.0</v>
      </c>
      <c r="K477" s="17">
        <v>6235920.0</v>
      </c>
      <c r="L477" s="17">
        <v>5293805.0</v>
      </c>
      <c r="M477" s="17">
        <v>2716205.0</v>
      </c>
      <c r="N477" s="17">
        <v>1.0649377E7</v>
      </c>
      <c r="O477" s="17">
        <v>0.0</v>
      </c>
      <c r="P477" s="17">
        <v>1.1505785E7</v>
      </c>
      <c r="Q477" s="17">
        <v>0.0</v>
      </c>
      <c r="R477" s="17">
        <v>173235.0</v>
      </c>
      <c r="S477" s="17">
        <v>1.2934184E7</v>
      </c>
      <c r="T477" s="17">
        <v>7121371.0</v>
      </c>
      <c r="U477" s="17">
        <v>5876950.0</v>
      </c>
      <c r="V477" s="11">
        <f t="array" ref="V477">XLOOKUP(A:A,'Raw Revenue'!A:A,'Raw Revenue'!B:B,0)
</f>
        <v>0</v>
      </c>
      <c r="W477" s="11">
        <f t="array" ref="W477">XLOOKUP(A:A,'Raw Revenue'!C:C,'Raw Revenue'!D:D,0)</f>
        <v>0</v>
      </c>
      <c r="X477" s="11">
        <f t="array" ref="X477">XLOOKUP(A:A,'Raw Revenue'!E:E,'Raw Revenue'!F:F,0)</f>
        <v>0</v>
      </c>
      <c r="Y477" s="11">
        <f t="array" ref="Y477">XLOOKUP(A:A,'Raw Revenue'!G:G,'Raw Revenue'!H:H,0)</f>
        <v>0</v>
      </c>
      <c r="Z477" s="11">
        <f t="array" ref="Z477">XLOOKUP(A:A,'Raw Revenue'!I:I,'Raw Revenue'!J:J,0)</f>
        <v>0</v>
      </c>
      <c r="AA477" s="11">
        <f t="array" ref="AA477">XLOOKUP(A:A,'Raw Revenue'!K:K,'Raw Revenue'!L:L,0)</f>
        <v>0</v>
      </c>
      <c r="AB477" s="11">
        <f t="array" ref="AB477">XLOOKUP(A:A,'Raw Revenue'!M:M,'Raw Revenue'!N:N,0)</f>
        <v>0</v>
      </c>
      <c r="AC477" s="3">
        <v>0.0</v>
      </c>
      <c r="AD477" s="3">
        <v>0.0</v>
      </c>
      <c r="AE477" s="3">
        <v>0.0</v>
      </c>
      <c r="AF477" s="3">
        <v>0.0</v>
      </c>
      <c r="AG477" s="3">
        <v>0.0</v>
      </c>
    </row>
    <row r="478">
      <c r="A478" s="3" t="s">
        <v>1223</v>
      </c>
      <c r="B478" s="3" t="s">
        <v>1224</v>
      </c>
      <c r="C478" s="3" t="str">
        <f t="shared" si="1"/>
        <v>PT. Berkah Alam Semesta</v>
      </c>
      <c r="D478" s="3" t="s">
        <v>214</v>
      </c>
      <c r="E478" s="3" t="s">
        <v>85</v>
      </c>
      <c r="F478" s="3" t="s">
        <v>248</v>
      </c>
      <c r="G478" s="3" t="s">
        <v>35</v>
      </c>
      <c r="H478" s="3" t="str">
        <f t="array" ref="H478">XLOOKUP(G:G,'Account Manager Data'!A:A,'Account Manager Data'!B:B,0)</f>
        <v>Ahmad Fauzi</v>
      </c>
      <c r="I478" s="11" t="str">
        <f t="array" ref="I478">XLOOKUP($G:$G,'Account Manager Data'!$A:$A,'Account Manager Data'!C:C)</f>
        <v>Sumatera</v>
      </c>
      <c r="J478" s="17">
        <v>7975463.0</v>
      </c>
      <c r="K478" s="17">
        <v>4177034.0</v>
      </c>
      <c r="L478" s="17">
        <v>7555569.0</v>
      </c>
      <c r="M478" s="17">
        <v>4912872.0</v>
      </c>
      <c r="N478" s="17">
        <v>1.145645E7</v>
      </c>
      <c r="O478" s="17">
        <v>1.3231257E7</v>
      </c>
      <c r="P478" s="17">
        <v>1.0457507E7</v>
      </c>
      <c r="Q478" s="17">
        <v>1.5915014E7</v>
      </c>
      <c r="R478" s="17">
        <v>2468762.0</v>
      </c>
      <c r="S478" s="17">
        <v>770258.0</v>
      </c>
      <c r="T478" s="17">
        <v>1.9365611E7</v>
      </c>
      <c r="U478" s="17">
        <v>1.7280065E7</v>
      </c>
      <c r="V478" s="11">
        <f t="array" ref="V478">XLOOKUP(A:A,'Raw Revenue'!A:A,'Raw Revenue'!B:B,0)
</f>
        <v>0</v>
      </c>
      <c r="W478" s="11">
        <f t="array" ref="W478">XLOOKUP(A:A,'Raw Revenue'!C:C,'Raw Revenue'!D:D,0)</f>
        <v>0</v>
      </c>
      <c r="X478" s="11">
        <f t="array" ref="X478">XLOOKUP(A:A,'Raw Revenue'!E:E,'Raw Revenue'!F:F,0)</f>
        <v>0</v>
      </c>
      <c r="Y478" s="11">
        <f t="array" ref="Y478">XLOOKUP(A:A,'Raw Revenue'!G:G,'Raw Revenue'!H:H,0)</f>
        <v>0</v>
      </c>
      <c r="Z478" s="11">
        <f t="array" ref="Z478">XLOOKUP(A:A,'Raw Revenue'!I:I,'Raw Revenue'!J:J,0)</f>
        <v>0</v>
      </c>
      <c r="AA478" s="11">
        <f t="array" ref="AA478">XLOOKUP(A:A,'Raw Revenue'!K:K,'Raw Revenue'!L:L,0)</f>
        <v>0</v>
      </c>
      <c r="AB478" s="11">
        <f t="array" ref="AB478">XLOOKUP(A:A,'Raw Revenue'!M:M,'Raw Revenue'!N:N,0)</f>
        <v>0</v>
      </c>
      <c r="AC478" s="3">
        <v>0.0</v>
      </c>
      <c r="AD478" s="3">
        <v>0.0</v>
      </c>
      <c r="AE478" s="3">
        <v>0.0</v>
      </c>
      <c r="AF478" s="3">
        <v>0.0</v>
      </c>
      <c r="AG478" s="3">
        <v>0.0</v>
      </c>
    </row>
    <row r="479">
      <c r="A479" s="3" t="s">
        <v>1225</v>
      </c>
      <c r="B479" s="3" t="s">
        <v>1226</v>
      </c>
      <c r="C479" s="3" t="str">
        <f t="shared" si="1"/>
        <v>PT. Cahaya Baru Indonesia</v>
      </c>
      <c r="D479" s="3" t="s">
        <v>84</v>
      </c>
      <c r="E479" s="3" t="s">
        <v>187</v>
      </c>
      <c r="F479" s="3" t="s">
        <v>295</v>
      </c>
      <c r="G479" s="3" t="s">
        <v>43</v>
      </c>
      <c r="H479" s="3" t="str">
        <f t="array" ref="H479">XLOOKUP(G:G,'Account Manager Data'!A:A,'Account Manager Data'!B:B,0)</f>
        <v>Eko Prasetyo</v>
      </c>
      <c r="I479" s="11" t="str">
        <f t="array" ref="I479">XLOOKUP($G:$G,'Account Manager Data'!$A:$A,'Account Manager Data'!C:C)</f>
        <v>Papua</v>
      </c>
      <c r="J479" s="17">
        <v>7739714.0</v>
      </c>
      <c r="K479" s="17">
        <v>2207132.0</v>
      </c>
      <c r="L479" s="17">
        <v>1131359.0</v>
      </c>
      <c r="M479" s="17">
        <v>8969546.0</v>
      </c>
      <c r="N479" s="17">
        <v>1.1428855E7</v>
      </c>
      <c r="O479" s="17">
        <v>4715177.0</v>
      </c>
      <c r="P479" s="17">
        <v>5377515.0</v>
      </c>
      <c r="Q479" s="17">
        <v>3406685.0</v>
      </c>
      <c r="R479" s="17">
        <v>1.4610402E7</v>
      </c>
      <c r="S479" s="17">
        <v>3540453.0</v>
      </c>
      <c r="T479" s="17">
        <v>1.8691724E7</v>
      </c>
      <c r="U479" s="17">
        <v>1.1628028E7</v>
      </c>
      <c r="V479" s="11">
        <f t="array" ref="V479">XLOOKUP(A:A,'Raw Revenue'!A:A,'Raw Revenue'!B:B,0)
</f>
        <v>0</v>
      </c>
      <c r="W479" s="11">
        <f t="array" ref="W479">XLOOKUP(A:A,'Raw Revenue'!C:C,'Raw Revenue'!D:D,0)</f>
        <v>0</v>
      </c>
      <c r="X479" s="11">
        <f t="array" ref="X479">XLOOKUP(A:A,'Raw Revenue'!E:E,'Raw Revenue'!F:F,0)</f>
        <v>0</v>
      </c>
      <c r="Y479" s="11">
        <f t="array" ref="Y479">XLOOKUP(A:A,'Raw Revenue'!G:G,'Raw Revenue'!H:H,0)</f>
        <v>0</v>
      </c>
      <c r="Z479" s="11">
        <f t="array" ref="Z479">XLOOKUP(A:A,'Raw Revenue'!I:I,'Raw Revenue'!J:J,0)</f>
        <v>0</v>
      </c>
      <c r="AA479" s="11">
        <f t="array" ref="AA479">XLOOKUP(A:A,'Raw Revenue'!K:K,'Raw Revenue'!L:L,0)</f>
        <v>0</v>
      </c>
      <c r="AB479" s="11">
        <f t="array" ref="AB479">XLOOKUP(A:A,'Raw Revenue'!M:M,'Raw Revenue'!N:N,0)</f>
        <v>0</v>
      </c>
      <c r="AC479" s="3">
        <v>0.0</v>
      </c>
      <c r="AD479" s="3">
        <v>0.0</v>
      </c>
      <c r="AE479" s="3">
        <v>0.0</v>
      </c>
      <c r="AF479" s="3">
        <v>0.0</v>
      </c>
      <c r="AG479" s="3">
        <v>0.0</v>
      </c>
    </row>
    <row r="480">
      <c r="A480" s="3" t="s">
        <v>385</v>
      </c>
      <c r="B480" s="3" t="s">
        <v>1227</v>
      </c>
      <c r="C480" s="3" t="str">
        <f t="shared" si="1"/>
        <v>PT. Mentari Pagi Sejahtera</v>
      </c>
      <c r="D480" s="3" t="s">
        <v>103</v>
      </c>
      <c r="E480" s="3" t="s">
        <v>187</v>
      </c>
      <c r="F480" s="3" t="s">
        <v>188</v>
      </c>
      <c r="G480" s="3" t="s">
        <v>74</v>
      </c>
      <c r="H480" s="3" t="str">
        <f t="array" ref="H480">XLOOKUP(G:G,'Account Manager Data'!A:A,'Account Manager Data'!B:B,0)</f>
        <v>Budi Santoso</v>
      </c>
      <c r="I480" s="11" t="str">
        <f t="array" ref="I480">XLOOKUP($G:$G,'Account Manager Data'!$A:$A,'Account Manager Data'!C:C)</f>
        <v>Papua</v>
      </c>
      <c r="J480" s="17">
        <v>4086021.0</v>
      </c>
      <c r="K480" s="17">
        <v>5014320.0</v>
      </c>
      <c r="L480" s="17">
        <v>7252043.0</v>
      </c>
      <c r="M480" s="17">
        <v>6702889.0</v>
      </c>
      <c r="N480" s="17">
        <v>1.2075336E7</v>
      </c>
      <c r="O480" s="17">
        <v>6830672.0</v>
      </c>
      <c r="P480" s="17">
        <v>1445011.0</v>
      </c>
      <c r="Q480" s="17">
        <v>8848192.0</v>
      </c>
      <c r="R480" s="17">
        <v>1.7031598E7</v>
      </c>
      <c r="S480" s="17">
        <v>5145853.0</v>
      </c>
      <c r="T480" s="17">
        <v>1470598.0</v>
      </c>
      <c r="U480" s="17">
        <v>405077.0</v>
      </c>
      <c r="V480" s="11">
        <f t="array" ref="V480">XLOOKUP(A:A,'Raw Revenue'!A:A,'Raw Revenue'!B:B,0)
</f>
        <v>293137.2328</v>
      </c>
      <c r="W480" s="11">
        <f t="array" ref="W480">XLOOKUP(A:A,'Raw Revenue'!C:C,'Raw Revenue'!D:D,0)</f>
        <v>146568.6164</v>
      </c>
      <c r="X480" s="11">
        <f t="array" ref="X480">XLOOKUP(A:A,'Raw Revenue'!E:E,'Raw Revenue'!F:F,0)</f>
        <v>87941.16985</v>
      </c>
      <c r="Y480" s="11">
        <f t="array" ref="Y480">XLOOKUP(A:A,'Raw Revenue'!G:G,'Raw Revenue'!H:H,0)</f>
        <v>1025980.315</v>
      </c>
      <c r="Z480" s="11">
        <f t="array" ref="Z480">XLOOKUP(A:A,'Raw Revenue'!I:I,'Raw Revenue'!J:J,0)</f>
        <v>234509.7863</v>
      </c>
      <c r="AA480" s="11">
        <f t="array" ref="AA480">XLOOKUP(A:A,'Raw Revenue'!K:K,'Raw Revenue'!L:L,0)</f>
        <v>6595.587738</v>
      </c>
      <c r="AB480" s="11">
        <f t="array" ref="AB480">XLOOKUP(A:A,'Raw Revenue'!M:M,'Raw Revenue'!N:N,0)</f>
        <v>883808.7569</v>
      </c>
      <c r="AC480" s="3">
        <v>0.0</v>
      </c>
      <c r="AD480" s="3">
        <v>0.0</v>
      </c>
      <c r="AE480" s="3">
        <v>0.0</v>
      </c>
      <c r="AF480" s="3">
        <v>0.0</v>
      </c>
      <c r="AG480" s="3">
        <v>0.0</v>
      </c>
    </row>
    <row r="481">
      <c r="A481" s="3" t="s">
        <v>1228</v>
      </c>
      <c r="B481" s="3" t="s">
        <v>1229</v>
      </c>
      <c r="C481" s="3" t="str">
        <f t="shared" si="1"/>
        <v>PT. Bintang Kejora Nusantara</v>
      </c>
      <c r="D481" s="3" t="s">
        <v>130</v>
      </c>
      <c r="E481" s="3" t="s">
        <v>187</v>
      </c>
      <c r="F481" s="3" t="s">
        <v>188</v>
      </c>
      <c r="G481" s="3" t="s">
        <v>76</v>
      </c>
      <c r="H481" s="3" t="str">
        <f t="array" ref="H481">XLOOKUP(G:G,'Account Manager Data'!A:A,'Account Manager Data'!B:B,0)</f>
        <v>Teguh Wijaya</v>
      </c>
      <c r="I481" s="11" t="str">
        <f t="array" ref="I481">XLOOKUP($G:$G,'Account Manager Data'!$A:$A,'Account Manager Data'!C:C)</f>
        <v>Sulawesi</v>
      </c>
      <c r="J481" s="17">
        <v>4343537.0</v>
      </c>
      <c r="K481" s="17">
        <v>4330028.0</v>
      </c>
      <c r="L481" s="17">
        <v>5053629.0</v>
      </c>
      <c r="M481" s="17">
        <v>6605226.0</v>
      </c>
      <c r="N481" s="17">
        <v>9341487.0</v>
      </c>
      <c r="O481" s="17">
        <v>4227842.0</v>
      </c>
      <c r="P481" s="17">
        <v>5887100.0</v>
      </c>
      <c r="Q481" s="17">
        <v>1.3464964E7</v>
      </c>
      <c r="R481" s="17">
        <v>1.2162968E7</v>
      </c>
      <c r="S481" s="17">
        <v>8469301.0</v>
      </c>
      <c r="T481" s="17">
        <v>1.4192462E7</v>
      </c>
      <c r="U481" s="17">
        <v>5714718.0</v>
      </c>
      <c r="V481" s="11">
        <f t="array" ref="V481">XLOOKUP(A:A,'Raw Revenue'!A:A,'Raw Revenue'!B:B,0)
</f>
        <v>0</v>
      </c>
      <c r="W481" s="11">
        <f t="array" ref="W481">XLOOKUP(A:A,'Raw Revenue'!C:C,'Raw Revenue'!D:D,0)</f>
        <v>0</v>
      </c>
      <c r="X481" s="11">
        <f t="array" ref="X481">XLOOKUP(A:A,'Raw Revenue'!E:E,'Raw Revenue'!F:F,0)</f>
        <v>0</v>
      </c>
      <c r="Y481" s="11">
        <f t="array" ref="Y481">XLOOKUP(A:A,'Raw Revenue'!G:G,'Raw Revenue'!H:H,0)</f>
        <v>0</v>
      </c>
      <c r="Z481" s="11">
        <f t="array" ref="Z481">XLOOKUP(A:A,'Raw Revenue'!I:I,'Raw Revenue'!J:J,0)</f>
        <v>0</v>
      </c>
      <c r="AA481" s="11">
        <f t="array" ref="AA481">XLOOKUP(A:A,'Raw Revenue'!K:K,'Raw Revenue'!L:L,0)</f>
        <v>0</v>
      </c>
      <c r="AB481" s="11">
        <f t="array" ref="AB481">XLOOKUP(A:A,'Raw Revenue'!M:M,'Raw Revenue'!N:N,0)</f>
        <v>0</v>
      </c>
      <c r="AC481" s="3">
        <v>0.0</v>
      </c>
      <c r="AD481" s="3">
        <v>0.0</v>
      </c>
      <c r="AE481" s="3">
        <v>0.0</v>
      </c>
      <c r="AF481" s="3">
        <v>0.0</v>
      </c>
      <c r="AG481" s="3">
        <v>0.0</v>
      </c>
    </row>
    <row r="482">
      <c r="A482" s="3" t="s">
        <v>462</v>
      </c>
      <c r="B482" s="3" t="s">
        <v>1230</v>
      </c>
      <c r="C482" s="3" t="str">
        <f t="shared" si="1"/>
        <v>PT. Maju Jaya</v>
      </c>
      <c r="D482" s="3" t="s">
        <v>103</v>
      </c>
      <c r="E482" s="3" t="s">
        <v>187</v>
      </c>
      <c r="F482" s="3" t="s">
        <v>269</v>
      </c>
      <c r="G482" s="3" t="s">
        <v>70</v>
      </c>
      <c r="H482" s="3" t="str">
        <f t="array" ref="H482">XLOOKUP(G:G,'Account Manager Data'!A:A,'Account Manager Data'!B:B,0)</f>
        <v>Yusuf Hidayat</v>
      </c>
      <c r="I482" s="11" t="str">
        <f t="array" ref="I482">XLOOKUP($G:$G,'Account Manager Data'!$A:$A,'Account Manager Data'!C:C)</f>
        <v>Sumatera</v>
      </c>
      <c r="J482" s="17">
        <v>915242.0</v>
      </c>
      <c r="K482" s="17">
        <v>1366101.0</v>
      </c>
      <c r="L482" s="17">
        <v>0.0</v>
      </c>
      <c r="M482" s="17">
        <v>7774665.0</v>
      </c>
      <c r="N482" s="17">
        <v>5336529.0</v>
      </c>
      <c r="O482" s="17">
        <v>1.2453999E7</v>
      </c>
      <c r="P482" s="17">
        <v>0.0</v>
      </c>
      <c r="Q482" s="17">
        <v>261461.0</v>
      </c>
      <c r="R482" s="17">
        <v>1.600535E7</v>
      </c>
      <c r="S482" s="17">
        <v>6577757.0</v>
      </c>
      <c r="T482" s="17">
        <v>8998102.0</v>
      </c>
      <c r="U482" s="17">
        <v>1.9138547E7</v>
      </c>
      <c r="V482" s="11">
        <f t="array" ref="V482">XLOOKUP(A:A,'Raw Revenue'!A:A,'Raw Revenue'!B:B,0)
</f>
        <v>386778.2933</v>
      </c>
      <c r="W482" s="11">
        <f t="array" ref="W482">XLOOKUP(A:A,'Raw Revenue'!C:C,'Raw Revenue'!D:D,0)</f>
        <v>193389.1466</v>
      </c>
      <c r="X482" s="11">
        <f t="array" ref="X482">XLOOKUP(A:A,'Raw Revenue'!E:E,'Raw Revenue'!F:F,0)</f>
        <v>116033.488</v>
      </c>
      <c r="Y482" s="11">
        <f t="array" ref="Y482">XLOOKUP(A:A,'Raw Revenue'!G:G,'Raw Revenue'!H:H,0)</f>
        <v>1353724.027</v>
      </c>
      <c r="Z482" s="11">
        <f t="array" ref="Z482">XLOOKUP(A:A,'Raw Revenue'!I:I,'Raw Revenue'!J:J,0)</f>
        <v>309422.6346</v>
      </c>
      <c r="AA482" s="11">
        <f t="array" ref="AA482">XLOOKUP(A:A,'Raw Revenue'!K:K,'Raw Revenue'!L:L,0)</f>
        <v>8702.511599</v>
      </c>
      <c r="AB482" s="11">
        <f t="array" ref="AB482">XLOOKUP(A:A,'Raw Revenue'!M:M,'Raw Revenue'!N:N,0)</f>
        <v>1166136.554</v>
      </c>
      <c r="AC482" s="3">
        <v>0.0</v>
      </c>
      <c r="AD482" s="3">
        <v>0.0</v>
      </c>
      <c r="AE482" s="3">
        <v>0.0</v>
      </c>
      <c r="AF482" s="3">
        <v>0.0</v>
      </c>
      <c r="AG482" s="3">
        <v>0.0</v>
      </c>
    </row>
    <row r="483">
      <c r="A483" s="3" t="s">
        <v>1231</v>
      </c>
      <c r="B483" s="3" t="s">
        <v>1232</v>
      </c>
      <c r="C483" s="3" t="str">
        <f t="shared" si="1"/>
        <v>CV. Sumber Makmur</v>
      </c>
      <c r="D483" s="3" t="s">
        <v>186</v>
      </c>
      <c r="E483" s="3" t="s">
        <v>104</v>
      </c>
      <c r="F483" s="3" t="s">
        <v>105</v>
      </c>
      <c r="G483" s="3" t="s">
        <v>15</v>
      </c>
      <c r="H483" s="3" t="str">
        <f t="array" ref="H483">XLOOKUP(G:G,'Account Manager Data'!A:A,'Account Manager Data'!B:B,0)</f>
        <v>Rizky Maulana</v>
      </c>
      <c r="I483" s="11" t="str">
        <f t="array" ref="I483">XLOOKUP($G:$G,'Account Manager Data'!$A:$A,'Account Manager Data'!C:C)</f>
        <v>Jawa</v>
      </c>
      <c r="J483" s="17">
        <v>5167583.0</v>
      </c>
      <c r="K483" s="17">
        <v>5602885.0</v>
      </c>
      <c r="L483" s="17">
        <v>9092986.0</v>
      </c>
      <c r="M483" s="17">
        <v>4292119.0</v>
      </c>
      <c r="N483" s="17">
        <v>1.4101515E7</v>
      </c>
      <c r="O483" s="17">
        <v>1.4668587E7</v>
      </c>
      <c r="P483" s="17">
        <v>0.0</v>
      </c>
      <c r="Q483" s="17">
        <v>1.5875138E7</v>
      </c>
      <c r="R483" s="17">
        <v>1.241566E7</v>
      </c>
      <c r="S483" s="17">
        <v>6684774.0</v>
      </c>
      <c r="T483" s="17">
        <v>0.0</v>
      </c>
      <c r="U483" s="17">
        <v>1615431.0</v>
      </c>
      <c r="V483" s="11">
        <f t="array" ref="V483">XLOOKUP(A:A,'Raw Revenue'!A:A,'Raw Revenue'!B:B,0)
</f>
        <v>0</v>
      </c>
      <c r="W483" s="11">
        <f t="array" ref="W483">XLOOKUP(A:A,'Raw Revenue'!C:C,'Raw Revenue'!D:D,0)</f>
        <v>0</v>
      </c>
      <c r="X483" s="11">
        <f t="array" ref="X483">XLOOKUP(A:A,'Raw Revenue'!E:E,'Raw Revenue'!F:F,0)</f>
        <v>0</v>
      </c>
      <c r="Y483" s="11">
        <f t="array" ref="Y483">XLOOKUP(A:A,'Raw Revenue'!G:G,'Raw Revenue'!H:H,0)</f>
        <v>0</v>
      </c>
      <c r="Z483" s="11">
        <f t="array" ref="Z483">XLOOKUP(A:A,'Raw Revenue'!I:I,'Raw Revenue'!J:J,0)</f>
        <v>0</v>
      </c>
      <c r="AA483" s="11">
        <f t="array" ref="AA483">XLOOKUP(A:A,'Raw Revenue'!K:K,'Raw Revenue'!L:L,0)</f>
        <v>0</v>
      </c>
      <c r="AB483" s="11">
        <f t="array" ref="AB483">XLOOKUP(A:A,'Raw Revenue'!M:M,'Raw Revenue'!N:N,0)</f>
        <v>0</v>
      </c>
      <c r="AC483" s="3">
        <v>0.0</v>
      </c>
      <c r="AD483" s="3">
        <v>0.0</v>
      </c>
      <c r="AE483" s="3">
        <v>0.0</v>
      </c>
      <c r="AF483" s="3">
        <v>0.0</v>
      </c>
      <c r="AG483" s="3">
        <v>0.0</v>
      </c>
    </row>
    <row r="484">
      <c r="A484" s="3" t="s">
        <v>1233</v>
      </c>
      <c r="B484" s="3" t="s">
        <v>1234</v>
      </c>
      <c r="C484" s="3" t="str">
        <f t="shared" si="1"/>
        <v>PT. Teknologi Nusantara</v>
      </c>
      <c r="D484" s="3" t="s">
        <v>186</v>
      </c>
      <c r="E484" s="3" t="s">
        <v>187</v>
      </c>
      <c r="F484" s="3" t="s">
        <v>295</v>
      </c>
      <c r="G484" s="3" t="s">
        <v>27</v>
      </c>
      <c r="H484" s="3" t="str">
        <f t="array" ref="H484">XLOOKUP(G:G,'Account Manager Data'!A:A,'Account Manager Data'!B:B,0)</f>
        <v>Dedi Kurniawan</v>
      </c>
      <c r="I484" s="11" t="str">
        <f t="array" ref="I484">XLOOKUP($G:$G,'Account Manager Data'!$A:$A,'Account Manager Data'!C:C)</f>
        <v>Kalimantan</v>
      </c>
      <c r="J484" s="17">
        <v>3665920.0</v>
      </c>
      <c r="K484" s="17">
        <v>4689633.0</v>
      </c>
      <c r="L484" s="17">
        <v>2834494.0</v>
      </c>
      <c r="M484" s="17">
        <v>1018166.0</v>
      </c>
      <c r="N484" s="17">
        <v>7352839.0</v>
      </c>
      <c r="O484" s="17">
        <v>9312626.0</v>
      </c>
      <c r="P484" s="17">
        <v>1879978.0</v>
      </c>
      <c r="Q484" s="17">
        <v>1.0344713E7</v>
      </c>
      <c r="R484" s="17">
        <v>4854829.0</v>
      </c>
      <c r="S484" s="17">
        <v>827729.0</v>
      </c>
      <c r="T484" s="17">
        <v>2144331.0</v>
      </c>
      <c r="U484" s="17">
        <v>9269794.0</v>
      </c>
      <c r="V484" s="11">
        <f t="array" ref="V484">XLOOKUP(A:A,'Raw Revenue'!A:A,'Raw Revenue'!B:B,0)
</f>
        <v>0</v>
      </c>
      <c r="W484" s="11">
        <f t="array" ref="W484">XLOOKUP(A:A,'Raw Revenue'!C:C,'Raw Revenue'!D:D,0)</f>
        <v>0</v>
      </c>
      <c r="X484" s="11">
        <f t="array" ref="X484">XLOOKUP(A:A,'Raw Revenue'!E:E,'Raw Revenue'!F:F,0)</f>
        <v>0</v>
      </c>
      <c r="Y484" s="11">
        <f t="array" ref="Y484">XLOOKUP(A:A,'Raw Revenue'!G:G,'Raw Revenue'!H:H,0)</f>
        <v>0</v>
      </c>
      <c r="Z484" s="11">
        <f t="array" ref="Z484">XLOOKUP(A:A,'Raw Revenue'!I:I,'Raw Revenue'!J:J,0)</f>
        <v>0</v>
      </c>
      <c r="AA484" s="11">
        <f t="array" ref="AA484">XLOOKUP(A:A,'Raw Revenue'!K:K,'Raw Revenue'!L:L,0)</f>
        <v>0</v>
      </c>
      <c r="AB484" s="11">
        <f t="array" ref="AB484">XLOOKUP(A:A,'Raw Revenue'!M:M,'Raw Revenue'!N:N,0)</f>
        <v>0</v>
      </c>
      <c r="AC484" s="3">
        <v>0.0</v>
      </c>
      <c r="AD484" s="3">
        <v>0.0</v>
      </c>
      <c r="AE484" s="3">
        <v>0.0</v>
      </c>
      <c r="AF484" s="3">
        <v>0.0</v>
      </c>
      <c r="AG484" s="3">
        <v>0.0</v>
      </c>
    </row>
    <row r="485">
      <c r="A485" s="3" t="s">
        <v>419</v>
      </c>
      <c r="B485" s="3" t="s">
        <v>1235</v>
      </c>
      <c r="C485" s="3" t="str">
        <f t="shared" si="1"/>
        <v>PT. Bakti Indonesia</v>
      </c>
      <c r="D485" s="3" t="s">
        <v>103</v>
      </c>
      <c r="E485" s="3" t="s">
        <v>85</v>
      </c>
      <c r="F485" s="3" t="s">
        <v>407</v>
      </c>
      <c r="G485" s="3" t="s">
        <v>78</v>
      </c>
      <c r="H485" s="3" t="str">
        <f t="array" ref="H485">XLOOKUP(G:G,'Account Manager Data'!A:A,'Account Manager Data'!B:B,0)</f>
        <v>Ilham Saputra</v>
      </c>
      <c r="I485" s="11" t="str">
        <f t="array" ref="I485">XLOOKUP($G:$G,'Account Manager Data'!$A:$A,'Account Manager Data'!C:C)</f>
        <v>Jawa</v>
      </c>
      <c r="J485" s="17">
        <v>4534820.0</v>
      </c>
      <c r="K485" s="17">
        <v>4644346.0</v>
      </c>
      <c r="L485" s="17">
        <v>9269554.0</v>
      </c>
      <c r="M485" s="17">
        <v>0.0</v>
      </c>
      <c r="N485" s="17">
        <v>1.0953525E7</v>
      </c>
      <c r="O485" s="17">
        <v>591158.0</v>
      </c>
      <c r="P485" s="17">
        <v>7124143.0</v>
      </c>
      <c r="Q485" s="17">
        <v>1.043663E7</v>
      </c>
      <c r="R485" s="17">
        <v>6709814.0</v>
      </c>
      <c r="S485" s="17">
        <v>1.18516E7</v>
      </c>
      <c r="T485" s="17">
        <v>0.0</v>
      </c>
      <c r="U485" s="17">
        <v>1603904.0</v>
      </c>
      <c r="V485" s="11">
        <f t="array" ref="V485">XLOOKUP(A:A,'Raw Revenue'!A:A,'Raw Revenue'!B:B,0)
</f>
        <v>357026.1169</v>
      </c>
      <c r="W485" s="11">
        <f t="array" ref="W485">XLOOKUP(A:A,'Raw Revenue'!C:C,'Raw Revenue'!D:D,0)</f>
        <v>178513.0584</v>
      </c>
      <c r="X485" s="11">
        <f t="array" ref="X485">XLOOKUP(A:A,'Raw Revenue'!E:E,'Raw Revenue'!F:F,0)</f>
        <v>107107.8351</v>
      </c>
      <c r="Y485" s="11">
        <f t="array" ref="Y485">XLOOKUP(A:A,'Raw Revenue'!G:G,'Raw Revenue'!H:H,0)</f>
        <v>1249591.409</v>
      </c>
      <c r="Z485" s="11">
        <f t="array" ref="Z485">XLOOKUP(A:A,'Raw Revenue'!I:I,'Raw Revenue'!J:J,0)</f>
        <v>285620.8935</v>
      </c>
      <c r="AA485" s="11">
        <f t="array" ref="AA485">XLOOKUP(A:A,'Raw Revenue'!K:K,'Raw Revenue'!L:L,0)</f>
        <v>8033.08763</v>
      </c>
      <c r="AB485" s="11">
        <f t="array" ref="AB485">XLOOKUP(A:A,'Raw Revenue'!M:M,'Raw Revenue'!N:N,0)</f>
        <v>1076433.742</v>
      </c>
      <c r="AC485" s="3">
        <v>0.0</v>
      </c>
      <c r="AD485" s="3">
        <v>0.0</v>
      </c>
      <c r="AE485" s="3">
        <v>0.0</v>
      </c>
      <c r="AF485" s="3">
        <v>0.0</v>
      </c>
      <c r="AG485" s="3">
        <v>0.0</v>
      </c>
    </row>
    <row r="486">
      <c r="A486" s="3" t="s">
        <v>1236</v>
      </c>
      <c r="B486" s="3" t="s">
        <v>1237</v>
      </c>
      <c r="C486" s="3" t="str">
        <f t="shared" si="1"/>
        <v>CV. Amanah Sejahtera</v>
      </c>
      <c r="D486" s="3" t="s">
        <v>84</v>
      </c>
      <c r="E486" s="3" t="s">
        <v>104</v>
      </c>
      <c r="F486" s="3" t="s">
        <v>105</v>
      </c>
      <c r="G486" s="3" t="s">
        <v>53</v>
      </c>
      <c r="H486" s="3" t="str">
        <f t="array" ref="H486">XLOOKUP(G:G,'Account Manager Data'!A:A,'Account Manager Data'!B:B,0)</f>
        <v>Fajar Ramadhan</v>
      </c>
      <c r="I486" s="11" t="str">
        <f t="array" ref="I486">XLOOKUP($G:$G,'Account Manager Data'!$A:$A,'Account Manager Data'!C:C)</f>
        <v>Sulawesi</v>
      </c>
      <c r="J486" s="17">
        <v>4070439.0</v>
      </c>
      <c r="K486" s="17">
        <v>3939635.0</v>
      </c>
      <c r="L486" s="17">
        <v>1090363.0</v>
      </c>
      <c r="M486" s="17">
        <v>2352991.0</v>
      </c>
      <c r="N486" s="17">
        <v>0.0</v>
      </c>
      <c r="O486" s="17">
        <v>9929045.0</v>
      </c>
      <c r="P486" s="17">
        <v>1665365.0</v>
      </c>
      <c r="Q486" s="17">
        <v>3958521.0</v>
      </c>
      <c r="R486" s="17">
        <v>9519410.0</v>
      </c>
      <c r="S486" s="17">
        <v>5011214.0</v>
      </c>
      <c r="T486" s="17">
        <v>1.2219672E7</v>
      </c>
      <c r="U486" s="17">
        <v>5378137.0</v>
      </c>
      <c r="V486" s="11">
        <f t="array" ref="V486">XLOOKUP(A:A,'Raw Revenue'!A:A,'Raw Revenue'!B:B,0)
</f>
        <v>0</v>
      </c>
      <c r="W486" s="11">
        <f t="array" ref="W486">XLOOKUP(A:A,'Raw Revenue'!C:C,'Raw Revenue'!D:D,0)</f>
        <v>0</v>
      </c>
      <c r="X486" s="11">
        <f t="array" ref="X486">XLOOKUP(A:A,'Raw Revenue'!E:E,'Raw Revenue'!F:F,0)</f>
        <v>0</v>
      </c>
      <c r="Y486" s="11">
        <f t="array" ref="Y486">XLOOKUP(A:A,'Raw Revenue'!G:G,'Raw Revenue'!H:H,0)</f>
        <v>0</v>
      </c>
      <c r="Z486" s="11">
        <f t="array" ref="Z486">XLOOKUP(A:A,'Raw Revenue'!I:I,'Raw Revenue'!J:J,0)</f>
        <v>0</v>
      </c>
      <c r="AA486" s="11">
        <f t="array" ref="AA486">XLOOKUP(A:A,'Raw Revenue'!K:K,'Raw Revenue'!L:L,0)</f>
        <v>0</v>
      </c>
      <c r="AB486" s="11">
        <f t="array" ref="AB486">XLOOKUP(A:A,'Raw Revenue'!M:M,'Raw Revenue'!N:N,0)</f>
        <v>0</v>
      </c>
      <c r="AC486" s="3">
        <v>0.0</v>
      </c>
      <c r="AD486" s="3">
        <v>0.0</v>
      </c>
      <c r="AE486" s="3">
        <v>0.0</v>
      </c>
      <c r="AF486" s="3">
        <v>0.0</v>
      </c>
      <c r="AG486" s="3">
        <v>0.0</v>
      </c>
    </row>
    <row r="487">
      <c r="A487" s="3" t="s">
        <v>1238</v>
      </c>
      <c r="B487" s="3" t="s">
        <v>1239</v>
      </c>
      <c r="C487" s="3" t="str">
        <f t="shared" si="1"/>
        <v>PT. Digital Solusi Pratama</v>
      </c>
      <c r="D487" s="3" t="s">
        <v>130</v>
      </c>
      <c r="E487" s="3" t="s">
        <v>187</v>
      </c>
      <c r="F487" s="3" t="s">
        <v>188</v>
      </c>
      <c r="G487" s="3" t="s">
        <v>63</v>
      </c>
      <c r="H487" s="3" t="str">
        <f t="array" ref="H487">XLOOKUP(G:G,'Account Manager Data'!A:A,'Account Manager Data'!B:B,0)</f>
        <v>Hendra Gunawan</v>
      </c>
      <c r="I487" s="11" t="str">
        <f t="array" ref="I487">XLOOKUP($G:$G,'Account Manager Data'!$A:$A,'Account Manager Data'!C:C)</f>
        <v>Kalimantan</v>
      </c>
      <c r="J487" s="17">
        <v>2259592.0</v>
      </c>
      <c r="K487" s="17">
        <v>2377863.0</v>
      </c>
      <c r="L487" s="17">
        <v>1.004595E7</v>
      </c>
      <c r="M487" s="17">
        <v>5201285.0</v>
      </c>
      <c r="N487" s="17">
        <v>8945702.0</v>
      </c>
      <c r="O487" s="17">
        <v>1.3990302E7</v>
      </c>
      <c r="P487" s="17">
        <v>0.0</v>
      </c>
      <c r="Q487" s="17">
        <v>5387927.0</v>
      </c>
      <c r="R487" s="17">
        <v>1428543.0</v>
      </c>
      <c r="S487" s="17">
        <v>9796881.0</v>
      </c>
      <c r="T487" s="17">
        <v>1.6457871E7</v>
      </c>
      <c r="U487" s="17">
        <v>1839041.0</v>
      </c>
      <c r="V487" s="11">
        <f t="array" ref="V487">XLOOKUP(A:A,'Raw Revenue'!A:A,'Raw Revenue'!B:B,0)
</f>
        <v>0</v>
      </c>
      <c r="W487" s="11">
        <f t="array" ref="W487">XLOOKUP(A:A,'Raw Revenue'!C:C,'Raw Revenue'!D:D,0)</f>
        <v>0</v>
      </c>
      <c r="X487" s="11">
        <f t="array" ref="X487">XLOOKUP(A:A,'Raw Revenue'!E:E,'Raw Revenue'!F:F,0)</f>
        <v>0</v>
      </c>
      <c r="Y487" s="11">
        <f t="array" ref="Y487">XLOOKUP(A:A,'Raw Revenue'!G:G,'Raw Revenue'!H:H,0)</f>
        <v>0</v>
      </c>
      <c r="Z487" s="11">
        <f t="array" ref="Z487">XLOOKUP(A:A,'Raw Revenue'!I:I,'Raw Revenue'!J:J,0)</f>
        <v>0</v>
      </c>
      <c r="AA487" s="11">
        <f t="array" ref="AA487">XLOOKUP(A:A,'Raw Revenue'!K:K,'Raw Revenue'!L:L,0)</f>
        <v>0</v>
      </c>
      <c r="AB487" s="11">
        <f t="array" ref="AB487">XLOOKUP(A:A,'Raw Revenue'!M:M,'Raw Revenue'!N:N,0)</f>
        <v>0</v>
      </c>
      <c r="AC487" s="3">
        <v>0.0</v>
      </c>
      <c r="AD487" s="3">
        <v>0.0</v>
      </c>
      <c r="AE487" s="3">
        <v>0.0</v>
      </c>
      <c r="AF487" s="3">
        <v>0.0</v>
      </c>
      <c r="AG487" s="3">
        <v>0.0</v>
      </c>
    </row>
    <row r="488">
      <c r="A488" s="3" t="s">
        <v>217</v>
      </c>
      <c r="B488" s="3" t="s">
        <v>1240</v>
      </c>
      <c r="C488" s="3" t="str">
        <f t="shared" si="1"/>
        <v>PT. Global Niaga Abadi</v>
      </c>
      <c r="D488" s="3" t="s">
        <v>103</v>
      </c>
      <c r="E488" s="3" t="s">
        <v>187</v>
      </c>
      <c r="F488" s="3" t="s">
        <v>269</v>
      </c>
      <c r="G488" s="3" t="s">
        <v>35</v>
      </c>
      <c r="H488" s="3" t="str">
        <f t="array" ref="H488">XLOOKUP(G:G,'Account Manager Data'!A:A,'Account Manager Data'!B:B,0)</f>
        <v>Ahmad Fauzi</v>
      </c>
      <c r="I488" s="11" t="str">
        <f t="array" ref="I488">XLOOKUP($G:$G,'Account Manager Data'!$A:$A,'Account Manager Data'!C:C)</f>
        <v>Sumatera</v>
      </c>
      <c r="J488" s="17">
        <v>2672752.0</v>
      </c>
      <c r="K488" s="17">
        <v>7308569.0</v>
      </c>
      <c r="L488" s="17">
        <v>6775445.0</v>
      </c>
      <c r="M488" s="17">
        <v>6052590.0</v>
      </c>
      <c r="N488" s="17">
        <v>8339060.0</v>
      </c>
      <c r="O488" s="17">
        <v>1.0543607E7</v>
      </c>
      <c r="P488" s="17">
        <v>1080493.0</v>
      </c>
      <c r="Q488" s="17">
        <v>2102546.0</v>
      </c>
      <c r="R488" s="17">
        <v>9971267.0</v>
      </c>
      <c r="S488" s="17">
        <v>1.2998063E7</v>
      </c>
      <c r="T488" s="17">
        <v>4594357.0</v>
      </c>
      <c r="U488" s="17">
        <v>782246.0</v>
      </c>
      <c r="V488" s="11">
        <f t="array" ref="V488">XLOOKUP(A:A,'Raw Revenue'!A:A,'Raw Revenue'!B:B,0)
</f>
        <v>6426470.104</v>
      </c>
      <c r="W488" s="11">
        <f t="array" ref="W488">XLOOKUP(A:A,'Raw Revenue'!C:C,'Raw Revenue'!D:D,0)</f>
        <v>6426470.104</v>
      </c>
      <c r="X488" s="11">
        <f t="array" ref="X488">XLOOKUP(A:A,'Raw Revenue'!E:E,'Raw Revenue'!F:F,0)</f>
        <v>12852940.21</v>
      </c>
      <c r="Y488" s="11">
        <f t="array" ref="Y488">XLOOKUP(A:A,'Raw Revenue'!G:G,'Raw Revenue'!H:H,0)</f>
        <v>10496567.84</v>
      </c>
      <c r="Z488" s="11">
        <f t="array" ref="Z488">XLOOKUP(A:A,'Raw Revenue'!I:I,'Raw Revenue'!J:J,0)</f>
        <v>9425489.486</v>
      </c>
      <c r="AA488" s="11">
        <f t="array" ref="AA488">XLOOKUP(A:A,'Raw Revenue'!K:K,'Raw Revenue'!L:L,0)</f>
        <v>24099262.89</v>
      </c>
      <c r="AB488" s="11">
        <f t="array" ref="AB488">XLOOKUP(A:A,'Raw Revenue'!M:M,'Raw Revenue'!N:N,0)</f>
        <v>22171321.86</v>
      </c>
      <c r="AC488" s="3">
        <v>0.0</v>
      </c>
      <c r="AD488" s="3">
        <v>0.0</v>
      </c>
      <c r="AE488" s="3">
        <v>0.0</v>
      </c>
      <c r="AF488" s="3">
        <v>0.0</v>
      </c>
      <c r="AG488" s="3">
        <v>0.0</v>
      </c>
    </row>
    <row r="489">
      <c r="A489" s="3" t="s">
        <v>1241</v>
      </c>
      <c r="B489" s="3" t="s">
        <v>1242</v>
      </c>
      <c r="C489" s="3" t="str">
        <f t="shared" si="1"/>
        <v>PT. Indo Makmur Sentosa</v>
      </c>
      <c r="D489" s="3" t="s">
        <v>195</v>
      </c>
      <c r="E489" s="3" t="s">
        <v>187</v>
      </c>
      <c r="F489" s="3" t="s">
        <v>188</v>
      </c>
      <c r="G489" s="3" t="s">
        <v>74</v>
      </c>
      <c r="H489" s="3" t="str">
        <f t="array" ref="H489">XLOOKUP(G:G,'Account Manager Data'!A:A,'Account Manager Data'!B:B,0)</f>
        <v>Budi Santoso</v>
      </c>
      <c r="I489" s="11" t="str">
        <f t="array" ref="I489">XLOOKUP($G:$G,'Account Manager Data'!$A:$A,'Account Manager Data'!C:C)</f>
        <v>Papua</v>
      </c>
      <c r="J489" s="17">
        <v>5754483.0</v>
      </c>
      <c r="K489" s="17">
        <v>8520923.0</v>
      </c>
      <c r="L489" s="17">
        <v>4871537.0</v>
      </c>
      <c r="M489" s="17">
        <v>7232286.0</v>
      </c>
      <c r="N489" s="17">
        <v>3469505.0</v>
      </c>
      <c r="O489" s="17">
        <v>1.4918059E7</v>
      </c>
      <c r="P489" s="17">
        <v>1173720.0</v>
      </c>
      <c r="Q489" s="17">
        <v>4969094.0</v>
      </c>
      <c r="R489" s="17">
        <v>3247642.0</v>
      </c>
      <c r="S489" s="17">
        <v>1.3982059E7</v>
      </c>
      <c r="T489" s="17">
        <v>0.0</v>
      </c>
      <c r="U489" s="17">
        <v>2705577.0</v>
      </c>
      <c r="V489" s="11">
        <f t="array" ref="V489">XLOOKUP(A:A,'Raw Revenue'!A:A,'Raw Revenue'!B:B,0)
</f>
        <v>0</v>
      </c>
      <c r="W489" s="11">
        <f t="array" ref="W489">XLOOKUP(A:A,'Raw Revenue'!C:C,'Raw Revenue'!D:D,0)</f>
        <v>0</v>
      </c>
      <c r="X489" s="11">
        <f t="array" ref="X489">XLOOKUP(A:A,'Raw Revenue'!E:E,'Raw Revenue'!F:F,0)</f>
        <v>0</v>
      </c>
      <c r="Y489" s="11">
        <f t="array" ref="Y489">XLOOKUP(A:A,'Raw Revenue'!G:G,'Raw Revenue'!H:H,0)</f>
        <v>0</v>
      </c>
      <c r="Z489" s="11">
        <f t="array" ref="Z489">XLOOKUP(A:A,'Raw Revenue'!I:I,'Raw Revenue'!J:J,0)</f>
        <v>0</v>
      </c>
      <c r="AA489" s="11">
        <f t="array" ref="AA489">XLOOKUP(A:A,'Raw Revenue'!K:K,'Raw Revenue'!L:L,0)</f>
        <v>0</v>
      </c>
      <c r="AB489" s="11">
        <f t="array" ref="AB489">XLOOKUP(A:A,'Raw Revenue'!M:M,'Raw Revenue'!N:N,0)</f>
        <v>0</v>
      </c>
      <c r="AC489" s="3">
        <v>0.0</v>
      </c>
      <c r="AD489" s="3">
        <v>0.0</v>
      </c>
      <c r="AE489" s="3">
        <v>0.0</v>
      </c>
      <c r="AF489" s="3">
        <v>0.0</v>
      </c>
      <c r="AG489" s="3">
        <v>0.0</v>
      </c>
    </row>
    <row r="490">
      <c r="A490" s="3" t="s">
        <v>1243</v>
      </c>
      <c r="B490" s="3" t="s">
        <v>1244</v>
      </c>
      <c r="C490" s="3" t="str">
        <f t="shared" si="1"/>
        <v>PT. Citra Mandiri Utama</v>
      </c>
      <c r="D490" s="3" t="s">
        <v>130</v>
      </c>
      <c r="E490" s="3" t="s">
        <v>215</v>
      </c>
      <c r="F490" s="3" t="s">
        <v>300</v>
      </c>
      <c r="G490" s="3" t="s">
        <v>43</v>
      </c>
      <c r="H490" s="3" t="str">
        <f t="array" ref="H490">XLOOKUP(G:G,'Account Manager Data'!A:A,'Account Manager Data'!B:B,0)</f>
        <v>Eko Prasetyo</v>
      </c>
      <c r="I490" s="11" t="str">
        <f t="array" ref="I490">XLOOKUP($G:$G,'Account Manager Data'!$A:$A,'Account Manager Data'!C:C)</f>
        <v>Papua</v>
      </c>
      <c r="J490" s="17">
        <v>3930587.0</v>
      </c>
      <c r="K490" s="17">
        <v>7771886.0</v>
      </c>
      <c r="L490" s="17">
        <v>9052146.0</v>
      </c>
      <c r="M490" s="17">
        <v>6413682.0</v>
      </c>
      <c r="N490" s="17">
        <v>6980788.0</v>
      </c>
      <c r="O490" s="17">
        <v>1.4090823E7</v>
      </c>
      <c r="P490" s="17">
        <v>0.0</v>
      </c>
      <c r="Q490" s="17">
        <v>7752438.0</v>
      </c>
      <c r="R490" s="17">
        <v>4366113.0</v>
      </c>
      <c r="S490" s="17">
        <v>5682963.0</v>
      </c>
      <c r="T490" s="17">
        <v>1.0248131E7</v>
      </c>
      <c r="U490" s="17">
        <v>1.5500737E7</v>
      </c>
      <c r="V490" s="11">
        <f t="array" ref="V490">XLOOKUP(A:A,'Raw Revenue'!A:A,'Raw Revenue'!B:B,0)
</f>
        <v>0</v>
      </c>
      <c r="W490" s="11">
        <f t="array" ref="W490">XLOOKUP(A:A,'Raw Revenue'!C:C,'Raw Revenue'!D:D,0)</f>
        <v>0</v>
      </c>
      <c r="X490" s="11">
        <f t="array" ref="X490">XLOOKUP(A:A,'Raw Revenue'!E:E,'Raw Revenue'!F:F,0)</f>
        <v>0</v>
      </c>
      <c r="Y490" s="11">
        <f t="array" ref="Y490">XLOOKUP(A:A,'Raw Revenue'!G:G,'Raw Revenue'!H:H,0)</f>
        <v>0</v>
      </c>
      <c r="Z490" s="11">
        <f t="array" ref="Z490">XLOOKUP(A:A,'Raw Revenue'!I:I,'Raw Revenue'!J:J,0)</f>
        <v>0</v>
      </c>
      <c r="AA490" s="11">
        <f t="array" ref="AA490">XLOOKUP(A:A,'Raw Revenue'!K:K,'Raw Revenue'!L:L,0)</f>
        <v>0</v>
      </c>
      <c r="AB490" s="11">
        <f t="array" ref="AB490">XLOOKUP(A:A,'Raw Revenue'!M:M,'Raw Revenue'!N:N,0)</f>
        <v>0</v>
      </c>
      <c r="AC490" s="3">
        <v>0.0</v>
      </c>
      <c r="AD490" s="3">
        <v>0.0</v>
      </c>
      <c r="AE490" s="3">
        <v>0.0</v>
      </c>
      <c r="AF490" s="3">
        <v>0.0</v>
      </c>
      <c r="AG490" s="3">
        <v>0.0</v>
      </c>
    </row>
    <row r="491">
      <c r="A491" s="3" t="s">
        <v>1245</v>
      </c>
      <c r="B491" s="3" t="s">
        <v>1246</v>
      </c>
      <c r="C491" s="3" t="str">
        <f t="shared" si="1"/>
        <v>PT. Sinar Dunia Baru</v>
      </c>
      <c r="D491" s="3" t="s">
        <v>186</v>
      </c>
      <c r="E491" s="3" t="s">
        <v>215</v>
      </c>
      <c r="F491" s="3" t="s">
        <v>227</v>
      </c>
      <c r="G491" s="3" t="s">
        <v>76</v>
      </c>
      <c r="H491" s="3" t="str">
        <f t="array" ref="H491">XLOOKUP(G:G,'Account Manager Data'!A:A,'Account Manager Data'!B:B,0)</f>
        <v>Teguh Wijaya</v>
      </c>
      <c r="I491" s="11" t="str">
        <f t="array" ref="I491">XLOOKUP($G:$G,'Account Manager Data'!$A:$A,'Account Manager Data'!C:C)</f>
        <v>Sulawesi</v>
      </c>
      <c r="J491" s="17">
        <v>491737.0</v>
      </c>
      <c r="K491" s="17">
        <v>8363502.0</v>
      </c>
      <c r="L491" s="17">
        <v>0.0</v>
      </c>
      <c r="M491" s="17">
        <v>2623822.0</v>
      </c>
      <c r="N491" s="17">
        <v>950550.0</v>
      </c>
      <c r="O491" s="17">
        <v>1.2453178E7</v>
      </c>
      <c r="P491" s="17">
        <v>0.0</v>
      </c>
      <c r="Q491" s="17">
        <v>3327744.0</v>
      </c>
      <c r="R491" s="17">
        <v>0.0</v>
      </c>
      <c r="S491" s="17">
        <v>8062957.0</v>
      </c>
      <c r="T491" s="17">
        <v>1.6129696E7</v>
      </c>
      <c r="U491" s="17">
        <v>4996570.0</v>
      </c>
      <c r="V491" s="11">
        <f t="array" ref="V491">XLOOKUP(A:A,'Raw Revenue'!A:A,'Raw Revenue'!B:B,0)
</f>
        <v>0</v>
      </c>
      <c r="W491" s="11">
        <f t="array" ref="W491">XLOOKUP(A:A,'Raw Revenue'!C:C,'Raw Revenue'!D:D,0)</f>
        <v>0</v>
      </c>
      <c r="X491" s="11">
        <f t="array" ref="X491">XLOOKUP(A:A,'Raw Revenue'!E:E,'Raw Revenue'!F:F,0)</f>
        <v>0</v>
      </c>
      <c r="Y491" s="11">
        <f t="array" ref="Y491">XLOOKUP(A:A,'Raw Revenue'!G:G,'Raw Revenue'!H:H,0)</f>
        <v>0</v>
      </c>
      <c r="Z491" s="11">
        <f t="array" ref="Z491">XLOOKUP(A:A,'Raw Revenue'!I:I,'Raw Revenue'!J:J,0)</f>
        <v>0</v>
      </c>
      <c r="AA491" s="11">
        <f t="array" ref="AA491">XLOOKUP(A:A,'Raw Revenue'!K:K,'Raw Revenue'!L:L,0)</f>
        <v>0</v>
      </c>
      <c r="AB491" s="11">
        <f t="array" ref="AB491">XLOOKUP(A:A,'Raw Revenue'!M:M,'Raw Revenue'!N:N,0)</f>
        <v>0</v>
      </c>
      <c r="AC491" s="3">
        <v>0.0</v>
      </c>
      <c r="AD491" s="3">
        <v>0.0</v>
      </c>
      <c r="AE491" s="3">
        <v>0.0</v>
      </c>
      <c r="AF491" s="3">
        <v>0.0</v>
      </c>
      <c r="AG491" s="3">
        <v>0.0</v>
      </c>
    </row>
    <row r="492">
      <c r="A492" s="3" t="s">
        <v>1247</v>
      </c>
      <c r="B492" s="3" t="s">
        <v>1248</v>
      </c>
      <c r="C492" s="3" t="str">
        <f t="shared" si="1"/>
        <v>CV. Karya Utama Mandiri</v>
      </c>
      <c r="D492" s="3" t="s">
        <v>84</v>
      </c>
      <c r="E492" s="3" t="s">
        <v>196</v>
      </c>
      <c r="F492" s="3" t="s">
        <v>260</v>
      </c>
      <c r="G492" s="3" t="s">
        <v>70</v>
      </c>
      <c r="H492" s="3" t="str">
        <f t="array" ref="H492">XLOOKUP(G:G,'Account Manager Data'!A:A,'Account Manager Data'!B:B,0)</f>
        <v>Yusuf Hidayat</v>
      </c>
      <c r="I492" s="11" t="str">
        <f t="array" ref="I492">XLOOKUP($G:$G,'Account Manager Data'!$A:$A,'Account Manager Data'!C:C)</f>
        <v>Sumatera</v>
      </c>
      <c r="J492" s="17">
        <v>1045580.0</v>
      </c>
      <c r="K492" s="17">
        <v>4358516.0</v>
      </c>
      <c r="L492" s="17">
        <v>2550232.0</v>
      </c>
      <c r="M492" s="17">
        <v>4692757.0</v>
      </c>
      <c r="N492" s="17">
        <v>5573835.0</v>
      </c>
      <c r="O492" s="17">
        <v>1.1905158E7</v>
      </c>
      <c r="P492" s="17">
        <v>5804406.0</v>
      </c>
      <c r="Q492" s="17">
        <v>1.0757056E7</v>
      </c>
      <c r="R492" s="17">
        <v>7654169.0</v>
      </c>
      <c r="S492" s="17">
        <v>6529383.0</v>
      </c>
      <c r="T492" s="17">
        <v>7552762.0</v>
      </c>
      <c r="U492" s="17">
        <v>0.0</v>
      </c>
      <c r="V492" s="11">
        <f t="array" ref="V492">XLOOKUP(A:A,'Raw Revenue'!A:A,'Raw Revenue'!B:B,0)
</f>
        <v>0</v>
      </c>
      <c r="W492" s="11">
        <f t="array" ref="W492">XLOOKUP(A:A,'Raw Revenue'!C:C,'Raw Revenue'!D:D,0)</f>
        <v>0</v>
      </c>
      <c r="X492" s="11">
        <f t="array" ref="X492">XLOOKUP(A:A,'Raw Revenue'!E:E,'Raw Revenue'!F:F,0)</f>
        <v>0</v>
      </c>
      <c r="Y492" s="11">
        <f t="array" ref="Y492">XLOOKUP(A:A,'Raw Revenue'!G:G,'Raw Revenue'!H:H,0)</f>
        <v>0</v>
      </c>
      <c r="Z492" s="11">
        <f t="array" ref="Z492">XLOOKUP(A:A,'Raw Revenue'!I:I,'Raw Revenue'!J:J,0)</f>
        <v>0</v>
      </c>
      <c r="AA492" s="11">
        <f t="array" ref="AA492">XLOOKUP(A:A,'Raw Revenue'!K:K,'Raw Revenue'!L:L,0)</f>
        <v>0</v>
      </c>
      <c r="AB492" s="11">
        <f t="array" ref="AB492">XLOOKUP(A:A,'Raw Revenue'!M:M,'Raw Revenue'!N:N,0)</f>
        <v>0</v>
      </c>
      <c r="AC492" s="3">
        <v>0.0</v>
      </c>
      <c r="AD492" s="3">
        <v>0.0</v>
      </c>
      <c r="AE492" s="3">
        <v>0.0</v>
      </c>
      <c r="AF492" s="3">
        <v>0.0</v>
      </c>
      <c r="AG492" s="3">
        <v>0.0</v>
      </c>
    </row>
    <row r="493">
      <c r="A493" s="3" t="s">
        <v>1249</v>
      </c>
      <c r="B493" s="3" t="s">
        <v>1250</v>
      </c>
      <c r="C493" s="3" t="str">
        <f t="shared" si="1"/>
        <v>PT. Pratama Jaya Sentosa</v>
      </c>
      <c r="D493" s="3" t="s">
        <v>195</v>
      </c>
      <c r="E493" s="3" t="s">
        <v>196</v>
      </c>
      <c r="F493" s="3" t="s">
        <v>315</v>
      </c>
      <c r="G493" s="3" t="s">
        <v>15</v>
      </c>
      <c r="H493" s="3" t="str">
        <f t="array" ref="H493">XLOOKUP(G:G,'Account Manager Data'!A:A,'Account Manager Data'!B:B,0)</f>
        <v>Rizky Maulana</v>
      </c>
      <c r="I493" s="11" t="str">
        <f t="array" ref="I493">XLOOKUP($G:$G,'Account Manager Data'!$A:$A,'Account Manager Data'!C:C)</f>
        <v>Jawa</v>
      </c>
      <c r="J493" s="17">
        <v>931844.0</v>
      </c>
      <c r="K493" s="17">
        <v>5527675.0</v>
      </c>
      <c r="L493" s="17">
        <v>5242078.0</v>
      </c>
      <c r="M493" s="17">
        <v>9358911.0</v>
      </c>
      <c r="N493" s="17">
        <v>7407211.0</v>
      </c>
      <c r="O493" s="17">
        <v>2448577.0</v>
      </c>
      <c r="P493" s="17">
        <v>0.0</v>
      </c>
      <c r="Q493" s="17">
        <v>1.1260839E7</v>
      </c>
      <c r="R493" s="17">
        <v>4978373.0</v>
      </c>
      <c r="S493" s="17">
        <v>6321799.0</v>
      </c>
      <c r="T493" s="17">
        <v>2366138.0</v>
      </c>
      <c r="U493" s="17">
        <v>6603772.0</v>
      </c>
      <c r="V493" s="11">
        <f t="array" ref="V493">XLOOKUP(A:A,'Raw Revenue'!A:A,'Raw Revenue'!B:B,0)
</f>
        <v>0</v>
      </c>
      <c r="W493" s="11">
        <f t="array" ref="W493">XLOOKUP(A:A,'Raw Revenue'!C:C,'Raw Revenue'!D:D,0)</f>
        <v>0</v>
      </c>
      <c r="X493" s="11">
        <f t="array" ref="X493">XLOOKUP(A:A,'Raw Revenue'!E:E,'Raw Revenue'!F:F,0)</f>
        <v>0</v>
      </c>
      <c r="Y493" s="11">
        <f t="array" ref="Y493">XLOOKUP(A:A,'Raw Revenue'!G:G,'Raw Revenue'!H:H,0)</f>
        <v>0</v>
      </c>
      <c r="Z493" s="11">
        <f t="array" ref="Z493">XLOOKUP(A:A,'Raw Revenue'!I:I,'Raw Revenue'!J:J,0)</f>
        <v>0</v>
      </c>
      <c r="AA493" s="11">
        <f t="array" ref="AA493">XLOOKUP(A:A,'Raw Revenue'!K:K,'Raw Revenue'!L:L,0)</f>
        <v>0</v>
      </c>
      <c r="AB493" s="11">
        <f t="array" ref="AB493">XLOOKUP(A:A,'Raw Revenue'!M:M,'Raw Revenue'!N:N,0)</f>
        <v>0</v>
      </c>
      <c r="AC493" s="3">
        <v>0.0</v>
      </c>
      <c r="AD493" s="3">
        <v>0.0</v>
      </c>
      <c r="AE493" s="3">
        <v>0.0</v>
      </c>
      <c r="AF493" s="3">
        <v>0.0</v>
      </c>
      <c r="AG493" s="3">
        <v>0.0</v>
      </c>
    </row>
    <row r="494">
      <c r="A494" s="3" t="s">
        <v>1251</v>
      </c>
      <c r="B494" s="3" t="s">
        <v>1252</v>
      </c>
      <c r="C494" s="3" t="str">
        <f t="shared" si="1"/>
        <v>PT. Abadi Selamanya Jaya</v>
      </c>
      <c r="D494" s="3" t="s">
        <v>130</v>
      </c>
      <c r="E494" s="3" t="s">
        <v>104</v>
      </c>
      <c r="F494" s="3" t="s">
        <v>105</v>
      </c>
      <c r="G494" s="3" t="s">
        <v>53</v>
      </c>
      <c r="H494" s="3" t="str">
        <f t="array" ref="H494">XLOOKUP(G:G,'Account Manager Data'!A:A,'Account Manager Data'!B:B,0)</f>
        <v>Fajar Ramadhan</v>
      </c>
      <c r="I494" s="11" t="str">
        <f t="array" ref="I494">XLOOKUP($G:$G,'Account Manager Data'!$A:$A,'Account Manager Data'!C:C)</f>
        <v>Sulawesi</v>
      </c>
      <c r="J494" s="17">
        <v>2545498.0</v>
      </c>
      <c r="K494" s="17">
        <v>5053067.0</v>
      </c>
      <c r="L494" s="17">
        <v>8937649.0</v>
      </c>
      <c r="M494" s="17">
        <v>1205358.0</v>
      </c>
      <c r="N494" s="17">
        <v>4783634.0</v>
      </c>
      <c r="O494" s="17">
        <v>8329327.0</v>
      </c>
      <c r="P494" s="17">
        <v>1.1712857E7</v>
      </c>
      <c r="Q494" s="17">
        <v>1.1735925E7</v>
      </c>
      <c r="R494" s="17">
        <v>1181283.0</v>
      </c>
      <c r="S494" s="17">
        <v>8821262.0</v>
      </c>
      <c r="T494" s="17">
        <v>9856631.0</v>
      </c>
      <c r="U494" s="17">
        <v>1.3906179E7</v>
      </c>
      <c r="V494" s="11">
        <f t="array" ref="V494">XLOOKUP(A:A,'Raw Revenue'!A:A,'Raw Revenue'!B:B,0)
</f>
        <v>0</v>
      </c>
      <c r="W494" s="11">
        <f t="array" ref="W494">XLOOKUP(A:A,'Raw Revenue'!C:C,'Raw Revenue'!D:D,0)</f>
        <v>0</v>
      </c>
      <c r="X494" s="11">
        <f t="array" ref="X494">XLOOKUP(A:A,'Raw Revenue'!E:E,'Raw Revenue'!F:F,0)</f>
        <v>0</v>
      </c>
      <c r="Y494" s="11">
        <f t="array" ref="Y494">XLOOKUP(A:A,'Raw Revenue'!G:G,'Raw Revenue'!H:H,0)</f>
        <v>0</v>
      </c>
      <c r="Z494" s="11">
        <f t="array" ref="Z494">XLOOKUP(A:A,'Raw Revenue'!I:I,'Raw Revenue'!J:J,0)</f>
        <v>0</v>
      </c>
      <c r="AA494" s="11">
        <f t="array" ref="AA494">XLOOKUP(A:A,'Raw Revenue'!K:K,'Raw Revenue'!L:L,0)</f>
        <v>0</v>
      </c>
      <c r="AB494" s="11">
        <f t="array" ref="AB494">XLOOKUP(A:A,'Raw Revenue'!M:M,'Raw Revenue'!N:N,0)</f>
        <v>0</v>
      </c>
      <c r="AC494" s="3">
        <v>0.0</v>
      </c>
      <c r="AD494" s="3">
        <v>0.0</v>
      </c>
      <c r="AE494" s="3">
        <v>0.0</v>
      </c>
      <c r="AF494" s="3">
        <v>0.0</v>
      </c>
      <c r="AG494" s="3">
        <v>0.0</v>
      </c>
    </row>
    <row r="495">
      <c r="A495" s="3" t="s">
        <v>1253</v>
      </c>
      <c r="B495" s="3" t="s">
        <v>1254</v>
      </c>
      <c r="C495" s="3" t="str">
        <f t="shared" si="1"/>
        <v>PT. Mandiri Sejahtera Bersama</v>
      </c>
      <c r="D495" s="3" t="s">
        <v>130</v>
      </c>
      <c r="E495" s="3" t="s">
        <v>187</v>
      </c>
      <c r="F495" s="3" t="s">
        <v>269</v>
      </c>
      <c r="G495" s="3" t="s">
        <v>27</v>
      </c>
      <c r="H495" s="3" t="str">
        <f t="array" ref="H495">XLOOKUP(G:G,'Account Manager Data'!A:A,'Account Manager Data'!B:B,0)</f>
        <v>Dedi Kurniawan</v>
      </c>
      <c r="I495" s="11" t="str">
        <f t="array" ref="I495">XLOOKUP($G:$G,'Account Manager Data'!$A:$A,'Account Manager Data'!C:C)</f>
        <v>Kalimantan</v>
      </c>
      <c r="J495" s="17">
        <v>7337086.0</v>
      </c>
      <c r="K495" s="17">
        <v>0.0</v>
      </c>
      <c r="L495" s="17">
        <v>8088980.0</v>
      </c>
      <c r="M495" s="17">
        <v>1881275.0</v>
      </c>
      <c r="N495" s="17">
        <v>5186345.0</v>
      </c>
      <c r="O495" s="17">
        <v>0.0</v>
      </c>
      <c r="P495" s="17">
        <v>124258.0</v>
      </c>
      <c r="Q495" s="17">
        <v>1232145.0</v>
      </c>
      <c r="R495" s="17">
        <v>7159832.0</v>
      </c>
      <c r="S495" s="17">
        <v>6082773.0</v>
      </c>
      <c r="T495" s="17">
        <v>1.0787987E7</v>
      </c>
      <c r="U495" s="17">
        <v>1.8663708E7</v>
      </c>
      <c r="V495" s="11">
        <f t="array" ref="V495">XLOOKUP(A:A,'Raw Revenue'!A:A,'Raw Revenue'!B:B,0)
</f>
        <v>0</v>
      </c>
      <c r="W495" s="11">
        <f t="array" ref="W495">XLOOKUP(A:A,'Raw Revenue'!C:C,'Raw Revenue'!D:D,0)</f>
        <v>0</v>
      </c>
      <c r="X495" s="11">
        <f t="array" ref="X495">XLOOKUP(A:A,'Raw Revenue'!E:E,'Raw Revenue'!F:F,0)</f>
        <v>0</v>
      </c>
      <c r="Y495" s="11">
        <f t="array" ref="Y495">XLOOKUP(A:A,'Raw Revenue'!G:G,'Raw Revenue'!H:H,0)</f>
        <v>0</v>
      </c>
      <c r="Z495" s="11">
        <f t="array" ref="Z495">XLOOKUP(A:A,'Raw Revenue'!I:I,'Raw Revenue'!J:J,0)</f>
        <v>0</v>
      </c>
      <c r="AA495" s="11">
        <f t="array" ref="AA495">XLOOKUP(A:A,'Raw Revenue'!K:K,'Raw Revenue'!L:L,0)</f>
        <v>0</v>
      </c>
      <c r="AB495" s="11">
        <f t="array" ref="AB495">XLOOKUP(A:A,'Raw Revenue'!M:M,'Raw Revenue'!N:N,0)</f>
        <v>0</v>
      </c>
      <c r="AC495" s="3">
        <v>0.0</v>
      </c>
      <c r="AD495" s="3">
        <v>0.0</v>
      </c>
      <c r="AE495" s="3">
        <v>0.0</v>
      </c>
      <c r="AF495" s="3">
        <v>0.0</v>
      </c>
      <c r="AG495" s="3">
        <v>0.0</v>
      </c>
    </row>
    <row r="496">
      <c r="A496" s="3" t="s">
        <v>1255</v>
      </c>
      <c r="B496" s="3" t="s">
        <v>1256</v>
      </c>
      <c r="C496" s="3" t="str">
        <f t="shared" si="1"/>
        <v>PT. Sejahtera Alam Indonesia</v>
      </c>
      <c r="D496" s="3" t="s">
        <v>84</v>
      </c>
      <c r="E496" s="3" t="s">
        <v>104</v>
      </c>
      <c r="F496" s="3" t="s">
        <v>252</v>
      </c>
      <c r="G496" s="3" t="s">
        <v>78</v>
      </c>
      <c r="H496" s="3" t="str">
        <f t="array" ref="H496">XLOOKUP(G:G,'Account Manager Data'!A:A,'Account Manager Data'!B:B,0)</f>
        <v>Ilham Saputra</v>
      </c>
      <c r="I496" s="11" t="str">
        <f t="array" ref="I496">XLOOKUP($G:$G,'Account Manager Data'!$A:$A,'Account Manager Data'!C:C)</f>
        <v>Jawa</v>
      </c>
      <c r="J496" s="17">
        <v>3320260.0</v>
      </c>
      <c r="K496" s="17">
        <v>8475254.0</v>
      </c>
      <c r="L496" s="17">
        <v>897071.0</v>
      </c>
      <c r="M496" s="17">
        <v>3372853.0</v>
      </c>
      <c r="N496" s="17">
        <v>1066194.0</v>
      </c>
      <c r="O496" s="17">
        <v>478955.0</v>
      </c>
      <c r="P496" s="17">
        <v>1363219.0</v>
      </c>
      <c r="Q496" s="17">
        <v>2969012.0</v>
      </c>
      <c r="R496" s="17">
        <v>9281201.0</v>
      </c>
      <c r="S496" s="17">
        <v>1.4924926E7</v>
      </c>
      <c r="T496" s="17">
        <v>8881690.0</v>
      </c>
      <c r="U496" s="17">
        <v>7061075.0</v>
      </c>
      <c r="V496" s="11">
        <f t="array" ref="V496">XLOOKUP(A:A,'Raw Revenue'!A:A,'Raw Revenue'!B:B,0)
</f>
        <v>0</v>
      </c>
      <c r="W496" s="11">
        <f t="array" ref="W496">XLOOKUP(A:A,'Raw Revenue'!C:C,'Raw Revenue'!D:D,0)</f>
        <v>0</v>
      </c>
      <c r="X496" s="11">
        <f t="array" ref="X496">XLOOKUP(A:A,'Raw Revenue'!E:E,'Raw Revenue'!F:F,0)</f>
        <v>0</v>
      </c>
      <c r="Y496" s="11">
        <f t="array" ref="Y496">XLOOKUP(A:A,'Raw Revenue'!G:G,'Raw Revenue'!H:H,0)</f>
        <v>0</v>
      </c>
      <c r="Z496" s="11">
        <f t="array" ref="Z496">XLOOKUP(A:A,'Raw Revenue'!I:I,'Raw Revenue'!J:J,0)</f>
        <v>0</v>
      </c>
      <c r="AA496" s="11">
        <f t="array" ref="AA496">XLOOKUP(A:A,'Raw Revenue'!K:K,'Raw Revenue'!L:L,0)</f>
        <v>0</v>
      </c>
      <c r="AB496" s="11">
        <f t="array" ref="AB496">XLOOKUP(A:A,'Raw Revenue'!M:M,'Raw Revenue'!N:N,0)</f>
        <v>0</v>
      </c>
      <c r="AC496" s="3">
        <v>0.0</v>
      </c>
      <c r="AD496" s="3">
        <v>0.0</v>
      </c>
      <c r="AE496" s="3">
        <v>0.0</v>
      </c>
      <c r="AF496" s="3">
        <v>0.0</v>
      </c>
      <c r="AG496" s="3">
        <v>0.0</v>
      </c>
    </row>
    <row r="497">
      <c r="A497" s="3" t="s">
        <v>1257</v>
      </c>
      <c r="B497" s="3" t="s">
        <v>1258</v>
      </c>
      <c r="C497" s="3" t="str">
        <f t="shared" si="1"/>
        <v>PT. Indah Kargo Logistik</v>
      </c>
      <c r="D497" s="3" t="s">
        <v>130</v>
      </c>
      <c r="E497" s="3" t="s">
        <v>215</v>
      </c>
      <c r="F497" s="3" t="s">
        <v>216</v>
      </c>
      <c r="G497" s="3" t="s">
        <v>63</v>
      </c>
      <c r="H497" s="3" t="str">
        <f t="array" ref="H497">XLOOKUP(G:G,'Account Manager Data'!A:A,'Account Manager Data'!B:B,0)</f>
        <v>Hendra Gunawan</v>
      </c>
      <c r="I497" s="11" t="str">
        <f t="array" ref="I497">XLOOKUP($G:$G,'Account Manager Data'!$A:$A,'Account Manager Data'!C:C)</f>
        <v>Kalimantan</v>
      </c>
      <c r="J497" s="17">
        <v>2346027.0</v>
      </c>
      <c r="K497" s="17">
        <v>4453127.0</v>
      </c>
      <c r="L497" s="17">
        <v>0.0</v>
      </c>
      <c r="M497" s="17">
        <v>1800959.0</v>
      </c>
      <c r="N497" s="17">
        <v>6566305.0</v>
      </c>
      <c r="O497" s="17">
        <v>7043441.0</v>
      </c>
      <c r="P497" s="17">
        <v>1.0468848E7</v>
      </c>
      <c r="Q497" s="17">
        <v>8126903.0</v>
      </c>
      <c r="R497" s="17">
        <v>1.5804364E7</v>
      </c>
      <c r="S497" s="17">
        <v>1.2793704E7</v>
      </c>
      <c r="T497" s="17">
        <v>1.3946243E7</v>
      </c>
      <c r="U497" s="17">
        <v>1.201946E7</v>
      </c>
      <c r="V497" s="11">
        <f t="array" ref="V497">XLOOKUP(A:A,'Raw Revenue'!A:A,'Raw Revenue'!B:B,0)
</f>
        <v>0</v>
      </c>
      <c r="W497" s="11">
        <f t="array" ref="W497">XLOOKUP(A:A,'Raw Revenue'!C:C,'Raw Revenue'!D:D,0)</f>
        <v>0</v>
      </c>
      <c r="X497" s="11">
        <f t="array" ref="X497">XLOOKUP(A:A,'Raw Revenue'!E:E,'Raw Revenue'!F:F,0)</f>
        <v>0</v>
      </c>
      <c r="Y497" s="11">
        <f t="array" ref="Y497">XLOOKUP(A:A,'Raw Revenue'!G:G,'Raw Revenue'!H:H,0)</f>
        <v>0</v>
      </c>
      <c r="Z497" s="11">
        <f t="array" ref="Z497">XLOOKUP(A:A,'Raw Revenue'!I:I,'Raw Revenue'!J:J,0)</f>
        <v>0</v>
      </c>
      <c r="AA497" s="11">
        <f t="array" ref="AA497">XLOOKUP(A:A,'Raw Revenue'!K:K,'Raw Revenue'!L:L,0)</f>
        <v>0</v>
      </c>
      <c r="AB497" s="11">
        <f t="array" ref="AB497">XLOOKUP(A:A,'Raw Revenue'!M:M,'Raw Revenue'!N:N,0)</f>
        <v>0</v>
      </c>
      <c r="AC497" s="3">
        <v>0.0</v>
      </c>
      <c r="AD497" s="3">
        <v>0.0</v>
      </c>
      <c r="AE497" s="3">
        <v>0.0</v>
      </c>
      <c r="AF497" s="3">
        <v>0.0</v>
      </c>
      <c r="AG497" s="3">
        <v>0.0</v>
      </c>
    </row>
    <row r="498">
      <c r="A498" s="3" t="s">
        <v>1259</v>
      </c>
      <c r="B498" s="3" t="s">
        <v>1260</v>
      </c>
      <c r="C498" s="3" t="str">
        <f t="shared" si="1"/>
        <v>PT. Berkah Alam Semesta</v>
      </c>
      <c r="D498" s="3" t="s">
        <v>214</v>
      </c>
      <c r="E498" s="3" t="s">
        <v>196</v>
      </c>
      <c r="F498" s="3" t="s">
        <v>260</v>
      </c>
      <c r="G498" s="3" t="s">
        <v>35</v>
      </c>
      <c r="H498" s="3" t="str">
        <f t="array" ref="H498">XLOOKUP(G:G,'Account Manager Data'!A:A,'Account Manager Data'!B:B,0)</f>
        <v>Ahmad Fauzi</v>
      </c>
      <c r="I498" s="11" t="str">
        <f t="array" ref="I498">XLOOKUP($G:$G,'Account Manager Data'!$A:$A,'Account Manager Data'!C:C)</f>
        <v>Sumatera</v>
      </c>
      <c r="J498" s="17">
        <v>7827870.0</v>
      </c>
      <c r="K498" s="17">
        <v>6940080.0</v>
      </c>
      <c r="L498" s="17">
        <v>1749130.0</v>
      </c>
      <c r="M498" s="17">
        <v>8180541.0</v>
      </c>
      <c r="N498" s="17">
        <v>977762.0</v>
      </c>
      <c r="O498" s="17">
        <v>1457277.0</v>
      </c>
      <c r="P498" s="17">
        <v>1.397968E7</v>
      </c>
      <c r="Q498" s="17">
        <v>2964927.0</v>
      </c>
      <c r="R498" s="17">
        <v>5769294.0</v>
      </c>
      <c r="S498" s="17">
        <v>0.0</v>
      </c>
      <c r="T498" s="17">
        <v>1.7677122E7</v>
      </c>
      <c r="U498" s="17">
        <v>0.0</v>
      </c>
      <c r="V498" s="11">
        <f t="array" ref="V498">XLOOKUP(A:A,'Raw Revenue'!A:A,'Raw Revenue'!B:B,0)
</f>
        <v>0</v>
      </c>
      <c r="W498" s="11">
        <f t="array" ref="W498">XLOOKUP(A:A,'Raw Revenue'!C:C,'Raw Revenue'!D:D,0)</f>
        <v>0</v>
      </c>
      <c r="X498" s="11">
        <f t="array" ref="X498">XLOOKUP(A:A,'Raw Revenue'!E:E,'Raw Revenue'!F:F,0)</f>
        <v>0</v>
      </c>
      <c r="Y498" s="11">
        <f t="array" ref="Y498">XLOOKUP(A:A,'Raw Revenue'!G:G,'Raw Revenue'!H:H,0)</f>
        <v>0</v>
      </c>
      <c r="Z498" s="11">
        <f t="array" ref="Z498">XLOOKUP(A:A,'Raw Revenue'!I:I,'Raw Revenue'!J:J,0)</f>
        <v>0</v>
      </c>
      <c r="AA498" s="11">
        <f t="array" ref="AA498">XLOOKUP(A:A,'Raw Revenue'!K:K,'Raw Revenue'!L:L,0)</f>
        <v>0</v>
      </c>
      <c r="AB498" s="11">
        <f t="array" ref="AB498">XLOOKUP(A:A,'Raw Revenue'!M:M,'Raw Revenue'!N:N,0)</f>
        <v>0</v>
      </c>
      <c r="AC498" s="3">
        <v>0.0</v>
      </c>
      <c r="AD498" s="3">
        <v>0.0</v>
      </c>
      <c r="AE498" s="3">
        <v>0.0</v>
      </c>
      <c r="AF498" s="3">
        <v>0.0</v>
      </c>
      <c r="AG498" s="3">
        <v>0.0</v>
      </c>
    </row>
    <row r="499">
      <c r="A499" s="3" t="s">
        <v>1261</v>
      </c>
      <c r="B499" s="3" t="s">
        <v>1262</v>
      </c>
      <c r="C499" s="3" t="str">
        <f t="shared" si="1"/>
        <v>PT. Cahaya Baru Indonesia</v>
      </c>
      <c r="D499" s="3" t="s">
        <v>130</v>
      </c>
      <c r="E499" s="3" t="s">
        <v>104</v>
      </c>
      <c r="F499" s="3" t="s">
        <v>105</v>
      </c>
      <c r="G499" s="3" t="s">
        <v>43</v>
      </c>
      <c r="H499" s="3" t="str">
        <f t="array" ref="H499">XLOOKUP(G:G,'Account Manager Data'!A:A,'Account Manager Data'!B:B,0)</f>
        <v>Eko Prasetyo</v>
      </c>
      <c r="I499" s="11" t="str">
        <f t="array" ref="I499">XLOOKUP($G:$G,'Account Manager Data'!$A:$A,'Account Manager Data'!C:C)</f>
        <v>Papua</v>
      </c>
      <c r="J499" s="17">
        <v>4388095.0</v>
      </c>
      <c r="K499" s="17">
        <v>5928323.0</v>
      </c>
      <c r="L499" s="17">
        <v>4103326.0</v>
      </c>
      <c r="M499" s="17">
        <v>2306956.0</v>
      </c>
      <c r="N499" s="17">
        <v>6404219.0</v>
      </c>
      <c r="O499" s="17">
        <v>4804000.0</v>
      </c>
      <c r="P499" s="17">
        <v>1.0883753E7</v>
      </c>
      <c r="Q499" s="17">
        <v>8841895.0</v>
      </c>
      <c r="R499" s="17">
        <v>1.5544551E7</v>
      </c>
      <c r="S499" s="17">
        <v>0.0</v>
      </c>
      <c r="T499" s="17">
        <v>9774577.0</v>
      </c>
      <c r="U499" s="17">
        <v>9641193.0</v>
      </c>
      <c r="V499" s="11">
        <f t="array" ref="V499">XLOOKUP(A:A,'Raw Revenue'!A:A,'Raw Revenue'!B:B,0)
</f>
        <v>0</v>
      </c>
      <c r="W499" s="11">
        <f t="array" ref="W499">XLOOKUP(A:A,'Raw Revenue'!C:C,'Raw Revenue'!D:D,0)</f>
        <v>0</v>
      </c>
      <c r="X499" s="11">
        <f t="array" ref="X499">XLOOKUP(A:A,'Raw Revenue'!E:E,'Raw Revenue'!F:F,0)</f>
        <v>0</v>
      </c>
      <c r="Y499" s="11">
        <f t="array" ref="Y499">XLOOKUP(A:A,'Raw Revenue'!G:G,'Raw Revenue'!H:H,0)</f>
        <v>0</v>
      </c>
      <c r="Z499" s="11">
        <f t="array" ref="Z499">XLOOKUP(A:A,'Raw Revenue'!I:I,'Raw Revenue'!J:J,0)</f>
        <v>0</v>
      </c>
      <c r="AA499" s="11">
        <f t="array" ref="AA499">XLOOKUP(A:A,'Raw Revenue'!K:K,'Raw Revenue'!L:L,0)</f>
        <v>0</v>
      </c>
      <c r="AB499" s="11">
        <f t="array" ref="AB499">XLOOKUP(A:A,'Raw Revenue'!M:M,'Raw Revenue'!N:N,0)</f>
        <v>0</v>
      </c>
      <c r="AC499" s="3">
        <v>0.0</v>
      </c>
      <c r="AD499" s="3">
        <v>0.0</v>
      </c>
      <c r="AE499" s="3">
        <v>0.0</v>
      </c>
      <c r="AF499" s="3">
        <v>0.0</v>
      </c>
      <c r="AG499" s="3">
        <v>0.0</v>
      </c>
    </row>
    <row r="500">
      <c r="A500" s="3" t="s">
        <v>1263</v>
      </c>
      <c r="B500" s="3" t="s">
        <v>1264</v>
      </c>
      <c r="C500" s="3" t="str">
        <f t="shared" si="1"/>
        <v>PT. Mentari Pagi Sejahtera</v>
      </c>
      <c r="D500" s="3" t="s">
        <v>214</v>
      </c>
      <c r="E500" s="3" t="s">
        <v>187</v>
      </c>
      <c r="F500" s="3" t="s">
        <v>269</v>
      </c>
      <c r="G500" s="3" t="s">
        <v>74</v>
      </c>
      <c r="H500" s="3" t="str">
        <f t="array" ref="H500">XLOOKUP(G:G,'Account Manager Data'!A:A,'Account Manager Data'!B:B,0)</f>
        <v>Budi Santoso</v>
      </c>
      <c r="I500" s="11" t="str">
        <f t="array" ref="I500">XLOOKUP($G:$G,'Account Manager Data'!$A:$A,'Account Manager Data'!C:C)</f>
        <v>Papua</v>
      </c>
      <c r="J500" s="17">
        <v>5190476.0</v>
      </c>
      <c r="K500" s="17">
        <v>2309326.0</v>
      </c>
      <c r="L500" s="17">
        <v>1.0110373E7</v>
      </c>
      <c r="M500" s="17">
        <v>0.0</v>
      </c>
      <c r="N500" s="17">
        <v>1.3145237E7</v>
      </c>
      <c r="O500" s="17">
        <v>8553836.0</v>
      </c>
      <c r="P500" s="17">
        <v>1.099778E7</v>
      </c>
      <c r="Q500" s="17">
        <v>9378283.0</v>
      </c>
      <c r="R500" s="17">
        <v>1.241876E7</v>
      </c>
      <c r="S500" s="17">
        <v>1.4216497E7</v>
      </c>
      <c r="T500" s="17">
        <v>1.3728106E7</v>
      </c>
      <c r="U500" s="17">
        <v>3662371.0</v>
      </c>
      <c r="V500" s="11">
        <f t="array" ref="V500">XLOOKUP(A:A,'Raw Revenue'!A:A,'Raw Revenue'!B:B,0)
</f>
        <v>0</v>
      </c>
      <c r="W500" s="11">
        <f t="array" ref="W500">XLOOKUP(A:A,'Raw Revenue'!C:C,'Raw Revenue'!D:D,0)</f>
        <v>0</v>
      </c>
      <c r="X500" s="11">
        <f t="array" ref="X500">XLOOKUP(A:A,'Raw Revenue'!E:E,'Raw Revenue'!F:F,0)</f>
        <v>0</v>
      </c>
      <c r="Y500" s="11">
        <f t="array" ref="Y500">XLOOKUP(A:A,'Raw Revenue'!G:G,'Raw Revenue'!H:H,0)</f>
        <v>0</v>
      </c>
      <c r="Z500" s="11">
        <f t="array" ref="Z500">XLOOKUP(A:A,'Raw Revenue'!I:I,'Raw Revenue'!J:J,0)</f>
        <v>0</v>
      </c>
      <c r="AA500" s="11">
        <f t="array" ref="AA500">XLOOKUP(A:A,'Raw Revenue'!K:K,'Raw Revenue'!L:L,0)</f>
        <v>0</v>
      </c>
      <c r="AB500" s="11">
        <f t="array" ref="AB500">XLOOKUP(A:A,'Raw Revenue'!M:M,'Raw Revenue'!N:N,0)</f>
        <v>0</v>
      </c>
      <c r="AC500" s="3">
        <v>0.0</v>
      </c>
      <c r="AD500" s="3">
        <v>0.0</v>
      </c>
      <c r="AE500" s="3">
        <v>0.0</v>
      </c>
      <c r="AF500" s="3">
        <v>0.0</v>
      </c>
      <c r="AG500" s="3">
        <v>0.0</v>
      </c>
    </row>
    <row r="501">
      <c r="A501" s="3" t="s">
        <v>1265</v>
      </c>
      <c r="B501" s="3" t="s">
        <v>1266</v>
      </c>
      <c r="C501" s="3" t="str">
        <f t="shared" si="1"/>
        <v>PT. Bintang Kejora Nusantara</v>
      </c>
      <c r="D501" s="3" t="s">
        <v>214</v>
      </c>
      <c r="E501" s="3" t="s">
        <v>187</v>
      </c>
      <c r="F501" s="3" t="s">
        <v>295</v>
      </c>
      <c r="G501" s="3" t="s">
        <v>76</v>
      </c>
      <c r="H501" s="3" t="str">
        <f t="array" ref="H501">XLOOKUP(G:G,'Account Manager Data'!A:A,'Account Manager Data'!B:B,0)</f>
        <v>Teguh Wijaya</v>
      </c>
      <c r="I501" s="11" t="str">
        <f t="array" ref="I501">XLOOKUP($G:$G,'Account Manager Data'!$A:$A,'Account Manager Data'!C:C)</f>
        <v>Sulawesi</v>
      </c>
      <c r="J501" s="17">
        <v>3985815.0</v>
      </c>
      <c r="K501" s="17">
        <v>179487.0</v>
      </c>
      <c r="L501" s="17">
        <v>0.0</v>
      </c>
      <c r="M501" s="17">
        <v>9903046.0</v>
      </c>
      <c r="N501" s="17">
        <v>888721.0</v>
      </c>
      <c r="O501" s="17">
        <v>3633919.0</v>
      </c>
      <c r="P501" s="17">
        <v>1.4018159E7</v>
      </c>
      <c r="Q501" s="17">
        <v>6844350.0</v>
      </c>
      <c r="R501" s="17">
        <v>2875626.0</v>
      </c>
      <c r="S501" s="17">
        <v>1.5456888E7</v>
      </c>
      <c r="T501" s="17">
        <v>1.5668758E7</v>
      </c>
      <c r="U501" s="17">
        <v>9680422.0</v>
      </c>
      <c r="V501" s="11">
        <f t="array" ref="V501">XLOOKUP(A:A,'Raw Revenue'!A:A,'Raw Revenue'!B:B,0)
</f>
        <v>0</v>
      </c>
      <c r="W501" s="11">
        <f t="array" ref="W501">XLOOKUP(A:A,'Raw Revenue'!C:C,'Raw Revenue'!D:D,0)</f>
        <v>0</v>
      </c>
      <c r="X501" s="11">
        <f t="array" ref="X501">XLOOKUP(A:A,'Raw Revenue'!E:E,'Raw Revenue'!F:F,0)</f>
        <v>0</v>
      </c>
      <c r="Y501" s="11">
        <f t="array" ref="Y501">XLOOKUP(A:A,'Raw Revenue'!G:G,'Raw Revenue'!H:H,0)</f>
        <v>0</v>
      </c>
      <c r="Z501" s="11">
        <f t="array" ref="Z501">XLOOKUP(A:A,'Raw Revenue'!I:I,'Raw Revenue'!J:J,0)</f>
        <v>0</v>
      </c>
      <c r="AA501" s="11">
        <f t="array" ref="AA501">XLOOKUP(A:A,'Raw Revenue'!K:K,'Raw Revenue'!L:L,0)</f>
        <v>0</v>
      </c>
      <c r="AB501" s="11">
        <f t="array" ref="AB501">XLOOKUP(A:A,'Raw Revenue'!M:M,'Raw Revenue'!N:N,0)</f>
        <v>0</v>
      </c>
      <c r="AC501" s="3">
        <v>0.0</v>
      </c>
      <c r="AD501" s="3">
        <v>0.0</v>
      </c>
      <c r="AE501" s="3">
        <v>0.0</v>
      </c>
      <c r="AF501" s="3">
        <v>0.0</v>
      </c>
      <c r="AG501" s="3">
        <v>0.0</v>
      </c>
    </row>
    <row r="502">
      <c r="A502" s="3" t="s">
        <v>1267</v>
      </c>
      <c r="B502" s="3" t="s">
        <v>1268</v>
      </c>
      <c r="C502" s="3" t="str">
        <f t="shared" si="1"/>
        <v>PT. Maju Jaya</v>
      </c>
      <c r="D502" s="3" t="s">
        <v>186</v>
      </c>
      <c r="E502" s="3" t="s">
        <v>187</v>
      </c>
      <c r="F502" s="3" t="s">
        <v>295</v>
      </c>
      <c r="G502" s="3" t="s">
        <v>70</v>
      </c>
      <c r="H502" s="3" t="str">
        <f t="array" ref="H502">XLOOKUP(G:G,'Account Manager Data'!A:A,'Account Manager Data'!B:B,0)</f>
        <v>Yusuf Hidayat</v>
      </c>
      <c r="I502" s="11" t="str">
        <f t="array" ref="I502">XLOOKUP($G:$G,'Account Manager Data'!$A:$A,'Account Manager Data'!C:C)</f>
        <v>Sumatera</v>
      </c>
      <c r="J502" s="17">
        <v>7547809.0</v>
      </c>
      <c r="K502" s="17">
        <v>1709295.0</v>
      </c>
      <c r="L502" s="17">
        <v>9876851.0</v>
      </c>
      <c r="M502" s="17">
        <v>8861642.0</v>
      </c>
      <c r="N502" s="17">
        <v>650459.0</v>
      </c>
      <c r="O502" s="17">
        <v>1.2263198E7</v>
      </c>
      <c r="P502" s="17">
        <v>3985037.0</v>
      </c>
      <c r="Q502" s="17">
        <v>4113905.0</v>
      </c>
      <c r="R502" s="17">
        <v>7481935.0</v>
      </c>
      <c r="S502" s="17">
        <v>1.0523752E7</v>
      </c>
      <c r="T502" s="17">
        <v>1.8941997E7</v>
      </c>
      <c r="U502" s="17">
        <v>1.3409113E7</v>
      </c>
      <c r="V502" s="11">
        <f t="array" ref="V502">XLOOKUP(A:A,'Raw Revenue'!A:A,'Raw Revenue'!B:B,0)
</f>
        <v>0</v>
      </c>
      <c r="W502" s="11">
        <f t="array" ref="W502">XLOOKUP(A:A,'Raw Revenue'!C:C,'Raw Revenue'!D:D,0)</f>
        <v>0</v>
      </c>
      <c r="X502" s="11">
        <f t="array" ref="X502">XLOOKUP(A:A,'Raw Revenue'!E:E,'Raw Revenue'!F:F,0)</f>
        <v>0</v>
      </c>
      <c r="Y502" s="11">
        <f t="array" ref="Y502">XLOOKUP(A:A,'Raw Revenue'!G:G,'Raw Revenue'!H:H,0)</f>
        <v>0</v>
      </c>
      <c r="Z502" s="11">
        <f t="array" ref="Z502">XLOOKUP(A:A,'Raw Revenue'!I:I,'Raw Revenue'!J:J,0)</f>
        <v>0</v>
      </c>
      <c r="AA502" s="11">
        <f t="array" ref="AA502">XLOOKUP(A:A,'Raw Revenue'!K:K,'Raw Revenue'!L:L,0)</f>
        <v>0</v>
      </c>
      <c r="AB502" s="11">
        <f t="array" ref="AB502">XLOOKUP(A:A,'Raw Revenue'!M:M,'Raw Revenue'!N:N,0)</f>
        <v>0</v>
      </c>
      <c r="AC502" s="3">
        <v>0.0</v>
      </c>
      <c r="AD502" s="3">
        <v>0.0</v>
      </c>
      <c r="AE502" s="3">
        <v>0.0</v>
      </c>
      <c r="AF502" s="3">
        <v>0.0</v>
      </c>
      <c r="AG502" s="3">
        <v>0.0</v>
      </c>
    </row>
    <row r="503">
      <c r="A503" s="3" t="s">
        <v>108</v>
      </c>
      <c r="B503" s="3" t="s">
        <v>1269</v>
      </c>
      <c r="C503" s="3" t="str">
        <f t="shared" si="1"/>
        <v>CV. Sumber Makmur</v>
      </c>
      <c r="D503" s="3" t="s">
        <v>103</v>
      </c>
      <c r="E503" s="3" t="s">
        <v>196</v>
      </c>
      <c r="F503" s="3" t="s">
        <v>315</v>
      </c>
      <c r="G503" s="3" t="s">
        <v>15</v>
      </c>
      <c r="H503" s="3" t="str">
        <f t="array" ref="H503">XLOOKUP(G:G,'Account Manager Data'!A:A,'Account Manager Data'!B:B,0)</f>
        <v>Rizky Maulana</v>
      </c>
      <c r="I503" s="11" t="str">
        <f t="array" ref="I503">XLOOKUP($G:$G,'Account Manager Data'!$A:$A,'Account Manager Data'!C:C)</f>
        <v>Jawa</v>
      </c>
      <c r="J503" s="17">
        <v>4950476.0</v>
      </c>
      <c r="K503" s="83">
        <v>7529412.0</v>
      </c>
      <c r="L503" s="84">
        <v>6072289.0</v>
      </c>
      <c r="M503" s="84">
        <v>3428571.0</v>
      </c>
      <c r="N503" s="84">
        <v>1.2816901E7</v>
      </c>
      <c r="O503" s="17">
        <v>1.1944937E7</v>
      </c>
      <c r="P503" s="84">
        <v>3.0172414E7</v>
      </c>
      <c r="Q503" s="84">
        <v>1.78431373E8</v>
      </c>
      <c r="R503" s="17">
        <v>1.4998235E7</v>
      </c>
      <c r="S503" s="17">
        <v>1.1211154E7</v>
      </c>
      <c r="T503" s="17">
        <v>1.7494768E7</v>
      </c>
      <c r="U503" s="17">
        <v>1555204.0</v>
      </c>
      <c r="V503" s="85">
        <f t="array" ref="V503">XLOOKUP(A:A,'Raw Revenue'!A:A,'Raw Revenue'!B:B,0)
</f>
        <v>4900000</v>
      </c>
      <c r="W503" s="22">
        <f t="array" ref="W503">XLOOKUP(A:A,'Raw Revenue'!C:C,'Raw Revenue'!D:D,0)</f>
        <v>7529412</v>
      </c>
      <c r="X503" s="22">
        <f t="array" ref="X503">XLOOKUP(A:A,'Raw Revenue'!E:E,'Raw Revenue'!F:F,0)</f>
        <v>6072289</v>
      </c>
      <c r="Y503" s="22">
        <f t="array" ref="Y503">XLOOKUP(A:A,'Raw Revenue'!G:G,'Raw Revenue'!H:H,0)</f>
        <v>3428571</v>
      </c>
      <c r="Z503" s="22">
        <f t="array" ref="Z503">XLOOKUP(A:A,'Raw Revenue'!I:I,'Raw Revenue'!J:J,0)</f>
        <v>12816901</v>
      </c>
      <c r="AA503" s="22">
        <f t="array" ref="AA503">XLOOKUP(A:A,'Raw Revenue'!K:K,'Raw Revenue'!L:L,0)</f>
        <v>11944937</v>
      </c>
      <c r="AB503" s="22">
        <f t="array" ref="AB503">XLOOKUP(A:A,'Raw Revenue'!M:M,'Raw Revenue'!N:N,0)</f>
        <v>30172414</v>
      </c>
      <c r="AC503" s="3">
        <v>0.0</v>
      </c>
      <c r="AD503" s="3">
        <v>0.0</v>
      </c>
      <c r="AE503" s="3">
        <v>0.0</v>
      </c>
      <c r="AF503" s="3">
        <v>0.0</v>
      </c>
      <c r="AG503" s="3">
        <v>0.0</v>
      </c>
    </row>
    <row r="504">
      <c r="A504" s="3" t="s">
        <v>1270</v>
      </c>
      <c r="B504" s="3" t="s">
        <v>1271</v>
      </c>
      <c r="C504" s="3" t="str">
        <f t="shared" si="1"/>
        <v>PT. Teknologi Nusantara</v>
      </c>
      <c r="D504" s="3" t="s">
        <v>186</v>
      </c>
      <c r="E504" s="3" t="s">
        <v>215</v>
      </c>
      <c r="F504" s="3" t="s">
        <v>227</v>
      </c>
      <c r="G504" s="3" t="s">
        <v>27</v>
      </c>
      <c r="H504" s="3" t="str">
        <f t="array" ref="H504">XLOOKUP(G:G,'Account Manager Data'!A:A,'Account Manager Data'!B:B,0)</f>
        <v>Dedi Kurniawan</v>
      </c>
      <c r="I504" s="11" t="str">
        <f t="array" ref="I504">XLOOKUP($G:$G,'Account Manager Data'!$A:$A,'Account Manager Data'!C:C)</f>
        <v>Kalimantan</v>
      </c>
      <c r="J504" s="17">
        <v>4529169.0</v>
      </c>
      <c r="K504" s="17">
        <v>3867141.0</v>
      </c>
      <c r="L504" s="17">
        <v>9506969.0</v>
      </c>
      <c r="M504" s="17">
        <v>6602309.0</v>
      </c>
      <c r="N504" s="17">
        <v>4529551.0</v>
      </c>
      <c r="O504" s="17">
        <v>7392693.0</v>
      </c>
      <c r="P504" s="17">
        <v>5295049.0</v>
      </c>
      <c r="Q504" s="17">
        <v>6696989.0</v>
      </c>
      <c r="R504" s="17">
        <v>7909417.0</v>
      </c>
      <c r="S504" s="17">
        <v>3399631.0</v>
      </c>
      <c r="T504" s="17">
        <v>9230261.0</v>
      </c>
      <c r="U504" s="17">
        <v>1.0842719E7</v>
      </c>
      <c r="V504" s="11">
        <f t="array" ref="V504">XLOOKUP(A:A,'Raw Revenue'!A:A,'Raw Revenue'!B:B,0)
</f>
        <v>0</v>
      </c>
      <c r="W504" s="11">
        <f t="array" ref="W504">XLOOKUP(A:A,'Raw Revenue'!C:C,'Raw Revenue'!D:D,0)</f>
        <v>0</v>
      </c>
      <c r="X504" s="11">
        <f t="array" ref="X504">XLOOKUP(A:A,'Raw Revenue'!E:E,'Raw Revenue'!F:F,0)</f>
        <v>0</v>
      </c>
      <c r="Y504" s="11">
        <f t="array" ref="Y504">XLOOKUP(A:A,'Raw Revenue'!G:G,'Raw Revenue'!H:H,0)</f>
        <v>0</v>
      </c>
      <c r="Z504" s="11">
        <f t="array" ref="Z504">XLOOKUP(A:A,'Raw Revenue'!I:I,'Raw Revenue'!J:J,0)</f>
        <v>0</v>
      </c>
      <c r="AA504" s="11">
        <f t="array" ref="AA504">XLOOKUP(A:A,'Raw Revenue'!K:K,'Raw Revenue'!L:L,0)</f>
        <v>0</v>
      </c>
      <c r="AB504" s="11">
        <f t="array" ref="AB504">XLOOKUP(A:A,'Raw Revenue'!M:M,'Raw Revenue'!N:N,0)</f>
        <v>0</v>
      </c>
      <c r="AC504" s="3">
        <v>0.0</v>
      </c>
      <c r="AD504" s="3">
        <v>0.0</v>
      </c>
      <c r="AE504" s="3">
        <v>0.0</v>
      </c>
      <c r="AF504" s="3">
        <v>0.0</v>
      </c>
      <c r="AG504" s="3">
        <v>0.0</v>
      </c>
    </row>
    <row r="505">
      <c r="A505" s="3" t="s">
        <v>1272</v>
      </c>
      <c r="B505" s="3" t="s">
        <v>1273</v>
      </c>
      <c r="C505" s="3" t="str">
        <f t="shared" si="1"/>
        <v>PT. Bakti Indonesia</v>
      </c>
      <c r="D505" s="3" t="s">
        <v>195</v>
      </c>
      <c r="E505" s="3" t="s">
        <v>104</v>
      </c>
      <c r="F505" s="3" t="s">
        <v>134</v>
      </c>
      <c r="G505" s="3" t="s">
        <v>78</v>
      </c>
      <c r="H505" s="3" t="str">
        <f t="array" ref="H505">XLOOKUP(G:G,'Account Manager Data'!A:A,'Account Manager Data'!B:B,0)</f>
        <v>Ilham Saputra</v>
      </c>
      <c r="I505" s="11" t="str">
        <f t="array" ref="I505">XLOOKUP($G:$G,'Account Manager Data'!$A:$A,'Account Manager Data'!C:C)</f>
        <v>Jawa</v>
      </c>
      <c r="J505" s="17">
        <v>3996484.0</v>
      </c>
      <c r="K505" s="17">
        <v>679389.0</v>
      </c>
      <c r="L505" s="17">
        <v>4708394.0</v>
      </c>
      <c r="M505" s="17">
        <v>467680.0</v>
      </c>
      <c r="N505" s="17">
        <v>1.4195707E7</v>
      </c>
      <c r="O505" s="17">
        <v>1240971.0</v>
      </c>
      <c r="P505" s="17">
        <v>7345735.0</v>
      </c>
      <c r="Q505" s="17">
        <v>7452871.0</v>
      </c>
      <c r="R505" s="17">
        <v>1.3394954E7</v>
      </c>
      <c r="S505" s="17">
        <v>695091.0</v>
      </c>
      <c r="T505" s="17">
        <v>5193470.0</v>
      </c>
      <c r="U505" s="17">
        <v>8962935.0</v>
      </c>
      <c r="V505" s="11">
        <f t="array" ref="V505">XLOOKUP(A:A,'Raw Revenue'!A:A,'Raw Revenue'!B:B,0)
</f>
        <v>0</v>
      </c>
      <c r="W505" s="11">
        <f t="array" ref="W505">XLOOKUP(A:A,'Raw Revenue'!C:C,'Raw Revenue'!D:D,0)</f>
        <v>0</v>
      </c>
      <c r="X505" s="11">
        <f t="array" ref="X505">XLOOKUP(A:A,'Raw Revenue'!E:E,'Raw Revenue'!F:F,0)</f>
        <v>0</v>
      </c>
      <c r="Y505" s="11">
        <f t="array" ref="Y505">XLOOKUP(A:A,'Raw Revenue'!G:G,'Raw Revenue'!H:H,0)</f>
        <v>0</v>
      </c>
      <c r="Z505" s="11">
        <f t="array" ref="Z505">XLOOKUP(A:A,'Raw Revenue'!I:I,'Raw Revenue'!J:J,0)</f>
        <v>0</v>
      </c>
      <c r="AA505" s="11">
        <f t="array" ref="AA505">XLOOKUP(A:A,'Raw Revenue'!K:K,'Raw Revenue'!L:L,0)</f>
        <v>0</v>
      </c>
      <c r="AB505" s="11">
        <f t="array" ref="AB505">XLOOKUP(A:A,'Raw Revenue'!M:M,'Raw Revenue'!N:N,0)</f>
        <v>0</v>
      </c>
      <c r="AC505" s="3">
        <v>0.0</v>
      </c>
      <c r="AD505" s="3">
        <v>0.0</v>
      </c>
      <c r="AE505" s="3">
        <v>0.0</v>
      </c>
      <c r="AF505" s="3">
        <v>0.0</v>
      </c>
      <c r="AG505" s="3">
        <v>0.0</v>
      </c>
    </row>
    <row r="506">
      <c r="A506" s="3" t="s">
        <v>1274</v>
      </c>
      <c r="B506" s="3" t="s">
        <v>1275</v>
      </c>
      <c r="C506" s="3" t="str">
        <f t="shared" si="1"/>
        <v>CV. Amanah Sejahtera</v>
      </c>
      <c r="D506" s="3" t="s">
        <v>130</v>
      </c>
      <c r="E506" s="3" t="s">
        <v>85</v>
      </c>
      <c r="F506" s="3" t="s">
        <v>248</v>
      </c>
      <c r="G506" s="3" t="s">
        <v>53</v>
      </c>
      <c r="H506" s="3" t="str">
        <f t="array" ref="H506">XLOOKUP(G:G,'Account Manager Data'!A:A,'Account Manager Data'!B:B,0)</f>
        <v>Fajar Ramadhan</v>
      </c>
      <c r="I506" s="11" t="str">
        <f t="array" ref="I506">XLOOKUP($G:$G,'Account Manager Data'!$A:$A,'Account Manager Data'!C:C)</f>
        <v>Sulawesi</v>
      </c>
      <c r="J506" s="17">
        <v>2943987.0</v>
      </c>
      <c r="K506" s="17">
        <v>2329154.0</v>
      </c>
      <c r="L506" s="17">
        <v>2912070.0</v>
      </c>
      <c r="M506" s="17">
        <v>7787376.0</v>
      </c>
      <c r="N506" s="17">
        <v>5212239.0</v>
      </c>
      <c r="O506" s="17">
        <v>8216415.0</v>
      </c>
      <c r="P506" s="17">
        <v>842044.0</v>
      </c>
      <c r="Q506" s="17">
        <v>276902.0</v>
      </c>
      <c r="R506" s="17">
        <v>7360032.0</v>
      </c>
      <c r="S506" s="17">
        <v>5165355.0</v>
      </c>
      <c r="T506" s="17">
        <v>1.5874531E7</v>
      </c>
      <c r="U506" s="17">
        <v>3037887.0</v>
      </c>
      <c r="V506" s="11">
        <f t="array" ref="V506">XLOOKUP(A:A,'Raw Revenue'!A:A,'Raw Revenue'!B:B,0)
</f>
        <v>0</v>
      </c>
      <c r="W506" s="11">
        <f t="array" ref="W506">XLOOKUP(A:A,'Raw Revenue'!C:C,'Raw Revenue'!D:D,0)</f>
        <v>0</v>
      </c>
      <c r="X506" s="11">
        <f t="array" ref="X506">XLOOKUP(A:A,'Raw Revenue'!E:E,'Raw Revenue'!F:F,0)</f>
        <v>0</v>
      </c>
      <c r="Y506" s="11">
        <f t="array" ref="Y506">XLOOKUP(A:A,'Raw Revenue'!G:G,'Raw Revenue'!H:H,0)</f>
        <v>0</v>
      </c>
      <c r="Z506" s="11">
        <f t="array" ref="Z506">XLOOKUP(A:A,'Raw Revenue'!I:I,'Raw Revenue'!J:J,0)</f>
        <v>0</v>
      </c>
      <c r="AA506" s="11">
        <f t="array" ref="AA506">XLOOKUP(A:A,'Raw Revenue'!K:K,'Raw Revenue'!L:L,0)</f>
        <v>0</v>
      </c>
      <c r="AB506" s="11">
        <f t="array" ref="AB506">XLOOKUP(A:A,'Raw Revenue'!M:M,'Raw Revenue'!N:N,0)</f>
        <v>0</v>
      </c>
      <c r="AC506" s="3">
        <v>0.0</v>
      </c>
      <c r="AD506" s="3">
        <v>0.0</v>
      </c>
      <c r="AE506" s="3">
        <v>0.0</v>
      </c>
      <c r="AF506" s="3">
        <v>0.0</v>
      </c>
      <c r="AG506" s="3">
        <v>0.0</v>
      </c>
    </row>
    <row r="507">
      <c r="A507" s="3" t="s">
        <v>1276</v>
      </c>
      <c r="B507" s="3" t="s">
        <v>1277</v>
      </c>
      <c r="C507" s="3" t="str">
        <f t="shared" si="1"/>
        <v>PT. Digital Solusi Pratama</v>
      </c>
      <c r="D507" s="3" t="s">
        <v>130</v>
      </c>
      <c r="E507" s="3" t="s">
        <v>196</v>
      </c>
      <c r="F507" s="3" t="s">
        <v>260</v>
      </c>
      <c r="G507" s="3" t="s">
        <v>63</v>
      </c>
      <c r="H507" s="3" t="str">
        <f t="array" ref="H507">XLOOKUP(G:G,'Account Manager Data'!A:A,'Account Manager Data'!B:B,0)</f>
        <v>Hendra Gunawan</v>
      </c>
      <c r="I507" s="11" t="str">
        <f t="array" ref="I507">XLOOKUP($G:$G,'Account Manager Data'!$A:$A,'Account Manager Data'!C:C)</f>
        <v>Kalimantan</v>
      </c>
      <c r="J507" s="17">
        <v>6115005.0</v>
      </c>
      <c r="K507" s="17">
        <v>7068946.0</v>
      </c>
      <c r="L507" s="17">
        <v>6231809.0</v>
      </c>
      <c r="M507" s="17">
        <v>9234306.0</v>
      </c>
      <c r="N507" s="17">
        <v>7051119.0</v>
      </c>
      <c r="O507" s="17">
        <v>4772319.0</v>
      </c>
      <c r="P507" s="17">
        <v>1.0545866E7</v>
      </c>
      <c r="Q507" s="17">
        <v>1.5634563E7</v>
      </c>
      <c r="R507" s="17">
        <v>8397455.0</v>
      </c>
      <c r="S507" s="17">
        <v>1436679.0</v>
      </c>
      <c r="T507" s="17">
        <v>0.0</v>
      </c>
      <c r="U507" s="17">
        <v>1.1743355E7</v>
      </c>
      <c r="V507" s="11">
        <f t="array" ref="V507">XLOOKUP(A:A,'Raw Revenue'!A:A,'Raw Revenue'!B:B,0)
</f>
        <v>0</v>
      </c>
      <c r="W507" s="11">
        <f t="array" ref="W507">XLOOKUP(A:A,'Raw Revenue'!C:C,'Raw Revenue'!D:D,0)</f>
        <v>0</v>
      </c>
      <c r="X507" s="11">
        <f t="array" ref="X507">XLOOKUP(A:A,'Raw Revenue'!E:E,'Raw Revenue'!F:F,0)</f>
        <v>0</v>
      </c>
      <c r="Y507" s="11">
        <f t="array" ref="Y507">XLOOKUP(A:A,'Raw Revenue'!G:G,'Raw Revenue'!H:H,0)</f>
        <v>0</v>
      </c>
      <c r="Z507" s="11">
        <f t="array" ref="Z507">XLOOKUP(A:A,'Raw Revenue'!I:I,'Raw Revenue'!J:J,0)</f>
        <v>0</v>
      </c>
      <c r="AA507" s="11">
        <f t="array" ref="AA507">XLOOKUP(A:A,'Raw Revenue'!K:K,'Raw Revenue'!L:L,0)</f>
        <v>0</v>
      </c>
      <c r="AB507" s="11">
        <f t="array" ref="AB507">XLOOKUP(A:A,'Raw Revenue'!M:M,'Raw Revenue'!N:N,0)</f>
        <v>0</v>
      </c>
      <c r="AC507" s="3">
        <v>0.0</v>
      </c>
      <c r="AD507" s="3">
        <v>0.0</v>
      </c>
      <c r="AE507" s="3">
        <v>0.0</v>
      </c>
      <c r="AF507" s="3">
        <v>0.0</v>
      </c>
      <c r="AG507" s="3">
        <v>0.0</v>
      </c>
    </row>
    <row r="508">
      <c r="A508" s="3" t="s">
        <v>1278</v>
      </c>
      <c r="B508" s="3" t="s">
        <v>1279</v>
      </c>
      <c r="C508" s="3" t="str">
        <f t="shared" si="1"/>
        <v>PT. Global Niaga Abadi</v>
      </c>
      <c r="D508" s="3" t="s">
        <v>195</v>
      </c>
      <c r="E508" s="3" t="s">
        <v>187</v>
      </c>
      <c r="F508" s="3" t="s">
        <v>188</v>
      </c>
      <c r="G508" s="3" t="s">
        <v>35</v>
      </c>
      <c r="H508" s="3" t="str">
        <f t="array" ref="H508">XLOOKUP(G:G,'Account Manager Data'!A:A,'Account Manager Data'!B:B,0)</f>
        <v>Ahmad Fauzi</v>
      </c>
      <c r="I508" s="11" t="str">
        <f t="array" ref="I508">XLOOKUP($G:$G,'Account Manager Data'!$A:$A,'Account Manager Data'!C:C)</f>
        <v>Sumatera</v>
      </c>
      <c r="J508" s="17">
        <v>3611438.0</v>
      </c>
      <c r="K508" s="17">
        <v>7034457.0</v>
      </c>
      <c r="L508" s="17">
        <v>9516916.0</v>
      </c>
      <c r="M508" s="17">
        <v>459594.0</v>
      </c>
      <c r="N508" s="17">
        <v>1.3241699E7</v>
      </c>
      <c r="O508" s="17">
        <v>4305259.0</v>
      </c>
      <c r="P508" s="17">
        <v>1.5140615E7</v>
      </c>
      <c r="Q508" s="17">
        <v>0.0</v>
      </c>
      <c r="R508" s="17">
        <v>8125049.0</v>
      </c>
      <c r="S508" s="17">
        <v>0.0</v>
      </c>
      <c r="T508" s="17">
        <v>5648383.0</v>
      </c>
      <c r="U508" s="17">
        <v>6987593.0</v>
      </c>
      <c r="V508" s="11">
        <f t="array" ref="V508">XLOOKUP(A:A,'Raw Revenue'!A:A,'Raw Revenue'!B:B,0)
</f>
        <v>0</v>
      </c>
      <c r="W508" s="11">
        <f t="array" ref="W508">XLOOKUP(A:A,'Raw Revenue'!C:C,'Raw Revenue'!D:D,0)</f>
        <v>0</v>
      </c>
      <c r="X508" s="11">
        <f t="array" ref="X508">XLOOKUP(A:A,'Raw Revenue'!E:E,'Raw Revenue'!F:F,0)</f>
        <v>0</v>
      </c>
      <c r="Y508" s="11">
        <f t="array" ref="Y508">XLOOKUP(A:A,'Raw Revenue'!G:G,'Raw Revenue'!H:H,0)</f>
        <v>0</v>
      </c>
      <c r="Z508" s="11">
        <f t="array" ref="Z508">XLOOKUP(A:A,'Raw Revenue'!I:I,'Raw Revenue'!J:J,0)</f>
        <v>0</v>
      </c>
      <c r="AA508" s="11">
        <f t="array" ref="AA508">XLOOKUP(A:A,'Raw Revenue'!K:K,'Raw Revenue'!L:L,0)</f>
        <v>0</v>
      </c>
      <c r="AB508" s="11">
        <f t="array" ref="AB508">XLOOKUP(A:A,'Raw Revenue'!M:M,'Raw Revenue'!N:N,0)</f>
        <v>0</v>
      </c>
      <c r="AC508" s="3">
        <v>0.0</v>
      </c>
      <c r="AD508" s="3">
        <v>0.0</v>
      </c>
      <c r="AE508" s="3">
        <v>0.0</v>
      </c>
      <c r="AF508" s="3">
        <v>0.0</v>
      </c>
      <c r="AG508" s="3">
        <v>0.0</v>
      </c>
    </row>
    <row r="509">
      <c r="A509" s="3" t="s">
        <v>386</v>
      </c>
      <c r="B509" s="3" t="s">
        <v>1280</v>
      </c>
      <c r="C509" s="3" t="str">
        <f t="shared" si="1"/>
        <v>PT. Indo Makmur Sentosa</v>
      </c>
      <c r="D509" s="3" t="s">
        <v>103</v>
      </c>
      <c r="E509" s="3" t="s">
        <v>104</v>
      </c>
      <c r="F509" s="3" t="s">
        <v>134</v>
      </c>
      <c r="G509" s="3" t="s">
        <v>74</v>
      </c>
      <c r="H509" s="3" t="str">
        <f t="array" ref="H509">XLOOKUP(G:G,'Account Manager Data'!A:A,'Account Manager Data'!B:B,0)</f>
        <v>Budi Santoso</v>
      </c>
      <c r="I509" s="11" t="str">
        <f t="array" ref="I509">XLOOKUP($G:$G,'Account Manager Data'!$A:$A,'Account Manager Data'!C:C)</f>
        <v>Papua</v>
      </c>
      <c r="J509" s="17">
        <v>3444507.0</v>
      </c>
      <c r="K509" s="17">
        <v>5054876.0</v>
      </c>
      <c r="L509" s="17">
        <v>6371910.0</v>
      </c>
      <c r="M509" s="17">
        <v>3173773.0</v>
      </c>
      <c r="N509" s="17">
        <v>4783465.0</v>
      </c>
      <c r="O509" s="17">
        <v>3825192.0</v>
      </c>
      <c r="P509" s="17">
        <v>5679179.0</v>
      </c>
      <c r="Q509" s="17">
        <v>1.157615E7</v>
      </c>
      <c r="R509" s="17">
        <v>1896433.0</v>
      </c>
      <c r="S509" s="17">
        <v>1.1283447E7</v>
      </c>
      <c r="T509" s="17">
        <v>8856916.0</v>
      </c>
      <c r="U509" s="17">
        <v>4454240.0</v>
      </c>
      <c r="V509" s="11">
        <f t="array" ref="V509">XLOOKUP(A:A,'Raw Revenue'!A:A,'Raw Revenue'!B:B,0)
</f>
        <v>1172548.931</v>
      </c>
      <c r="W509" s="11">
        <f t="array" ref="W509">XLOOKUP(A:A,'Raw Revenue'!C:C,'Raw Revenue'!D:D,0)</f>
        <v>586274.4656</v>
      </c>
      <c r="X509" s="11">
        <f t="array" ref="X509">XLOOKUP(A:A,'Raw Revenue'!E:E,'Raw Revenue'!F:F,0)</f>
        <v>351764.6794</v>
      </c>
      <c r="Y509" s="11">
        <f t="array" ref="Y509">XLOOKUP(A:A,'Raw Revenue'!G:G,'Raw Revenue'!H:H,0)</f>
        <v>4103921.259</v>
      </c>
      <c r="Z509" s="11">
        <f t="array" ref="Z509">XLOOKUP(A:A,'Raw Revenue'!I:I,'Raw Revenue'!J:J,0)</f>
        <v>938039.145</v>
      </c>
      <c r="AA509" s="11">
        <f t="array" ref="AA509">XLOOKUP(A:A,'Raw Revenue'!K:K,'Raw Revenue'!L:L,0)</f>
        <v>26382.35095</v>
      </c>
      <c r="AB509" s="11">
        <f t="array" ref="AB509">XLOOKUP(A:A,'Raw Revenue'!M:M,'Raw Revenue'!N:N,0)</f>
        <v>3535235.028</v>
      </c>
      <c r="AC509" s="3">
        <v>0.0</v>
      </c>
      <c r="AD509" s="3">
        <v>0.0</v>
      </c>
      <c r="AE509" s="3">
        <v>0.0</v>
      </c>
      <c r="AF509" s="3">
        <v>0.0</v>
      </c>
      <c r="AG509" s="3">
        <v>0.0</v>
      </c>
    </row>
    <row r="510">
      <c r="A510" s="3" t="s">
        <v>249</v>
      </c>
      <c r="B510" s="3" t="s">
        <v>1281</v>
      </c>
      <c r="C510" s="3" t="str">
        <f t="shared" si="1"/>
        <v>PT. Citra Mandiri Utama</v>
      </c>
      <c r="D510" s="3" t="s">
        <v>103</v>
      </c>
      <c r="E510" s="3" t="s">
        <v>85</v>
      </c>
      <c r="F510" s="3" t="s">
        <v>248</v>
      </c>
      <c r="G510" s="3" t="s">
        <v>43</v>
      </c>
      <c r="H510" s="3" t="str">
        <f t="array" ref="H510">XLOOKUP(G:G,'Account Manager Data'!A:A,'Account Manager Data'!B:B,0)</f>
        <v>Eko Prasetyo</v>
      </c>
      <c r="I510" s="11" t="str">
        <f t="array" ref="I510">XLOOKUP($G:$G,'Account Manager Data'!$A:$A,'Account Manager Data'!C:C)</f>
        <v>Papua</v>
      </c>
      <c r="J510" s="17">
        <v>325186.0</v>
      </c>
      <c r="K510" s="17">
        <v>2614859.0</v>
      </c>
      <c r="L510" s="17">
        <v>1943932.0</v>
      </c>
      <c r="M510" s="17">
        <v>4269442.0</v>
      </c>
      <c r="N510" s="17">
        <v>5739186.0</v>
      </c>
      <c r="O510" s="17">
        <v>1.5045206E7</v>
      </c>
      <c r="P510" s="17">
        <v>3361604.0</v>
      </c>
      <c r="Q510" s="17">
        <v>3757506.0</v>
      </c>
      <c r="R510" s="17">
        <v>1.4093438E7</v>
      </c>
      <c r="S510" s="17">
        <v>0.0</v>
      </c>
      <c r="T510" s="17">
        <v>895182.0</v>
      </c>
      <c r="U510" s="17">
        <v>1.6733669E7</v>
      </c>
      <c r="V510" s="11">
        <f t="array" ref="V510">XLOOKUP(A:A,'Raw Revenue'!A:A,'Raw Revenue'!B:B,0)
</f>
        <v>4577759.526</v>
      </c>
      <c r="W510" s="11">
        <f t="array" ref="W510">XLOOKUP(A:A,'Raw Revenue'!C:C,'Raw Revenue'!D:D,0)</f>
        <v>4577759.526</v>
      </c>
      <c r="X510" s="11">
        <f t="array" ref="X510">XLOOKUP(A:A,'Raw Revenue'!E:E,'Raw Revenue'!F:F,0)</f>
        <v>9155519.052</v>
      </c>
      <c r="Y510" s="11">
        <f t="array" ref="Y510">XLOOKUP(A:A,'Raw Revenue'!G:G,'Raw Revenue'!H:H,0)</f>
        <v>7477007.226</v>
      </c>
      <c r="Z510" s="11">
        <f t="array" ref="Z510">XLOOKUP(A:A,'Raw Revenue'!I:I,'Raw Revenue'!J:J,0)</f>
        <v>6714047.305</v>
      </c>
      <c r="AA510" s="11">
        <f t="array" ref="AA510">XLOOKUP(A:A,'Raw Revenue'!K:K,'Raw Revenue'!L:L,0)</f>
        <v>17166598.22</v>
      </c>
      <c r="AB510" s="11">
        <f t="array" ref="AB510">XLOOKUP(A:A,'Raw Revenue'!M:M,'Raw Revenue'!N:N,0)</f>
        <v>15793270.37</v>
      </c>
      <c r="AC510" s="3">
        <v>0.0</v>
      </c>
      <c r="AD510" s="3">
        <v>0.0</v>
      </c>
      <c r="AE510" s="3">
        <v>0.0</v>
      </c>
      <c r="AF510" s="3">
        <v>0.0</v>
      </c>
      <c r="AG510" s="3">
        <v>0.0</v>
      </c>
    </row>
    <row r="511">
      <c r="A511" s="3" t="s">
        <v>1282</v>
      </c>
      <c r="B511" s="3" t="s">
        <v>1283</v>
      </c>
      <c r="C511" s="3" t="str">
        <f t="shared" si="1"/>
        <v>PT. Sinar Dunia Baru</v>
      </c>
      <c r="D511" s="3" t="s">
        <v>214</v>
      </c>
      <c r="E511" s="3" t="s">
        <v>187</v>
      </c>
      <c r="F511" s="3" t="s">
        <v>269</v>
      </c>
      <c r="G511" s="3" t="s">
        <v>76</v>
      </c>
      <c r="H511" s="3" t="str">
        <f t="array" ref="H511">XLOOKUP(G:G,'Account Manager Data'!A:A,'Account Manager Data'!B:B,0)</f>
        <v>Teguh Wijaya</v>
      </c>
      <c r="I511" s="11" t="str">
        <f t="array" ref="I511">XLOOKUP($G:$G,'Account Manager Data'!$A:$A,'Account Manager Data'!C:C)</f>
        <v>Sulawesi</v>
      </c>
      <c r="J511" s="17">
        <v>1538139.0</v>
      </c>
      <c r="K511" s="17">
        <v>2809278.0</v>
      </c>
      <c r="L511" s="17">
        <v>2868052.0</v>
      </c>
      <c r="M511" s="17">
        <v>0.0</v>
      </c>
      <c r="N511" s="17">
        <v>108391.0</v>
      </c>
      <c r="O511" s="17">
        <v>3749802.0</v>
      </c>
      <c r="P511" s="17">
        <v>1.2635347E7</v>
      </c>
      <c r="Q511" s="17">
        <v>9774864.0</v>
      </c>
      <c r="R511" s="17">
        <v>2187646.0</v>
      </c>
      <c r="S511" s="17">
        <v>1.195531E7</v>
      </c>
      <c r="T511" s="17">
        <v>0.0</v>
      </c>
      <c r="U511" s="17">
        <v>1102432.0</v>
      </c>
      <c r="V511" s="11">
        <f t="array" ref="V511">XLOOKUP(A:A,'Raw Revenue'!A:A,'Raw Revenue'!B:B,0)
</f>
        <v>0</v>
      </c>
      <c r="W511" s="11">
        <f t="array" ref="W511">XLOOKUP(A:A,'Raw Revenue'!C:C,'Raw Revenue'!D:D,0)</f>
        <v>0</v>
      </c>
      <c r="X511" s="11">
        <f t="array" ref="X511">XLOOKUP(A:A,'Raw Revenue'!E:E,'Raw Revenue'!F:F,0)</f>
        <v>0</v>
      </c>
      <c r="Y511" s="11">
        <f t="array" ref="Y511">XLOOKUP(A:A,'Raw Revenue'!G:G,'Raw Revenue'!H:H,0)</f>
        <v>0</v>
      </c>
      <c r="Z511" s="11">
        <f t="array" ref="Z511">XLOOKUP(A:A,'Raw Revenue'!I:I,'Raw Revenue'!J:J,0)</f>
        <v>0</v>
      </c>
      <c r="AA511" s="11">
        <f t="array" ref="AA511">XLOOKUP(A:A,'Raw Revenue'!K:K,'Raw Revenue'!L:L,0)</f>
        <v>0</v>
      </c>
      <c r="AB511" s="11">
        <f t="array" ref="AB511">XLOOKUP(A:A,'Raw Revenue'!M:M,'Raw Revenue'!N:N,0)</f>
        <v>0</v>
      </c>
      <c r="AC511" s="3">
        <v>0.0</v>
      </c>
      <c r="AD511" s="3">
        <v>0.0</v>
      </c>
      <c r="AE511" s="3">
        <v>0.0</v>
      </c>
      <c r="AF511" s="3">
        <v>0.0</v>
      </c>
      <c r="AG511" s="3">
        <v>0.0</v>
      </c>
    </row>
    <row r="512">
      <c r="A512" s="3" t="s">
        <v>1284</v>
      </c>
      <c r="B512" s="3" t="s">
        <v>1285</v>
      </c>
      <c r="C512" s="3" t="str">
        <f t="shared" si="1"/>
        <v>CV. Karya Utama Mandiri</v>
      </c>
      <c r="D512" s="3" t="s">
        <v>214</v>
      </c>
      <c r="E512" s="3" t="s">
        <v>104</v>
      </c>
      <c r="F512" s="3" t="s">
        <v>134</v>
      </c>
      <c r="G512" s="3" t="s">
        <v>70</v>
      </c>
      <c r="H512" s="3" t="str">
        <f t="array" ref="H512">XLOOKUP(G:G,'Account Manager Data'!A:A,'Account Manager Data'!B:B,0)</f>
        <v>Yusuf Hidayat</v>
      </c>
      <c r="I512" s="11" t="str">
        <f t="array" ref="I512">XLOOKUP($G:$G,'Account Manager Data'!$A:$A,'Account Manager Data'!C:C)</f>
        <v>Sumatera</v>
      </c>
      <c r="J512" s="17">
        <v>3973864.0</v>
      </c>
      <c r="K512" s="17">
        <v>3123106.0</v>
      </c>
      <c r="L512" s="17">
        <v>2643459.0</v>
      </c>
      <c r="M512" s="17">
        <v>3881965.0</v>
      </c>
      <c r="N512" s="17">
        <v>4323102.0</v>
      </c>
      <c r="O512" s="17">
        <v>2332044.0</v>
      </c>
      <c r="P512" s="17">
        <v>6078829.0</v>
      </c>
      <c r="Q512" s="17">
        <v>1.1597244E7</v>
      </c>
      <c r="R512" s="17">
        <v>6834295.0</v>
      </c>
      <c r="S512" s="17">
        <v>3620861.0</v>
      </c>
      <c r="T512" s="17">
        <v>8768439.0</v>
      </c>
      <c r="U512" s="17">
        <v>6917895.0</v>
      </c>
      <c r="V512" s="11">
        <f t="array" ref="V512">XLOOKUP(A:A,'Raw Revenue'!A:A,'Raw Revenue'!B:B,0)
</f>
        <v>0</v>
      </c>
      <c r="W512" s="11">
        <f t="array" ref="W512">XLOOKUP(A:A,'Raw Revenue'!C:C,'Raw Revenue'!D:D,0)</f>
        <v>0</v>
      </c>
      <c r="X512" s="11">
        <f t="array" ref="X512">XLOOKUP(A:A,'Raw Revenue'!E:E,'Raw Revenue'!F:F,0)</f>
        <v>0</v>
      </c>
      <c r="Y512" s="11">
        <f t="array" ref="Y512">XLOOKUP(A:A,'Raw Revenue'!G:G,'Raw Revenue'!H:H,0)</f>
        <v>0</v>
      </c>
      <c r="Z512" s="11">
        <f t="array" ref="Z512">XLOOKUP(A:A,'Raw Revenue'!I:I,'Raw Revenue'!J:J,0)</f>
        <v>0</v>
      </c>
      <c r="AA512" s="11">
        <f t="array" ref="AA512">XLOOKUP(A:A,'Raw Revenue'!K:K,'Raw Revenue'!L:L,0)</f>
        <v>0</v>
      </c>
      <c r="AB512" s="11">
        <f t="array" ref="AB512">XLOOKUP(A:A,'Raw Revenue'!M:M,'Raw Revenue'!N:N,0)</f>
        <v>0</v>
      </c>
      <c r="AC512" s="3">
        <v>0.0</v>
      </c>
      <c r="AD512" s="3">
        <v>0.0</v>
      </c>
      <c r="AE512" s="3">
        <v>0.0</v>
      </c>
      <c r="AF512" s="3">
        <v>0.0</v>
      </c>
      <c r="AG512" s="3">
        <v>0.0</v>
      </c>
    </row>
    <row r="513">
      <c r="A513" s="3" t="s">
        <v>1286</v>
      </c>
      <c r="B513" s="3" t="s">
        <v>1287</v>
      </c>
      <c r="C513" s="3" t="str">
        <f t="shared" si="1"/>
        <v>PT. Pratama Jaya Sentosa</v>
      </c>
      <c r="D513" s="3" t="s">
        <v>84</v>
      </c>
      <c r="E513" s="3" t="s">
        <v>104</v>
      </c>
      <c r="F513" s="3" t="s">
        <v>134</v>
      </c>
      <c r="G513" s="3" t="s">
        <v>15</v>
      </c>
      <c r="H513" s="3" t="str">
        <f t="array" ref="H513">XLOOKUP(G:G,'Account Manager Data'!A:A,'Account Manager Data'!B:B,0)</f>
        <v>Rizky Maulana</v>
      </c>
      <c r="I513" s="11" t="str">
        <f t="array" ref="I513">XLOOKUP($G:$G,'Account Manager Data'!$A:$A,'Account Manager Data'!C:C)</f>
        <v>Jawa</v>
      </c>
      <c r="J513" s="17">
        <v>5794242.0</v>
      </c>
      <c r="K513" s="17">
        <v>4618182.0</v>
      </c>
      <c r="L513" s="17">
        <v>6661276.0</v>
      </c>
      <c r="M513" s="17">
        <v>7801221.0</v>
      </c>
      <c r="N513" s="17">
        <v>1.2402358E7</v>
      </c>
      <c r="O513" s="17">
        <v>0.0</v>
      </c>
      <c r="P513" s="17">
        <v>4660402.0</v>
      </c>
      <c r="Q513" s="17">
        <v>1.3947168E7</v>
      </c>
      <c r="R513" s="17">
        <v>2329176.0</v>
      </c>
      <c r="S513" s="17">
        <v>3753254.0</v>
      </c>
      <c r="T513" s="17">
        <v>5413318.0</v>
      </c>
      <c r="U513" s="17">
        <v>3193254.0</v>
      </c>
      <c r="V513" s="11">
        <f t="array" ref="V513">XLOOKUP(A:A,'Raw Revenue'!A:A,'Raw Revenue'!B:B,0)
</f>
        <v>0</v>
      </c>
      <c r="W513" s="11">
        <f t="array" ref="W513">XLOOKUP(A:A,'Raw Revenue'!C:C,'Raw Revenue'!D:D,0)</f>
        <v>0</v>
      </c>
      <c r="X513" s="11">
        <f t="array" ref="X513">XLOOKUP(A:A,'Raw Revenue'!E:E,'Raw Revenue'!F:F,0)</f>
        <v>0</v>
      </c>
      <c r="Y513" s="11">
        <f t="array" ref="Y513">XLOOKUP(A:A,'Raw Revenue'!G:G,'Raw Revenue'!H:H,0)</f>
        <v>0</v>
      </c>
      <c r="Z513" s="11">
        <f t="array" ref="Z513">XLOOKUP(A:A,'Raw Revenue'!I:I,'Raw Revenue'!J:J,0)</f>
        <v>0</v>
      </c>
      <c r="AA513" s="11">
        <f t="array" ref="AA513">XLOOKUP(A:A,'Raw Revenue'!K:K,'Raw Revenue'!L:L,0)</f>
        <v>0</v>
      </c>
      <c r="AB513" s="11">
        <f t="array" ref="AB513">XLOOKUP(A:A,'Raw Revenue'!M:M,'Raw Revenue'!N:N,0)</f>
        <v>0</v>
      </c>
      <c r="AC513" s="3">
        <v>0.0</v>
      </c>
      <c r="AD513" s="3">
        <v>0.0</v>
      </c>
      <c r="AE513" s="3">
        <v>0.0</v>
      </c>
      <c r="AF513" s="3">
        <v>0.0</v>
      </c>
      <c r="AG513" s="3">
        <v>0.0</v>
      </c>
    </row>
    <row r="514">
      <c r="A514" s="3" t="s">
        <v>1288</v>
      </c>
      <c r="B514" s="3" t="s">
        <v>1289</v>
      </c>
      <c r="C514" s="3" t="str">
        <f t="shared" si="1"/>
        <v>PT. Abadi Selamanya Jaya</v>
      </c>
      <c r="D514" s="3" t="s">
        <v>84</v>
      </c>
      <c r="E514" s="3" t="s">
        <v>104</v>
      </c>
      <c r="F514" s="3" t="s">
        <v>105</v>
      </c>
      <c r="G514" s="3" t="s">
        <v>53</v>
      </c>
      <c r="H514" s="3" t="str">
        <f t="array" ref="H514">XLOOKUP(G:G,'Account Manager Data'!A:A,'Account Manager Data'!B:B,0)</f>
        <v>Fajar Ramadhan</v>
      </c>
      <c r="I514" s="11" t="str">
        <f t="array" ref="I514">XLOOKUP($G:$G,'Account Manager Data'!$A:$A,'Account Manager Data'!C:C)</f>
        <v>Sulawesi</v>
      </c>
      <c r="J514" s="17">
        <v>8015528.0</v>
      </c>
      <c r="K514" s="17">
        <v>4127644.0</v>
      </c>
      <c r="L514" s="17">
        <v>9528284.0</v>
      </c>
      <c r="M514" s="17">
        <v>6625998.0</v>
      </c>
      <c r="N514" s="17">
        <v>1.2315851E7</v>
      </c>
      <c r="O514" s="17">
        <v>1.1624916E7</v>
      </c>
      <c r="P514" s="17">
        <v>1.5298402E7</v>
      </c>
      <c r="Q514" s="17">
        <v>3634826.0</v>
      </c>
      <c r="R514" s="17">
        <v>2362414.0</v>
      </c>
      <c r="S514" s="17">
        <v>5692263.0</v>
      </c>
      <c r="T514" s="17">
        <v>6789842.0</v>
      </c>
      <c r="U514" s="17">
        <v>1.0791839E7</v>
      </c>
      <c r="V514" s="11">
        <f t="array" ref="V514">XLOOKUP(A:A,'Raw Revenue'!A:A,'Raw Revenue'!B:B,0)
</f>
        <v>0</v>
      </c>
      <c r="W514" s="11">
        <f t="array" ref="W514">XLOOKUP(A:A,'Raw Revenue'!C:C,'Raw Revenue'!D:D,0)</f>
        <v>0</v>
      </c>
      <c r="X514" s="11">
        <f t="array" ref="X514">XLOOKUP(A:A,'Raw Revenue'!E:E,'Raw Revenue'!F:F,0)</f>
        <v>0</v>
      </c>
      <c r="Y514" s="11">
        <f t="array" ref="Y514">XLOOKUP(A:A,'Raw Revenue'!G:G,'Raw Revenue'!H:H,0)</f>
        <v>0</v>
      </c>
      <c r="Z514" s="11">
        <f t="array" ref="Z514">XLOOKUP(A:A,'Raw Revenue'!I:I,'Raw Revenue'!J:J,0)</f>
        <v>0</v>
      </c>
      <c r="AA514" s="11">
        <f t="array" ref="AA514">XLOOKUP(A:A,'Raw Revenue'!K:K,'Raw Revenue'!L:L,0)</f>
        <v>0</v>
      </c>
      <c r="AB514" s="11">
        <f t="array" ref="AB514">XLOOKUP(A:A,'Raw Revenue'!M:M,'Raw Revenue'!N:N,0)</f>
        <v>0</v>
      </c>
      <c r="AC514" s="3">
        <v>0.0</v>
      </c>
      <c r="AD514" s="3">
        <v>0.0</v>
      </c>
      <c r="AE514" s="3">
        <v>0.0</v>
      </c>
      <c r="AF514" s="3">
        <v>0.0</v>
      </c>
      <c r="AG514" s="3">
        <v>0.0</v>
      </c>
    </row>
    <row r="515">
      <c r="A515" s="3" t="s">
        <v>194</v>
      </c>
      <c r="B515" s="3" t="s">
        <v>1290</v>
      </c>
      <c r="C515" s="3" t="str">
        <f t="shared" si="1"/>
        <v>PT. Mandiri Sejahtera Bersama</v>
      </c>
      <c r="D515" s="3" t="s">
        <v>103</v>
      </c>
      <c r="E515" s="3" t="s">
        <v>85</v>
      </c>
      <c r="F515" s="3" t="s">
        <v>248</v>
      </c>
      <c r="G515" s="3" t="s">
        <v>27</v>
      </c>
      <c r="H515" s="3" t="str">
        <f t="array" ref="H515">XLOOKUP(G:G,'Account Manager Data'!A:A,'Account Manager Data'!B:B,0)</f>
        <v>Dedi Kurniawan</v>
      </c>
      <c r="I515" s="11" t="str">
        <f t="array" ref="I515">XLOOKUP($G:$G,'Account Manager Data'!$A:$A,'Account Manager Data'!C:C)</f>
        <v>Kalimantan</v>
      </c>
      <c r="J515" s="17">
        <v>2794952.0</v>
      </c>
      <c r="K515" s="17">
        <v>6683427.0</v>
      </c>
      <c r="L515" s="17">
        <v>8080419.0</v>
      </c>
      <c r="M515" s="17">
        <v>1.117939E7</v>
      </c>
      <c r="N515" s="17">
        <v>1300585.0</v>
      </c>
      <c r="O515" s="17">
        <v>1.1285932E7</v>
      </c>
      <c r="P515" s="17">
        <v>1637851.0</v>
      </c>
      <c r="Q515" s="17">
        <v>9824840.0</v>
      </c>
      <c r="R515" s="17">
        <v>2658666.0</v>
      </c>
      <c r="S515" s="17">
        <v>9325713.0</v>
      </c>
      <c r="T515" s="17">
        <v>6255973.0</v>
      </c>
      <c r="U515" s="17">
        <v>501604.0</v>
      </c>
      <c r="V515" s="11">
        <f t="array" ref="V515">XLOOKUP(A:A,'Raw Revenue'!A:A,'Raw Revenue'!B:B,0)
</f>
        <v>9746812.991</v>
      </c>
      <c r="W515" s="11">
        <f t="array" ref="W515">XLOOKUP(A:A,'Raw Revenue'!C:C,'Raw Revenue'!D:D,0)</f>
        <v>9746812.991</v>
      </c>
      <c r="X515" s="11">
        <f t="array" ref="X515">XLOOKUP(A:A,'Raw Revenue'!E:E,'Raw Revenue'!F:F,0)</f>
        <v>19493625.98</v>
      </c>
      <c r="Y515" s="11">
        <f t="array" ref="Y515">XLOOKUP(A:A,'Raw Revenue'!G:G,'Raw Revenue'!H:H,0)</f>
        <v>15919794.55</v>
      </c>
      <c r="Z515" s="11">
        <f t="array" ref="Z515">XLOOKUP(A:A,'Raw Revenue'!I:I,'Raw Revenue'!J:J,0)</f>
        <v>14295325.72</v>
      </c>
      <c r="AA515" s="11">
        <f t="array" ref="AA515">XLOOKUP(A:A,'Raw Revenue'!K:K,'Raw Revenue'!L:L,0)</f>
        <v>36550548.72</v>
      </c>
      <c r="AB515" s="11">
        <f t="array" ref="AB515">XLOOKUP(A:A,'Raw Revenue'!M:M,'Raw Revenue'!N:N,0)</f>
        <v>33626504.82</v>
      </c>
      <c r="AC515" s="3">
        <v>0.0</v>
      </c>
      <c r="AD515" s="3">
        <v>0.0</v>
      </c>
      <c r="AE515" s="3">
        <v>0.0</v>
      </c>
      <c r="AF515" s="3">
        <v>0.0</v>
      </c>
      <c r="AG515" s="3">
        <v>0.0</v>
      </c>
    </row>
    <row r="516">
      <c r="A516" s="3" t="s">
        <v>1291</v>
      </c>
      <c r="B516" s="3" t="s">
        <v>1292</v>
      </c>
      <c r="C516" s="3" t="str">
        <f t="shared" si="1"/>
        <v>PT. Sejahtera Alam Indonesia</v>
      </c>
      <c r="D516" s="3" t="s">
        <v>214</v>
      </c>
      <c r="E516" s="3" t="s">
        <v>215</v>
      </c>
      <c r="F516" s="3" t="s">
        <v>216</v>
      </c>
      <c r="G516" s="3" t="s">
        <v>78</v>
      </c>
      <c r="H516" s="3" t="str">
        <f t="array" ref="H516">XLOOKUP(G:G,'Account Manager Data'!A:A,'Account Manager Data'!B:B,0)</f>
        <v>Ilham Saputra</v>
      </c>
      <c r="I516" s="11" t="str">
        <f t="array" ref="I516">XLOOKUP($G:$G,'Account Manager Data'!$A:$A,'Account Manager Data'!C:C)</f>
        <v>Jawa</v>
      </c>
      <c r="J516" s="17">
        <v>5549282.0</v>
      </c>
      <c r="K516" s="17">
        <v>5884837.0</v>
      </c>
      <c r="L516" s="17">
        <v>1.0493225E7</v>
      </c>
      <c r="M516" s="17">
        <v>8162891.0</v>
      </c>
      <c r="N516" s="17">
        <v>0.0</v>
      </c>
      <c r="O516" s="17">
        <v>1.0493518E7</v>
      </c>
      <c r="P516" s="17">
        <v>6353722.0</v>
      </c>
      <c r="Q516" s="17">
        <v>1834812.0</v>
      </c>
      <c r="R516" s="17">
        <v>5426642.0</v>
      </c>
      <c r="S516" s="17">
        <v>6412371.0</v>
      </c>
      <c r="T516" s="17">
        <v>5384531.0</v>
      </c>
      <c r="U516" s="17">
        <v>6916651.0</v>
      </c>
      <c r="V516" s="11">
        <f t="array" ref="V516">XLOOKUP(A:A,'Raw Revenue'!A:A,'Raw Revenue'!B:B,0)
</f>
        <v>0</v>
      </c>
      <c r="W516" s="11">
        <f t="array" ref="W516">XLOOKUP(A:A,'Raw Revenue'!C:C,'Raw Revenue'!D:D,0)</f>
        <v>0</v>
      </c>
      <c r="X516" s="11">
        <f t="array" ref="X516">XLOOKUP(A:A,'Raw Revenue'!E:E,'Raw Revenue'!F:F,0)</f>
        <v>0</v>
      </c>
      <c r="Y516" s="11">
        <f t="array" ref="Y516">XLOOKUP(A:A,'Raw Revenue'!G:G,'Raw Revenue'!H:H,0)</f>
        <v>0</v>
      </c>
      <c r="Z516" s="11">
        <f t="array" ref="Z516">XLOOKUP(A:A,'Raw Revenue'!I:I,'Raw Revenue'!J:J,0)</f>
        <v>0</v>
      </c>
      <c r="AA516" s="11">
        <f t="array" ref="AA516">XLOOKUP(A:A,'Raw Revenue'!K:K,'Raw Revenue'!L:L,0)</f>
        <v>0</v>
      </c>
      <c r="AB516" s="11">
        <f t="array" ref="AB516">XLOOKUP(A:A,'Raw Revenue'!M:M,'Raw Revenue'!N:N,0)</f>
        <v>0</v>
      </c>
      <c r="AC516" s="3">
        <v>0.0</v>
      </c>
      <c r="AD516" s="3">
        <v>0.0</v>
      </c>
      <c r="AE516" s="3">
        <v>0.0</v>
      </c>
      <c r="AF516" s="3">
        <v>0.0</v>
      </c>
      <c r="AG516" s="3">
        <v>0.0</v>
      </c>
    </row>
    <row r="517">
      <c r="A517" s="3" t="s">
        <v>1293</v>
      </c>
      <c r="B517" s="3" t="s">
        <v>1294</v>
      </c>
      <c r="C517" s="3" t="str">
        <f t="shared" si="1"/>
        <v>PT. Indah Kargo Logistik</v>
      </c>
      <c r="D517" s="3" t="s">
        <v>195</v>
      </c>
      <c r="E517" s="3" t="s">
        <v>104</v>
      </c>
      <c r="F517" s="3" t="s">
        <v>252</v>
      </c>
      <c r="G517" s="3" t="s">
        <v>63</v>
      </c>
      <c r="H517" s="3" t="str">
        <f t="array" ref="H517">XLOOKUP(G:G,'Account Manager Data'!A:A,'Account Manager Data'!B:B,0)</f>
        <v>Hendra Gunawan</v>
      </c>
      <c r="I517" s="11" t="str">
        <f t="array" ref="I517">XLOOKUP($G:$G,'Account Manager Data'!$A:$A,'Account Manager Data'!C:C)</f>
        <v>Kalimantan</v>
      </c>
      <c r="J517" s="17">
        <v>2715247.0</v>
      </c>
      <c r="K517" s="17">
        <v>2599203.0</v>
      </c>
      <c r="L517" s="17">
        <v>767039.0</v>
      </c>
      <c r="M517" s="17">
        <v>9811990.0</v>
      </c>
      <c r="N517" s="17">
        <v>8197374.0</v>
      </c>
      <c r="O517" s="17">
        <v>0.0</v>
      </c>
      <c r="P517" s="17">
        <v>1.5942269E7</v>
      </c>
      <c r="Q517" s="17">
        <v>1.0759485E7</v>
      </c>
      <c r="R517" s="17">
        <v>1.7122666E7</v>
      </c>
      <c r="S517" s="17">
        <v>8586448.0</v>
      </c>
      <c r="T517" s="17">
        <v>1.0930463E7</v>
      </c>
      <c r="U517" s="17">
        <v>2762387.0</v>
      </c>
      <c r="V517" s="11">
        <f t="array" ref="V517">XLOOKUP(A:A,'Raw Revenue'!A:A,'Raw Revenue'!B:B,0)
</f>
        <v>0</v>
      </c>
      <c r="W517" s="11">
        <f t="array" ref="W517">XLOOKUP(A:A,'Raw Revenue'!C:C,'Raw Revenue'!D:D,0)</f>
        <v>0</v>
      </c>
      <c r="X517" s="11">
        <f t="array" ref="X517">XLOOKUP(A:A,'Raw Revenue'!E:E,'Raw Revenue'!F:F,0)</f>
        <v>0</v>
      </c>
      <c r="Y517" s="11">
        <f t="array" ref="Y517">XLOOKUP(A:A,'Raw Revenue'!G:G,'Raw Revenue'!H:H,0)</f>
        <v>0</v>
      </c>
      <c r="Z517" s="11">
        <f t="array" ref="Z517">XLOOKUP(A:A,'Raw Revenue'!I:I,'Raw Revenue'!J:J,0)</f>
        <v>0</v>
      </c>
      <c r="AA517" s="11">
        <f t="array" ref="AA517">XLOOKUP(A:A,'Raw Revenue'!K:K,'Raw Revenue'!L:L,0)</f>
        <v>0</v>
      </c>
      <c r="AB517" s="11">
        <f t="array" ref="AB517">XLOOKUP(A:A,'Raw Revenue'!M:M,'Raw Revenue'!N:N,0)</f>
        <v>0</v>
      </c>
      <c r="AC517" s="3">
        <v>0.0</v>
      </c>
      <c r="AD517" s="3">
        <v>0.0</v>
      </c>
      <c r="AE517" s="3">
        <v>0.0</v>
      </c>
      <c r="AF517" s="3">
        <v>0.0</v>
      </c>
      <c r="AG517" s="3">
        <v>0.0</v>
      </c>
    </row>
    <row r="518">
      <c r="A518" s="3" t="s">
        <v>1295</v>
      </c>
      <c r="B518" s="3" t="s">
        <v>1296</v>
      </c>
      <c r="C518" s="3" t="str">
        <f t="shared" si="1"/>
        <v>PT. Berkah Alam Semesta</v>
      </c>
      <c r="D518" s="3" t="s">
        <v>195</v>
      </c>
      <c r="E518" s="3" t="s">
        <v>104</v>
      </c>
      <c r="F518" s="3" t="s">
        <v>252</v>
      </c>
      <c r="G518" s="3" t="s">
        <v>35</v>
      </c>
      <c r="H518" s="3" t="str">
        <f t="array" ref="H518">XLOOKUP(G:G,'Account Manager Data'!A:A,'Account Manager Data'!B:B,0)</f>
        <v>Ahmad Fauzi</v>
      </c>
      <c r="I518" s="11" t="str">
        <f t="array" ref="I518">XLOOKUP($G:$G,'Account Manager Data'!$A:$A,'Account Manager Data'!C:C)</f>
        <v>Sumatera</v>
      </c>
      <c r="J518" s="17">
        <v>6404872.0</v>
      </c>
      <c r="K518" s="17">
        <v>8058387.0</v>
      </c>
      <c r="L518" s="17">
        <v>6381708.0</v>
      </c>
      <c r="M518" s="17">
        <v>8123066.0</v>
      </c>
      <c r="N518" s="17">
        <v>8537151.0</v>
      </c>
      <c r="O518" s="17">
        <v>1.4450335E7</v>
      </c>
      <c r="P518" s="17">
        <v>5531104.0</v>
      </c>
      <c r="Q518" s="17">
        <v>1.4770021E7</v>
      </c>
      <c r="R518" s="17">
        <v>9866722.0</v>
      </c>
      <c r="S518" s="17">
        <v>1.6789288E7</v>
      </c>
      <c r="T518" s="17">
        <v>1.5347349E7</v>
      </c>
      <c r="U518" s="17">
        <v>1531102.0</v>
      </c>
      <c r="V518" s="11">
        <f t="array" ref="V518">XLOOKUP(A:A,'Raw Revenue'!A:A,'Raw Revenue'!B:B,0)
</f>
        <v>0</v>
      </c>
      <c r="W518" s="11">
        <f t="array" ref="W518">XLOOKUP(A:A,'Raw Revenue'!C:C,'Raw Revenue'!D:D,0)</f>
        <v>0</v>
      </c>
      <c r="X518" s="11">
        <f t="array" ref="X518">XLOOKUP(A:A,'Raw Revenue'!E:E,'Raw Revenue'!F:F,0)</f>
        <v>0</v>
      </c>
      <c r="Y518" s="11">
        <f t="array" ref="Y518">XLOOKUP(A:A,'Raw Revenue'!G:G,'Raw Revenue'!H:H,0)</f>
        <v>0</v>
      </c>
      <c r="Z518" s="11">
        <f t="array" ref="Z518">XLOOKUP(A:A,'Raw Revenue'!I:I,'Raw Revenue'!J:J,0)</f>
        <v>0</v>
      </c>
      <c r="AA518" s="11">
        <f t="array" ref="AA518">XLOOKUP(A:A,'Raw Revenue'!K:K,'Raw Revenue'!L:L,0)</f>
        <v>0</v>
      </c>
      <c r="AB518" s="11">
        <f t="array" ref="AB518">XLOOKUP(A:A,'Raw Revenue'!M:M,'Raw Revenue'!N:N,0)</f>
        <v>0</v>
      </c>
      <c r="AC518" s="3">
        <v>0.0</v>
      </c>
      <c r="AD518" s="3">
        <v>0.0</v>
      </c>
      <c r="AE518" s="3">
        <v>0.0</v>
      </c>
      <c r="AF518" s="3">
        <v>0.0</v>
      </c>
      <c r="AG518" s="3">
        <v>0.0</v>
      </c>
    </row>
    <row r="519">
      <c r="A519" s="3" t="s">
        <v>1297</v>
      </c>
      <c r="B519" s="3" t="s">
        <v>1298</v>
      </c>
      <c r="C519" s="3" t="str">
        <f t="shared" si="1"/>
        <v>PT. Cahaya Baru Indonesia</v>
      </c>
      <c r="D519" s="3" t="s">
        <v>195</v>
      </c>
      <c r="E519" s="3" t="s">
        <v>196</v>
      </c>
      <c r="F519" s="3" t="s">
        <v>197</v>
      </c>
      <c r="G519" s="3" t="s">
        <v>43</v>
      </c>
      <c r="H519" s="3" t="str">
        <f t="array" ref="H519">XLOOKUP(G:G,'Account Manager Data'!A:A,'Account Manager Data'!B:B,0)</f>
        <v>Eko Prasetyo</v>
      </c>
      <c r="I519" s="11" t="str">
        <f t="array" ref="I519">XLOOKUP($G:$G,'Account Manager Data'!$A:$A,'Account Manager Data'!C:C)</f>
        <v>Papua</v>
      </c>
      <c r="J519" s="17">
        <v>2882209.0</v>
      </c>
      <c r="K519" s="17">
        <v>7405824.0</v>
      </c>
      <c r="L519" s="17">
        <v>9658895.0</v>
      </c>
      <c r="M519" s="17">
        <v>79363.0</v>
      </c>
      <c r="N519" s="17">
        <v>3044098.0</v>
      </c>
      <c r="O519" s="17">
        <v>4476859.0</v>
      </c>
      <c r="P519" s="17">
        <v>8544385.0</v>
      </c>
      <c r="Q519" s="17">
        <v>1945649.0</v>
      </c>
      <c r="R519" s="17">
        <v>1.6127647E7</v>
      </c>
      <c r="S519" s="17">
        <v>5409664.0</v>
      </c>
      <c r="T519" s="17">
        <v>1.8984766E7</v>
      </c>
      <c r="U519" s="17">
        <v>3123617.0</v>
      </c>
      <c r="V519" s="11">
        <f t="array" ref="V519">XLOOKUP(A:A,'Raw Revenue'!A:A,'Raw Revenue'!B:B,0)
</f>
        <v>0</v>
      </c>
      <c r="W519" s="11">
        <f t="array" ref="W519">XLOOKUP(A:A,'Raw Revenue'!C:C,'Raw Revenue'!D:D,0)</f>
        <v>0</v>
      </c>
      <c r="X519" s="11">
        <f t="array" ref="X519">XLOOKUP(A:A,'Raw Revenue'!E:E,'Raw Revenue'!F:F,0)</f>
        <v>0</v>
      </c>
      <c r="Y519" s="11">
        <f t="array" ref="Y519">XLOOKUP(A:A,'Raw Revenue'!G:G,'Raw Revenue'!H:H,0)</f>
        <v>0</v>
      </c>
      <c r="Z519" s="11">
        <f t="array" ref="Z519">XLOOKUP(A:A,'Raw Revenue'!I:I,'Raw Revenue'!J:J,0)</f>
        <v>0</v>
      </c>
      <c r="AA519" s="11">
        <f t="array" ref="AA519">XLOOKUP(A:A,'Raw Revenue'!K:K,'Raw Revenue'!L:L,0)</f>
        <v>0</v>
      </c>
      <c r="AB519" s="11">
        <f t="array" ref="AB519">XLOOKUP(A:A,'Raw Revenue'!M:M,'Raw Revenue'!N:N,0)</f>
        <v>0</v>
      </c>
      <c r="AC519" s="3">
        <v>0.0</v>
      </c>
      <c r="AD519" s="3">
        <v>0.0</v>
      </c>
      <c r="AE519" s="3">
        <v>0.0</v>
      </c>
      <c r="AF519" s="3">
        <v>0.0</v>
      </c>
      <c r="AG519" s="3">
        <v>0.0</v>
      </c>
    </row>
    <row r="520">
      <c r="A520" s="3" t="s">
        <v>1299</v>
      </c>
      <c r="B520" s="3" t="s">
        <v>1300</v>
      </c>
      <c r="C520" s="3" t="str">
        <f t="shared" si="1"/>
        <v>PT. Mentari Pagi Sejahtera</v>
      </c>
      <c r="D520" s="3" t="s">
        <v>186</v>
      </c>
      <c r="E520" s="3" t="s">
        <v>85</v>
      </c>
      <c r="F520" s="3" t="s">
        <v>407</v>
      </c>
      <c r="G520" s="3" t="s">
        <v>74</v>
      </c>
      <c r="H520" s="3" t="str">
        <f t="array" ref="H520">XLOOKUP(G:G,'Account Manager Data'!A:A,'Account Manager Data'!B:B,0)</f>
        <v>Budi Santoso</v>
      </c>
      <c r="I520" s="11" t="str">
        <f t="array" ref="I520">XLOOKUP($G:$G,'Account Manager Data'!$A:$A,'Account Manager Data'!C:C)</f>
        <v>Papua</v>
      </c>
      <c r="J520" s="17">
        <v>7430318.0</v>
      </c>
      <c r="K520" s="17">
        <v>4139266.0</v>
      </c>
      <c r="L520" s="17">
        <v>4412697.0</v>
      </c>
      <c r="M520" s="17">
        <v>4601950.0</v>
      </c>
      <c r="N520" s="17">
        <v>242198.0</v>
      </c>
      <c r="O520" s="17">
        <v>3243194.0</v>
      </c>
      <c r="P520" s="17">
        <v>1.2187749E7</v>
      </c>
      <c r="Q520" s="17">
        <v>5055901.0</v>
      </c>
      <c r="R520" s="17">
        <v>1.3398543E7</v>
      </c>
      <c r="S520" s="17">
        <v>9546369.0</v>
      </c>
      <c r="T520" s="17">
        <v>3005708.0</v>
      </c>
      <c r="U520" s="17">
        <v>6650985.0</v>
      </c>
      <c r="V520" s="11">
        <f t="array" ref="V520">XLOOKUP(A:A,'Raw Revenue'!A:A,'Raw Revenue'!B:B,0)
</f>
        <v>0</v>
      </c>
      <c r="W520" s="11">
        <f t="array" ref="W520">XLOOKUP(A:A,'Raw Revenue'!C:C,'Raw Revenue'!D:D,0)</f>
        <v>0</v>
      </c>
      <c r="X520" s="11">
        <f t="array" ref="X520">XLOOKUP(A:A,'Raw Revenue'!E:E,'Raw Revenue'!F:F,0)</f>
        <v>0</v>
      </c>
      <c r="Y520" s="11">
        <f t="array" ref="Y520">XLOOKUP(A:A,'Raw Revenue'!G:G,'Raw Revenue'!H:H,0)</f>
        <v>0</v>
      </c>
      <c r="Z520" s="11">
        <f t="array" ref="Z520">XLOOKUP(A:A,'Raw Revenue'!I:I,'Raw Revenue'!J:J,0)</f>
        <v>0</v>
      </c>
      <c r="AA520" s="11">
        <f t="array" ref="AA520">XLOOKUP(A:A,'Raw Revenue'!K:K,'Raw Revenue'!L:L,0)</f>
        <v>0</v>
      </c>
      <c r="AB520" s="11">
        <f t="array" ref="AB520">XLOOKUP(A:A,'Raw Revenue'!M:M,'Raw Revenue'!N:N,0)</f>
        <v>0</v>
      </c>
      <c r="AC520" s="3">
        <v>0.0</v>
      </c>
      <c r="AD520" s="3">
        <v>0.0</v>
      </c>
      <c r="AE520" s="3">
        <v>0.0</v>
      </c>
      <c r="AF520" s="3">
        <v>0.0</v>
      </c>
      <c r="AG520" s="3">
        <v>0.0</v>
      </c>
    </row>
    <row r="521">
      <c r="A521" s="3" t="s">
        <v>1301</v>
      </c>
      <c r="B521" s="3" t="s">
        <v>1302</v>
      </c>
      <c r="C521" s="3" t="str">
        <f t="shared" si="1"/>
        <v>PT. Bintang Kejora Nusantara</v>
      </c>
      <c r="D521" s="3" t="s">
        <v>84</v>
      </c>
      <c r="E521" s="3" t="s">
        <v>196</v>
      </c>
      <c r="F521" s="3" t="s">
        <v>260</v>
      </c>
      <c r="G521" s="3" t="s">
        <v>76</v>
      </c>
      <c r="H521" s="3" t="str">
        <f t="array" ref="H521">XLOOKUP(G:G,'Account Manager Data'!A:A,'Account Manager Data'!B:B,0)</f>
        <v>Teguh Wijaya</v>
      </c>
      <c r="I521" s="11" t="str">
        <f t="array" ref="I521">XLOOKUP($G:$G,'Account Manager Data'!$A:$A,'Account Manager Data'!C:C)</f>
        <v>Sulawesi</v>
      </c>
      <c r="J521" s="17">
        <v>7349030.0</v>
      </c>
      <c r="K521" s="17">
        <v>9080480.0</v>
      </c>
      <c r="L521" s="17">
        <v>9945071.0</v>
      </c>
      <c r="M521" s="17">
        <v>4065778.0</v>
      </c>
      <c r="N521" s="17">
        <v>4248083.0</v>
      </c>
      <c r="O521" s="17">
        <v>1.0376716E7</v>
      </c>
      <c r="P521" s="17">
        <v>1.5913083E7</v>
      </c>
      <c r="Q521" s="17">
        <v>3545140.0</v>
      </c>
      <c r="R521" s="17">
        <v>1.222023E7</v>
      </c>
      <c r="S521" s="17">
        <v>3944383.0</v>
      </c>
      <c r="T521" s="17">
        <v>2650573.0</v>
      </c>
      <c r="U521" s="17">
        <v>972838.0</v>
      </c>
      <c r="V521" s="11">
        <f t="array" ref="V521">XLOOKUP(A:A,'Raw Revenue'!A:A,'Raw Revenue'!B:B,0)
</f>
        <v>0</v>
      </c>
      <c r="W521" s="11">
        <f t="array" ref="W521">XLOOKUP(A:A,'Raw Revenue'!C:C,'Raw Revenue'!D:D,0)</f>
        <v>0</v>
      </c>
      <c r="X521" s="11">
        <f t="array" ref="X521">XLOOKUP(A:A,'Raw Revenue'!E:E,'Raw Revenue'!F:F,0)</f>
        <v>0</v>
      </c>
      <c r="Y521" s="11">
        <f t="array" ref="Y521">XLOOKUP(A:A,'Raw Revenue'!G:G,'Raw Revenue'!H:H,0)</f>
        <v>0</v>
      </c>
      <c r="Z521" s="11">
        <f t="array" ref="Z521">XLOOKUP(A:A,'Raw Revenue'!I:I,'Raw Revenue'!J:J,0)</f>
        <v>0</v>
      </c>
      <c r="AA521" s="11">
        <f t="array" ref="AA521">XLOOKUP(A:A,'Raw Revenue'!K:K,'Raw Revenue'!L:L,0)</f>
        <v>0</v>
      </c>
      <c r="AB521" s="11">
        <f t="array" ref="AB521">XLOOKUP(A:A,'Raw Revenue'!M:M,'Raw Revenue'!N:N,0)</f>
        <v>0</v>
      </c>
      <c r="AC521" s="3">
        <v>0.0</v>
      </c>
      <c r="AD521" s="3">
        <v>0.0</v>
      </c>
      <c r="AE521" s="3">
        <v>0.0</v>
      </c>
      <c r="AF521" s="3">
        <v>0.0</v>
      </c>
      <c r="AG521" s="3">
        <v>0.0</v>
      </c>
    </row>
    <row r="522">
      <c r="A522" s="3" t="s">
        <v>465</v>
      </c>
      <c r="B522" s="3" t="s">
        <v>1303</v>
      </c>
      <c r="C522" s="3" t="str">
        <f t="shared" si="1"/>
        <v>PT. Maju Jaya</v>
      </c>
      <c r="D522" s="3" t="s">
        <v>103</v>
      </c>
      <c r="E522" s="3" t="s">
        <v>215</v>
      </c>
      <c r="F522" s="3" t="s">
        <v>300</v>
      </c>
      <c r="G522" s="3" t="s">
        <v>70</v>
      </c>
      <c r="H522" s="3" t="str">
        <f t="array" ref="H522">XLOOKUP(G:G,'Account Manager Data'!A:A,'Account Manager Data'!B:B,0)</f>
        <v>Yusuf Hidayat</v>
      </c>
      <c r="I522" s="11" t="str">
        <f t="array" ref="I522">XLOOKUP($G:$G,'Account Manager Data'!$A:$A,'Account Manager Data'!C:C)</f>
        <v>Sumatera</v>
      </c>
      <c r="J522" s="17">
        <v>7845452.0</v>
      </c>
      <c r="K522" s="17">
        <v>8858385.0</v>
      </c>
      <c r="L522" s="17">
        <v>1735489.0</v>
      </c>
      <c r="M522" s="17">
        <v>4847862.0</v>
      </c>
      <c r="N522" s="17">
        <v>1731382.0</v>
      </c>
      <c r="O522" s="17">
        <v>6024796.0</v>
      </c>
      <c r="P522" s="17">
        <v>1.1770531E7</v>
      </c>
      <c r="Q522" s="17">
        <v>1.1225644E7</v>
      </c>
      <c r="R522" s="17">
        <v>1.5001875E7</v>
      </c>
      <c r="S522" s="17">
        <v>1.3599433E7</v>
      </c>
      <c r="T522" s="17">
        <v>1.8690955E7</v>
      </c>
      <c r="U522" s="17">
        <v>0.0</v>
      </c>
      <c r="V522" s="11">
        <f t="array" ref="V522">XLOOKUP(A:A,'Raw Revenue'!A:A,'Raw Revenue'!B:B,0)
</f>
        <v>1353724.027</v>
      </c>
      <c r="W522" s="11">
        <f t="array" ref="W522">XLOOKUP(A:A,'Raw Revenue'!C:C,'Raw Revenue'!D:D,0)</f>
        <v>676862.0133</v>
      </c>
      <c r="X522" s="11">
        <f t="array" ref="X522">XLOOKUP(A:A,'Raw Revenue'!E:E,'Raw Revenue'!F:F,0)</f>
        <v>406117.208</v>
      </c>
      <c r="Y522" s="11">
        <f t="array" ref="Y522">XLOOKUP(A:A,'Raw Revenue'!G:G,'Raw Revenue'!H:H,0)</f>
        <v>4738034.093</v>
      </c>
      <c r="Z522" s="11">
        <f t="array" ref="Z522">XLOOKUP(A:A,'Raw Revenue'!I:I,'Raw Revenue'!J:J,0)</f>
        <v>1082979.221</v>
      </c>
      <c r="AA522" s="11">
        <f t="array" ref="AA522">XLOOKUP(A:A,'Raw Revenue'!K:K,'Raw Revenue'!L:L,0)</f>
        <v>30458.7906</v>
      </c>
      <c r="AB522" s="11">
        <f t="array" ref="AB522">XLOOKUP(A:A,'Raw Revenue'!M:M,'Raw Revenue'!N:N,0)</f>
        <v>4081477.94</v>
      </c>
      <c r="AC522" s="3">
        <v>0.0</v>
      </c>
      <c r="AD522" s="3">
        <v>0.0</v>
      </c>
      <c r="AE522" s="3">
        <v>0.0</v>
      </c>
      <c r="AF522" s="3">
        <v>0.0</v>
      </c>
      <c r="AG522" s="3">
        <v>0.0</v>
      </c>
    </row>
    <row r="523">
      <c r="A523" s="3" t="s">
        <v>112</v>
      </c>
      <c r="B523" s="3" t="s">
        <v>1304</v>
      </c>
      <c r="C523" s="3" t="str">
        <f t="shared" si="1"/>
        <v>CV. Sumber Makmur</v>
      </c>
      <c r="D523" s="3" t="s">
        <v>103</v>
      </c>
      <c r="E523" s="3" t="s">
        <v>187</v>
      </c>
      <c r="F523" s="3" t="s">
        <v>188</v>
      </c>
      <c r="G523" s="3" t="s">
        <v>15</v>
      </c>
      <c r="H523" s="3" t="str">
        <f t="array" ref="H523">XLOOKUP(G:G,'Account Manager Data'!A:A,'Account Manager Data'!B:B,0)</f>
        <v>Rizky Maulana</v>
      </c>
      <c r="I523" s="11" t="str">
        <f t="array" ref="I523">XLOOKUP($G:$G,'Account Manager Data'!$A:$A,'Account Manager Data'!C:C)</f>
        <v>Jawa</v>
      </c>
      <c r="J523" s="17">
        <v>5245290.0</v>
      </c>
      <c r="K523" s="83">
        <v>5647059.0</v>
      </c>
      <c r="L523" s="84">
        <v>9108434.0</v>
      </c>
      <c r="M523" s="84">
        <v>1.2E7</v>
      </c>
      <c r="N523" s="84">
        <v>1.1535211E7</v>
      </c>
      <c r="O523" s="17">
        <v>1.3824614E7</v>
      </c>
      <c r="P523" s="84">
        <v>4.3103448E7</v>
      </c>
      <c r="Q523" s="84">
        <v>1.01960784E8</v>
      </c>
      <c r="R523" s="17">
        <v>0.0</v>
      </c>
      <c r="S523" s="17">
        <v>1.6156979E7</v>
      </c>
      <c r="T523" s="17">
        <v>5367897.0</v>
      </c>
      <c r="U523" s="17">
        <v>0.0</v>
      </c>
      <c r="V523" s="85">
        <f t="array" ref="V523">XLOOKUP(A:A,'Raw Revenue'!A:A,'Raw Revenue'!B:B,0)
</f>
        <v>4200000</v>
      </c>
      <c r="W523" s="22">
        <f t="array" ref="W523">XLOOKUP(A:A,'Raw Revenue'!C:C,'Raw Revenue'!D:D,0)</f>
        <v>5647059</v>
      </c>
      <c r="X523" s="22">
        <f t="array" ref="X523">XLOOKUP(A:A,'Raw Revenue'!E:E,'Raw Revenue'!F:F,0)</f>
        <v>9108434</v>
      </c>
      <c r="Y523" s="22">
        <f t="array" ref="Y523">XLOOKUP(A:A,'Raw Revenue'!G:G,'Raw Revenue'!H:H,0)</f>
        <v>12000000</v>
      </c>
      <c r="Z523" s="22">
        <f t="array" ref="Z523">XLOOKUP(A:A,'Raw Revenue'!I:I,'Raw Revenue'!J:J,0)</f>
        <v>11535211</v>
      </c>
      <c r="AA523" s="22">
        <f t="array" ref="AA523">XLOOKUP(A:A,'Raw Revenue'!K:K,'Raw Revenue'!L:L,0)</f>
        <v>13824614</v>
      </c>
      <c r="AB523" s="22">
        <f t="array" ref="AB523">XLOOKUP(A:A,'Raw Revenue'!M:M,'Raw Revenue'!N:N,0)</f>
        <v>43103448</v>
      </c>
      <c r="AC523" s="3">
        <v>0.0</v>
      </c>
      <c r="AD523" s="3">
        <v>0.0</v>
      </c>
      <c r="AE523" s="3">
        <v>0.0</v>
      </c>
      <c r="AF523" s="3">
        <v>0.0</v>
      </c>
      <c r="AG523" s="3">
        <v>0.0</v>
      </c>
    </row>
    <row r="524">
      <c r="A524" s="3" t="s">
        <v>1305</v>
      </c>
      <c r="B524" s="3" t="s">
        <v>1306</v>
      </c>
      <c r="C524" s="3" t="str">
        <f t="shared" si="1"/>
        <v>PT. Teknologi Nusantara</v>
      </c>
      <c r="D524" s="3" t="s">
        <v>186</v>
      </c>
      <c r="E524" s="3" t="s">
        <v>85</v>
      </c>
      <c r="F524" s="3" t="s">
        <v>248</v>
      </c>
      <c r="G524" s="3" t="s">
        <v>27</v>
      </c>
      <c r="H524" s="3" t="str">
        <f t="array" ref="H524">XLOOKUP(G:G,'Account Manager Data'!A:A,'Account Manager Data'!B:B,0)</f>
        <v>Dedi Kurniawan</v>
      </c>
      <c r="I524" s="11" t="str">
        <f t="array" ref="I524">XLOOKUP($G:$G,'Account Manager Data'!$A:$A,'Account Manager Data'!C:C)</f>
        <v>Kalimantan</v>
      </c>
      <c r="J524" s="17">
        <v>1492563.0</v>
      </c>
      <c r="K524" s="17">
        <v>6927447.0</v>
      </c>
      <c r="L524" s="17">
        <v>8393469.0</v>
      </c>
      <c r="M524" s="17">
        <v>1.0418762E7</v>
      </c>
      <c r="N524" s="17">
        <v>1.3478637E7</v>
      </c>
      <c r="O524" s="17">
        <v>69533.0</v>
      </c>
      <c r="P524" s="17">
        <v>2540791.0</v>
      </c>
      <c r="Q524" s="17">
        <v>1.0186626E7</v>
      </c>
      <c r="R524" s="17">
        <v>9185110.0</v>
      </c>
      <c r="S524" s="17">
        <v>5405370.0</v>
      </c>
      <c r="T524" s="17">
        <v>1920629.0</v>
      </c>
      <c r="U524" s="17">
        <v>3717560.0</v>
      </c>
      <c r="V524" s="11">
        <f t="array" ref="V524">XLOOKUP(A:A,'Raw Revenue'!A:A,'Raw Revenue'!B:B,0)
</f>
        <v>0</v>
      </c>
      <c r="W524" s="11">
        <f t="array" ref="W524">XLOOKUP(A:A,'Raw Revenue'!C:C,'Raw Revenue'!D:D,0)</f>
        <v>0</v>
      </c>
      <c r="X524" s="11">
        <f t="array" ref="X524">XLOOKUP(A:A,'Raw Revenue'!E:E,'Raw Revenue'!F:F,0)</f>
        <v>0</v>
      </c>
      <c r="Y524" s="11">
        <f t="array" ref="Y524">XLOOKUP(A:A,'Raw Revenue'!G:G,'Raw Revenue'!H:H,0)</f>
        <v>0</v>
      </c>
      <c r="Z524" s="11">
        <f t="array" ref="Z524">XLOOKUP(A:A,'Raw Revenue'!I:I,'Raw Revenue'!J:J,0)</f>
        <v>0</v>
      </c>
      <c r="AA524" s="11">
        <f t="array" ref="AA524">XLOOKUP(A:A,'Raw Revenue'!K:K,'Raw Revenue'!L:L,0)</f>
        <v>0</v>
      </c>
      <c r="AB524" s="11">
        <f t="array" ref="AB524">XLOOKUP(A:A,'Raw Revenue'!M:M,'Raw Revenue'!N:N,0)</f>
        <v>0</v>
      </c>
      <c r="AC524" s="3">
        <v>0.0</v>
      </c>
      <c r="AD524" s="3">
        <v>0.0</v>
      </c>
      <c r="AE524" s="3">
        <v>0.0</v>
      </c>
      <c r="AF524" s="3">
        <v>0.0</v>
      </c>
      <c r="AG524" s="3">
        <v>0.0</v>
      </c>
    </row>
    <row r="525">
      <c r="A525" s="3" t="s">
        <v>422</v>
      </c>
      <c r="B525" s="3" t="s">
        <v>1307</v>
      </c>
      <c r="C525" s="3" t="str">
        <f t="shared" si="1"/>
        <v>PT. Bakti Indonesia</v>
      </c>
      <c r="D525" s="3" t="s">
        <v>103</v>
      </c>
      <c r="E525" s="3" t="s">
        <v>196</v>
      </c>
      <c r="F525" s="3" t="s">
        <v>260</v>
      </c>
      <c r="G525" s="3" t="s">
        <v>78</v>
      </c>
      <c r="H525" s="3" t="str">
        <f t="array" ref="H525">XLOOKUP(G:G,'Account Manager Data'!A:A,'Account Manager Data'!B:B,0)</f>
        <v>Ilham Saputra</v>
      </c>
      <c r="I525" s="11" t="str">
        <f t="array" ref="I525">XLOOKUP($G:$G,'Account Manager Data'!$A:$A,'Account Manager Data'!C:C)</f>
        <v>Jawa</v>
      </c>
      <c r="J525" s="17">
        <v>2286522.0</v>
      </c>
      <c r="K525" s="17">
        <v>4451309.0</v>
      </c>
      <c r="L525" s="17">
        <v>8025101.0</v>
      </c>
      <c r="M525" s="17">
        <v>927166.0</v>
      </c>
      <c r="N525" s="17">
        <v>1.2984125E7</v>
      </c>
      <c r="O525" s="17">
        <v>4362257.0</v>
      </c>
      <c r="P525" s="17">
        <v>7021035.0</v>
      </c>
      <c r="Q525" s="17">
        <v>630474.0</v>
      </c>
      <c r="R525" s="17">
        <v>6093070.0</v>
      </c>
      <c r="S525" s="17">
        <v>5085111.0</v>
      </c>
      <c r="T525" s="17">
        <v>2872201.0</v>
      </c>
      <c r="U525" s="17">
        <v>1.4367558E7</v>
      </c>
      <c r="V525" s="11">
        <f t="array" ref="V525">XLOOKUP(A:A,'Raw Revenue'!A:A,'Raw Revenue'!B:B,0)
</f>
        <v>1071078.351</v>
      </c>
      <c r="W525" s="11">
        <f t="array" ref="W525">XLOOKUP(A:A,'Raw Revenue'!C:C,'Raw Revenue'!D:D,0)</f>
        <v>535539.1753</v>
      </c>
      <c r="X525" s="11">
        <f t="array" ref="X525">XLOOKUP(A:A,'Raw Revenue'!E:E,'Raw Revenue'!F:F,0)</f>
        <v>321323.5052</v>
      </c>
      <c r="Y525" s="11">
        <f t="array" ref="Y525">XLOOKUP(A:A,'Raw Revenue'!G:G,'Raw Revenue'!H:H,0)</f>
        <v>3748774.227</v>
      </c>
      <c r="Z525" s="11">
        <f t="array" ref="Z525">XLOOKUP(A:A,'Raw Revenue'!I:I,'Raw Revenue'!J:J,0)</f>
        <v>856862.6805</v>
      </c>
      <c r="AA525" s="11">
        <f t="array" ref="AA525">XLOOKUP(A:A,'Raw Revenue'!K:K,'Raw Revenue'!L:L,0)</f>
        <v>24099.26289</v>
      </c>
      <c r="AB525" s="11">
        <f t="array" ref="AB525">XLOOKUP(A:A,'Raw Revenue'!M:M,'Raw Revenue'!N:N,0)</f>
        <v>3229301.227</v>
      </c>
      <c r="AC525" s="3">
        <v>0.0</v>
      </c>
      <c r="AD525" s="3">
        <v>0.0</v>
      </c>
      <c r="AE525" s="3">
        <v>0.0</v>
      </c>
      <c r="AF525" s="3">
        <v>0.0</v>
      </c>
      <c r="AG525" s="3">
        <v>0.0</v>
      </c>
    </row>
    <row r="526">
      <c r="A526" s="3" t="s">
        <v>1308</v>
      </c>
      <c r="B526" s="3" t="s">
        <v>1309</v>
      </c>
      <c r="C526" s="3" t="str">
        <f t="shared" si="1"/>
        <v>CV. Amanah Sejahtera</v>
      </c>
      <c r="D526" s="3" t="s">
        <v>214</v>
      </c>
      <c r="E526" s="3" t="s">
        <v>104</v>
      </c>
      <c r="F526" s="3" t="s">
        <v>252</v>
      </c>
      <c r="G526" s="3" t="s">
        <v>53</v>
      </c>
      <c r="H526" s="3" t="str">
        <f t="array" ref="H526">XLOOKUP(G:G,'Account Manager Data'!A:A,'Account Manager Data'!B:B,0)</f>
        <v>Fajar Ramadhan</v>
      </c>
      <c r="I526" s="11" t="str">
        <f t="array" ref="I526">XLOOKUP($G:$G,'Account Manager Data'!$A:$A,'Account Manager Data'!C:C)</f>
        <v>Sulawesi</v>
      </c>
      <c r="J526" s="17">
        <v>6809305.0</v>
      </c>
      <c r="K526" s="17">
        <v>4146156.0</v>
      </c>
      <c r="L526" s="17">
        <v>9199651.0</v>
      </c>
      <c r="M526" s="17">
        <v>1.1553378E7</v>
      </c>
      <c r="N526" s="17">
        <v>1.2621926E7</v>
      </c>
      <c r="O526" s="17">
        <v>1.4898479E7</v>
      </c>
      <c r="P526" s="17">
        <v>443598.0</v>
      </c>
      <c r="Q526" s="17">
        <v>1.4966093E7</v>
      </c>
      <c r="R526" s="17">
        <v>6676461.0</v>
      </c>
      <c r="S526" s="17">
        <v>4072434.0</v>
      </c>
      <c r="T526" s="17">
        <v>65097.0</v>
      </c>
      <c r="U526" s="17">
        <v>4273075.0</v>
      </c>
      <c r="V526" s="11">
        <f t="array" ref="V526">XLOOKUP(A:A,'Raw Revenue'!A:A,'Raw Revenue'!B:B,0)
</f>
        <v>0</v>
      </c>
      <c r="W526" s="11">
        <f t="array" ref="W526">XLOOKUP(A:A,'Raw Revenue'!C:C,'Raw Revenue'!D:D,0)</f>
        <v>0</v>
      </c>
      <c r="X526" s="11">
        <f t="array" ref="X526">XLOOKUP(A:A,'Raw Revenue'!E:E,'Raw Revenue'!F:F,0)</f>
        <v>0</v>
      </c>
      <c r="Y526" s="11">
        <f t="array" ref="Y526">XLOOKUP(A:A,'Raw Revenue'!G:G,'Raw Revenue'!H:H,0)</f>
        <v>0</v>
      </c>
      <c r="Z526" s="11">
        <f t="array" ref="Z526">XLOOKUP(A:A,'Raw Revenue'!I:I,'Raw Revenue'!J:J,0)</f>
        <v>0</v>
      </c>
      <c r="AA526" s="11">
        <f t="array" ref="AA526">XLOOKUP(A:A,'Raw Revenue'!K:K,'Raw Revenue'!L:L,0)</f>
        <v>0</v>
      </c>
      <c r="AB526" s="11">
        <f t="array" ref="AB526">XLOOKUP(A:A,'Raw Revenue'!M:M,'Raw Revenue'!N:N,0)</f>
        <v>0</v>
      </c>
      <c r="AC526" s="3">
        <v>0.0</v>
      </c>
      <c r="AD526" s="3">
        <v>0.0</v>
      </c>
      <c r="AE526" s="3">
        <v>0.0</v>
      </c>
      <c r="AF526" s="3">
        <v>0.0</v>
      </c>
      <c r="AG526" s="3">
        <v>0.0</v>
      </c>
    </row>
    <row r="527">
      <c r="A527" s="3" t="s">
        <v>1310</v>
      </c>
      <c r="B527" s="3" t="s">
        <v>1311</v>
      </c>
      <c r="C527" s="3" t="str">
        <f t="shared" si="1"/>
        <v>PT. Digital Solusi Pratama</v>
      </c>
      <c r="D527" s="3" t="s">
        <v>84</v>
      </c>
      <c r="E527" s="3" t="s">
        <v>104</v>
      </c>
      <c r="F527" s="3" t="s">
        <v>105</v>
      </c>
      <c r="G527" s="3" t="s">
        <v>63</v>
      </c>
      <c r="H527" s="3" t="str">
        <f t="array" ref="H527">XLOOKUP(G:G,'Account Manager Data'!A:A,'Account Manager Data'!B:B,0)</f>
        <v>Hendra Gunawan</v>
      </c>
      <c r="I527" s="11" t="str">
        <f t="array" ref="I527">XLOOKUP($G:$G,'Account Manager Data'!$A:$A,'Account Manager Data'!C:C)</f>
        <v>Kalimantan</v>
      </c>
      <c r="J527" s="17">
        <v>7008820.0</v>
      </c>
      <c r="K527" s="17">
        <v>1356450.0</v>
      </c>
      <c r="L527" s="17">
        <v>0.0</v>
      </c>
      <c r="M527" s="17">
        <v>6788598.0</v>
      </c>
      <c r="N527" s="17">
        <v>1022038.0</v>
      </c>
      <c r="O527" s="17">
        <v>0.0</v>
      </c>
      <c r="P527" s="17">
        <v>1444849.0</v>
      </c>
      <c r="Q527" s="17">
        <v>1.3925635E7</v>
      </c>
      <c r="R527" s="17">
        <v>1.2196919E7</v>
      </c>
      <c r="S527" s="17">
        <v>262612.0</v>
      </c>
      <c r="T527" s="17">
        <v>8259622.0</v>
      </c>
      <c r="U527" s="17">
        <v>1.074531E7</v>
      </c>
      <c r="V527" s="11">
        <f t="array" ref="V527">XLOOKUP(A:A,'Raw Revenue'!A:A,'Raw Revenue'!B:B,0)
</f>
        <v>0</v>
      </c>
      <c r="W527" s="11">
        <f t="array" ref="W527">XLOOKUP(A:A,'Raw Revenue'!C:C,'Raw Revenue'!D:D,0)</f>
        <v>0</v>
      </c>
      <c r="X527" s="11">
        <f t="array" ref="X527">XLOOKUP(A:A,'Raw Revenue'!E:E,'Raw Revenue'!F:F,0)</f>
        <v>0</v>
      </c>
      <c r="Y527" s="11">
        <f t="array" ref="Y527">XLOOKUP(A:A,'Raw Revenue'!G:G,'Raw Revenue'!H:H,0)</f>
        <v>0</v>
      </c>
      <c r="Z527" s="11">
        <f t="array" ref="Z527">XLOOKUP(A:A,'Raw Revenue'!I:I,'Raw Revenue'!J:J,0)</f>
        <v>0</v>
      </c>
      <c r="AA527" s="11">
        <f t="array" ref="AA527">XLOOKUP(A:A,'Raw Revenue'!K:K,'Raw Revenue'!L:L,0)</f>
        <v>0</v>
      </c>
      <c r="AB527" s="11">
        <f t="array" ref="AB527">XLOOKUP(A:A,'Raw Revenue'!M:M,'Raw Revenue'!N:N,0)</f>
        <v>0</v>
      </c>
      <c r="AC527" s="3">
        <v>0.0</v>
      </c>
      <c r="AD527" s="3">
        <v>0.0</v>
      </c>
      <c r="AE527" s="3">
        <v>0.0</v>
      </c>
      <c r="AF527" s="3">
        <v>0.0</v>
      </c>
      <c r="AG527" s="3">
        <v>0.0</v>
      </c>
    </row>
    <row r="528">
      <c r="A528" s="3" t="s">
        <v>1312</v>
      </c>
      <c r="B528" s="3" t="s">
        <v>1313</v>
      </c>
      <c r="C528" s="3" t="str">
        <f t="shared" si="1"/>
        <v>PT. Global Niaga Abadi</v>
      </c>
      <c r="D528" s="3" t="s">
        <v>186</v>
      </c>
      <c r="E528" s="3" t="s">
        <v>85</v>
      </c>
      <c r="F528" s="3" t="s">
        <v>407</v>
      </c>
      <c r="G528" s="3" t="s">
        <v>35</v>
      </c>
      <c r="H528" s="3" t="str">
        <f t="array" ref="H528">XLOOKUP(G:G,'Account Manager Data'!A:A,'Account Manager Data'!B:B,0)</f>
        <v>Ahmad Fauzi</v>
      </c>
      <c r="I528" s="11" t="str">
        <f t="array" ref="I528">XLOOKUP($G:$G,'Account Manager Data'!$A:$A,'Account Manager Data'!C:C)</f>
        <v>Sumatera</v>
      </c>
      <c r="J528" s="17">
        <v>1128658.0</v>
      </c>
      <c r="K528" s="17">
        <v>8602578.0</v>
      </c>
      <c r="L528" s="17">
        <v>7428213.0</v>
      </c>
      <c r="M528" s="17">
        <v>1.0881266E7</v>
      </c>
      <c r="N528" s="17">
        <v>714915.0</v>
      </c>
      <c r="O528" s="17">
        <v>5533217.0</v>
      </c>
      <c r="P528" s="17">
        <v>1.0456656E7</v>
      </c>
      <c r="Q528" s="17">
        <v>5447041.0</v>
      </c>
      <c r="R528" s="17">
        <v>0.0</v>
      </c>
      <c r="S528" s="17">
        <v>1.6396203E7</v>
      </c>
      <c r="T528" s="17">
        <v>3262270.0</v>
      </c>
      <c r="U528" s="17">
        <v>1494592.0</v>
      </c>
      <c r="V528" s="11">
        <f t="array" ref="V528">XLOOKUP(A:A,'Raw Revenue'!A:A,'Raw Revenue'!B:B,0)
</f>
        <v>0</v>
      </c>
      <c r="W528" s="11">
        <f t="array" ref="W528">XLOOKUP(A:A,'Raw Revenue'!C:C,'Raw Revenue'!D:D,0)</f>
        <v>0</v>
      </c>
      <c r="X528" s="11">
        <f t="array" ref="X528">XLOOKUP(A:A,'Raw Revenue'!E:E,'Raw Revenue'!F:F,0)</f>
        <v>0</v>
      </c>
      <c r="Y528" s="11">
        <f t="array" ref="Y528">XLOOKUP(A:A,'Raw Revenue'!G:G,'Raw Revenue'!H:H,0)</f>
        <v>0</v>
      </c>
      <c r="Z528" s="11">
        <f t="array" ref="Z528">XLOOKUP(A:A,'Raw Revenue'!I:I,'Raw Revenue'!J:J,0)</f>
        <v>0</v>
      </c>
      <c r="AA528" s="11">
        <f t="array" ref="AA528">XLOOKUP(A:A,'Raw Revenue'!K:K,'Raw Revenue'!L:L,0)</f>
        <v>0</v>
      </c>
      <c r="AB528" s="11">
        <f t="array" ref="AB528">XLOOKUP(A:A,'Raw Revenue'!M:M,'Raw Revenue'!N:N,0)</f>
        <v>0</v>
      </c>
      <c r="AC528" s="3">
        <v>0.0</v>
      </c>
      <c r="AD528" s="3">
        <v>0.0</v>
      </c>
      <c r="AE528" s="3">
        <v>0.0</v>
      </c>
      <c r="AF528" s="3">
        <v>0.0</v>
      </c>
      <c r="AG528" s="3">
        <v>0.0</v>
      </c>
    </row>
    <row r="529">
      <c r="A529" s="3" t="s">
        <v>1314</v>
      </c>
      <c r="B529" s="3" t="s">
        <v>1315</v>
      </c>
      <c r="C529" s="3" t="str">
        <f t="shared" si="1"/>
        <v>PT. Indo Makmur Sentosa</v>
      </c>
      <c r="D529" s="3" t="s">
        <v>130</v>
      </c>
      <c r="E529" s="3" t="s">
        <v>196</v>
      </c>
      <c r="F529" s="3" t="s">
        <v>197</v>
      </c>
      <c r="G529" s="3" t="s">
        <v>74</v>
      </c>
      <c r="H529" s="3" t="str">
        <f t="array" ref="H529">XLOOKUP(G:G,'Account Manager Data'!A:A,'Account Manager Data'!B:B,0)</f>
        <v>Budi Santoso</v>
      </c>
      <c r="I529" s="11" t="str">
        <f t="array" ref="I529">XLOOKUP($G:$G,'Account Manager Data'!$A:$A,'Account Manager Data'!C:C)</f>
        <v>Papua</v>
      </c>
      <c r="J529" s="17">
        <v>6242231.0</v>
      </c>
      <c r="K529" s="17">
        <v>4723603.0</v>
      </c>
      <c r="L529" s="17">
        <v>8118563.0</v>
      </c>
      <c r="M529" s="17">
        <v>1.0851365E7</v>
      </c>
      <c r="N529" s="17">
        <v>8028047.0</v>
      </c>
      <c r="O529" s="17">
        <v>1.3120979E7</v>
      </c>
      <c r="P529" s="17">
        <v>6035612.0</v>
      </c>
      <c r="Q529" s="17">
        <v>1.6023972E7</v>
      </c>
      <c r="R529" s="17">
        <v>4698572.0</v>
      </c>
      <c r="S529" s="17">
        <v>778267.0</v>
      </c>
      <c r="T529" s="17">
        <v>1.941584E7</v>
      </c>
      <c r="U529" s="17">
        <v>1.3849649E7</v>
      </c>
      <c r="V529" s="11">
        <f t="array" ref="V529">XLOOKUP(A:A,'Raw Revenue'!A:A,'Raw Revenue'!B:B,0)
</f>
        <v>0</v>
      </c>
      <c r="W529" s="11">
        <f t="array" ref="W529">XLOOKUP(A:A,'Raw Revenue'!C:C,'Raw Revenue'!D:D,0)</f>
        <v>0</v>
      </c>
      <c r="X529" s="11">
        <f t="array" ref="X529">XLOOKUP(A:A,'Raw Revenue'!E:E,'Raw Revenue'!F:F,0)</f>
        <v>0</v>
      </c>
      <c r="Y529" s="11">
        <f t="array" ref="Y529">XLOOKUP(A:A,'Raw Revenue'!G:G,'Raw Revenue'!H:H,0)</f>
        <v>0</v>
      </c>
      <c r="Z529" s="11">
        <f t="array" ref="Z529">XLOOKUP(A:A,'Raw Revenue'!I:I,'Raw Revenue'!J:J,0)</f>
        <v>0</v>
      </c>
      <c r="AA529" s="11">
        <f t="array" ref="AA529">XLOOKUP(A:A,'Raw Revenue'!K:K,'Raw Revenue'!L:L,0)</f>
        <v>0</v>
      </c>
      <c r="AB529" s="11">
        <f t="array" ref="AB529">XLOOKUP(A:A,'Raw Revenue'!M:M,'Raw Revenue'!N:N,0)</f>
        <v>0</v>
      </c>
      <c r="AC529" s="3">
        <v>0.0</v>
      </c>
      <c r="AD529" s="3">
        <v>0.0</v>
      </c>
      <c r="AE529" s="3">
        <v>0.0</v>
      </c>
      <c r="AF529" s="3">
        <v>0.0</v>
      </c>
      <c r="AG529" s="3">
        <v>0.0</v>
      </c>
    </row>
    <row r="530">
      <c r="A530" s="3" t="s">
        <v>1316</v>
      </c>
      <c r="B530" s="3" t="s">
        <v>1317</v>
      </c>
      <c r="C530" s="3" t="str">
        <f t="shared" si="1"/>
        <v>PT. Citra Mandiri Utama</v>
      </c>
      <c r="D530" s="3" t="s">
        <v>214</v>
      </c>
      <c r="E530" s="3" t="s">
        <v>85</v>
      </c>
      <c r="F530" s="3" t="s">
        <v>407</v>
      </c>
      <c r="G530" s="3" t="s">
        <v>43</v>
      </c>
      <c r="H530" s="3" t="str">
        <f t="array" ref="H530">XLOOKUP(G:G,'Account Manager Data'!A:A,'Account Manager Data'!B:B,0)</f>
        <v>Eko Prasetyo</v>
      </c>
      <c r="I530" s="11" t="str">
        <f t="array" ref="I530">XLOOKUP($G:$G,'Account Manager Data'!$A:$A,'Account Manager Data'!C:C)</f>
        <v>Papua</v>
      </c>
      <c r="J530" s="17">
        <v>6435300.0</v>
      </c>
      <c r="K530" s="17">
        <v>980334.0</v>
      </c>
      <c r="L530" s="17">
        <v>728538.0</v>
      </c>
      <c r="M530" s="17">
        <v>3563199.0</v>
      </c>
      <c r="N530" s="17">
        <v>1.3047348E7</v>
      </c>
      <c r="O530" s="17">
        <v>1.2913943E7</v>
      </c>
      <c r="P530" s="17">
        <v>7562977.0</v>
      </c>
      <c r="Q530" s="17">
        <v>8835577.0</v>
      </c>
      <c r="R530" s="17">
        <v>1.0701815E7</v>
      </c>
      <c r="S530" s="17">
        <v>4285804.0</v>
      </c>
      <c r="T530" s="17">
        <v>5753370.0</v>
      </c>
      <c r="U530" s="17">
        <v>1.9449808E7</v>
      </c>
      <c r="V530" s="11">
        <f t="array" ref="V530">XLOOKUP(A:A,'Raw Revenue'!A:A,'Raw Revenue'!B:B,0)
</f>
        <v>0</v>
      </c>
      <c r="W530" s="11">
        <f t="array" ref="W530">XLOOKUP(A:A,'Raw Revenue'!C:C,'Raw Revenue'!D:D,0)</f>
        <v>0</v>
      </c>
      <c r="X530" s="11">
        <f t="array" ref="X530">XLOOKUP(A:A,'Raw Revenue'!E:E,'Raw Revenue'!F:F,0)</f>
        <v>0</v>
      </c>
      <c r="Y530" s="11">
        <f t="array" ref="Y530">XLOOKUP(A:A,'Raw Revenue'!G:G,'Raw Revenue'!H:H,0)</f>
        <v>0</v>
      </c>
      <c r="Z530" s="11">
        <f t="array" ref="Z530">XLOOKUP(A:A,'Raw Revenue'!I:I,'Raw Revenue'!J:J,0)</f>
        <v>0</v>
      </c>
      <c r="AA530" s="11">
        <f t="array" ref="AA530">XLOOKUP(A:A,'Raw Revenue'!K:K,'Raw Revenue'!L:L,0)</f>
        <v>0</v>
      </c>
      <c r="AB530" s="11">
        <f t="array" ref="AB530">XLOOKUP(A:A,'Raw Revenue'!M:M,'Raw Revenue'!N:N,0)</f>
        <v>0</v>
      </c>
      <c r="AC530" s="3">
        <v>0.0</v>
      </c>
      <c r="AD530" s="3">
        <v>0.0</v>
      </c>
      <c r="AE530" s="3">
        <v>0.0</v>
      </c>
      <c r="AF530" s="3">
        <v>0.0</v>
      </c>
      <c r="AG530" s="3">
        <v>0.0</v>
      </c>
    </row>
    <row r="531">
      <c r="A531" s="3" t="s">
        <v>1318</v>
      </c>
      <c r="B531" s="3" t="s">
        <v>1319</v>
      </c>
      <c r="C531" s="3" t="str">
        <f t="shared" si="1"/>
        <v>PT. Sinar Dunia Baru</v>
      </c>
      <c r="D531" s="3" t="s">
        <v>130</v>
      </c>
      <c r="E531" s="3" t="s">
        <v>85</v>
      </c>
      <c r="F531" s="3" t="s">
        <v>248</v>
      </c>
      <c r="G531" s="3" t="s">
        <v>76</v>
      </c>
      <c r="H531" s="3" t="str">
        <f t="array" ref="H531">XLOOKUP(G:G,'Account Manager Data'!A:A,'Account Manager Data'!B:B,0)</f>
        <v>Teguh Wijaya</v>
      </c>
      <c r="I531" s="11" t="str">
        <f t="array" ref="I531">XLOOKUP($G:$G,'Account Manager Data'!$A:$A,'Account Manager Data'!C:C)</f>
        <v>Sulawesi</v>
      </c>
      <c r="J531" s="17">
        <v>0.0</v>
      </c>
      <c r="K531" s="17">
        <v>2724287.0</v>
      </c>
      <c r="L531" s="17">
        <v>7133760.0</v>
      </c>
      <c r="M531" s="17">
        <v>2503911.0</v>
      </c>
      <c r="N531" s="17">
        <v>6736726.0</v>
      </c>
      <c r="O531" s="17">
        <v>4749471.0</v>
      </c>
      <c r="P531" s="17">
        <v>7064943.0</v>
      </c>
      <c r="Q531" s="17">
        <v>2813447.0</v>
      </c>
      <c r="R531" s="17">
        <v>6353859.0</v>
      </c>
      <c r="S531" s="17">
        <v>8002389.0</v>
      </c>
      <c r="T531" s="17">
        <v>1.5853388E7</v>
      </c>
      <c r="U531" s="17">
        <v>1.9380736E7</v>
      </c>
      <c r="V531" s="11">
        <f t="array" ref="V531">XLOOKUP(A:A,'Raw Revenue'!A:A,'Raw Revenue'!B:B,0)
</f>
        <v>0</v>
      </c>
      <c r="W531" s="11">
        <f t="array" ref="W531">XLOOKUP(A:A,'Raw Revenue'!C:C,'Raw Revenue'!D:D,0)</f>
        <v>0</v>
      </c>
      <c r="X531" s="11">
        <f t="array" ref="X531">XLOOKUP(A:A,'Raw Revenue'!E:E,'Raw Revenue'!F:F,0)</f>
        <v>0</v>
      </c>
      <c r="Y531" s="11">
        <f t="array" ref="Y531">XLOOKUP(A:A,'Raw Revenue'!G:G,'Raw Revenue'!H:H,0)</f>
        <v>0</v>
      </c>
      <c r="Z531" s="11">
        <f t="array" ref="Z531">XLOOKUP(A:A,'Raw Revenue'!I:I,'Raw Revenue'!J:J,0)</f>
        <v>0</v>
      </c>
      <c r="AA531" s="11">
        <f t="array" ref="AA531">XLOOKUP(A:A,'Raw Revenue'!K:K,'Raw Revenue'!L:L,0)</f>
        <v>0</v>
      </c>
      <c r="AB531" s="11">
        <f t="array" ref="AB531">XLOOKUP(A:A,'Raw Revenue'!M:M,'Raw Revenue'!N:N,0)</f>
        <v>0</v>
      </c>
      <c r="AC531" s="3">
        <v>0.0</v>
      </c>
      <c r="AD531" s="3">
        <v>0.0</v>
      </c>
      <c r="AE531" s="3">
        <v>0.0</v>
      </c>
      <c r="AF531" s="3">
        <v>0.0</v>
      </c>
      <c r="AG531" s="3">
        <v>0.0</v>
      </c>
    </row>
    <row r="532">
      <c r="A532" s="3" t="s">
        <v>1320</v>
      </c>
      <c r="B532" s="3" t="s">
        <v>1321</v>
      </c>
      <c r="C532" s="3" t="str">
        <f t="shared" si="1"/>
        <v>CV. Karya Utama Mandiri</v>
      </c>
      <c r="D532" s="3" t="s">
        <v>130</v>
      </c>
      <c r="E532" s="3" t="s">
        <v>215</v>
      </c>
      <c r="F532" s="3" t="s">
        <v>300</v>
      </c>
      <c r="G532" s="3" t="s">
        <v>70</v>
      </c>
      <c r="H532" s="3" t="str">
        <f t="array" ref="H532">XLOOKUP(G:G,'Account Manager Data'!A:A,'Account Manager Data'!B:B,0)</f>
        <v>Yusuf Hidayat</v>
      </c>
      <c r="I532" s="11" t="str">
        <f t="array" ref="I532">XLOOKUP($G:$G,'Account Manager Data'!$A:$A,'Account Manager Data'!C:C)</f>
        <v>Sumatera</v>
      </c>
      <c r="J532" s="17">
        <v>1626468.0</v>
      </c>
      <c r="K532" s="17">
        <v>6626494.0</v>
      </c>
      <c r="L532" s="17">
        <v>708781.0</v>
      </c>
      <c r="M532" s="17">
        <v>2480930.0</v>
      </c>
      <c r="N532" s="17">
        <v>1420157.0</v>
      </c>
      <c r="O532" s="17">
        <v>960912.0</v>
      </c>
      <c r="P532" s="17">
        <v>7563817.0</v>
      </c>
      <c r="Q532" s="17">
        <v>1.4121112E7</v>
      </c>
      <c r="R532" s="17">
        <v>0.0</v>
      </c>
      <c r="S532" s="17">
        <v>9561971.0</v>
      </c>
      <c r="T532" s="17">
        <v>1.8046206E7</v>
      </c>
      <c r="U532" s="17">
        <v>2316990.0</v>
      </c>
      <c r="V532" s="11">
        <f t="array" ref="V532">XLOOKUP(A:A,'Raw Revenue'!A:A,'Raw Revenue'!B:B,0)
</f>
        <v>0</v>
      </c>
      <c r="W532" s="11">
        <f t="array" ref="W532">XLOOKUP(A:A,'Raw Revenue'!C:C,'Raw Revenue'!D:D,0)</f>
        <v>0</v>
      </c>
      <c r="X532" s="11">
        <f t="array" ref="X532">XLOOKUP(A:A,'Raw Revenue'!E:E,'Raw Revenue'!F:F,0)</f>
        <v>0</v>
      </c>
      <c r="Y532" s="11">
        <f t="array" ref="Y532">XLOOKUP(A:A,'Raw Revenue'!G:G,'Raw Revenue'!H:H,0)</f>
        <v>0</v>
      </c>
      <c r="Z532" s="11">
        <f t="array" ref="Z532">XLOOKUP(A:A,'Raw Revenue'!I:I,'Raw Revenue'!J:J,0)</f>
        <v>0</v>
      </c>
      <c r="AA532" s="11">
        <f t="array" ref="AA532">XLOOKUP(A:A,'Raw Revenue'!K:K,'Raw Revenue'!L:L,0)</f>
        <v>0</v>
      </c>
      <c r="AB532" s="11">
        <f t="array" ref="AB532">XLOOKUP(A:A,'Raw Revenue'!M:M,'Raw Revenue'!N:N,0)</f>
        <v>0</v>
      </c>
      <c r="AC532" s="3">
        <v>0.0</v>
      </c>
      <c r="AD532" s="3">
        <v>0.0</v>
      </c>
      <c r="AE532" s="3">
        <v>0.0</v>
      </c>
      <c r="AF532" s="3">
        <v>0.0</v>
      </c>
      <c r="AG532" s="3">
        <v>0.0</v>
      </c>
    </row>
    <row r="533">
      <c r="A533" s="3" t="s">
        <v>1322</v>
      </c>
      <c r="B533" s="3" t="s">
        <v>1323</v>
      </c>
      <c r="C533" s="3" t="str">
        <f t="shared" si="1"/>
        <v>PT. Pratama Jaya Sentosa</v>
      </c>
      <c r="D533" s="3" t="s">
        <v>214</v>
      </c>
      <c r="E533" s="3" t="s">
        <v>187</v>
      </c>
      <c r="F533" s="3" t="s">
        <v>188</v>
      </c>
      <c r="G533" s="3" t="s">
        <v>15</v>
      </c>
      <c r="H533" s="3" t="str">
        <f t="array" ref="H533">XLOOKUP(G:G,'Account Manager Data'!A:A,'Account Manager Data'!B:B,0)</f>
        <v>Rizky Maulana</v>
      </c>
      <c r="I533" s="11" t="str">
        <f t="array" ref="I533">XLOOKUP($G:$G,'Account Manager Data'!$A:$A,'Account Manager Data'!C:C)</f>
        <v>Jawa</v>
      </c>
      <c r="J533" s="17">
        <v>4616051.0</v>
      </c>
      <c r="K533" s="17">
        <v>6184805.0</v>
      </c>
      <c r="L533" s="17">
        <v>9609610.0</v>
      </c>
      <c r="M533" s="17">
        <v>5212754.0</v>
      </c>
      <c r="N533" s="17">
        <v>2866711.0</v>
      </c>
      <c r="O533" s="17">
        <v>1.0721593E7</v>
      </c>
      <c r="P533" s="17">
        <v>4664040.0</v>
      </c>
      <c r="Q533" s="17">
        <v>1.553508E7</v>
      </c>
      <c r="R533" s="17">
        <v>1.702715E7</v>
      </c>
      <c r="S533" s="17">
        <v>9558981.0</v>
      </c>
      <c r="T533" s="17">
        <v>1.6134335E7</v>
      </c>
      <c r="U533" s="17">
        <v>0.0</v>
      </c>
      <c r="V533" s="11">
        <f t="array" ref="V533">XLOOKUP(A:A,'Raw Revenue'!A:A,'Raw Revenue'!B:B,0)
</f>
        <v>0</v>
      </c>
      <c r="W533" s="11">
        <f t="array" ref="W533">XLOOKUP(A:A,'Raw Revenue'!C:C,'Raw Revenue'!D:D,0)</f>
        <v>0</v>
      </c>
      <c r="X533" s="11">
        <f t="array" ref="X533">XLOOKUP(A:A,'Raw Revenue'!E:E,'Raw Revenue'!F:F,0)</f>
        <v>0</v>
      </c>
      <c r="Y533" s="11">
        <f t="array" ref="Y533">XLOOKUP(A:A,'Raw Revenue'!G:G,'Raw Revenue'!H:H,0)</f>
        <v>0</v>
      </c>
      <c r="Z533" s="11">
        <f t="array" ref="Z533">XLOOKUP(A:A,'Raw Revenue'!I:I,'Raw Revenue'!J:J,0)</f>
        <v>0</v>
      </c>
      <c r="AA533" s="11">
        <f t="array" ref="AA533">XLOOKUP(A:A,'Raw Revenue'!K:K,'Raw Revenue'!L:L,0)</f>
        <v>0</v>
      </c>
      <c r="AB533" s="11">
        <f t="array" ref="AB533">XLOOKUP(A:A,'Raw Revenue'!M:M,'Raw Revenue'!N:N,0)</f>
        <v>0</v>
      </c>
      <c r="AC533" s="3">
        <v>0.0</v>
      </c>
      <c r="AD533" s="3">
        <v>0.0</v>
      </c>
      <c r="AE533" s="3">
        <v>0.0</v>
      </c>
      <c r="AF533" s="3">
        <v>0.0</v>
      </c>
      <c r="AG533" s="3">
        <v>0.0</v>
      </c>
    </row>
    <row r="534">
      <c r="A534" s="3" t="s">
        <v>1324</v>
      </c>
      <c r="B534" s="3" t="s">
        <v>1325</v>
      </c>
      <c r="C534" s="3" t="str">
        <f t="shared" si="1"/>
        <v>PT. Abadi Selamanya Jaya</v>
      </c>
      <c r="D534" s="3" t="s">
        <v>84</v>
      </c>
      <c r="E534" s="3" t="s">
        <v>187</v>
      </c>
      <c r="F534" s="3" t="s">
        <v>295</v>
      </c>
      <c r="G534" s="3" t="s">
        <v>53</v>
      </c>
      <c r="H534" s="3" t="str">
        <f t="array" ref="H534">XLOOKUP(G:G,'Account Manager Data'!A:A,'Account Manager Data'!B:B,0)</f>
        <v>Fajar Ramadhan</v>
      </c>
      <c r="I534" s="11" t="str">
        <f t="array" ref="I534">XLOOKUP($G:$G,'Account Manager Data'!$A:$A,'Account Manager Data'!C:C)</f>
        <v>Sulawesi</v>
      </c>
      <c r="J534" s="17">
        <v>0.0</v>
      </c>
      <c r="K534" s="17">
        <v>884678.0</v>
      </c>
      <c r="L534" s="17">
        <v>9891891.0</v>
      </c>
      <c r="M534" s="17">
        <v>6697376.0</v>
      </c>
      <c r="N534" s="17">
        <v>7030364.0</v>
      </c>
      <c r="O534" s="17">
        <v>3364887.0</v>
      </c>
      <c r="P534" s="17">
        <v>2960048.0</v>
      </c>
      <c r="Q534" s="17">
        <v>1.5385094E7</v>
      </c>
      <c r="R534" s="17">
        <v>2837889.0</v>
      </c>
      <c r="S534" s="17">
        <v>4436122.0</v>
      </c>
      <c r="T534" s="17">
        <v>235161.0</v>
      </c>
      <c r="U534" s="17">
        <v>1.3348005E7</v>
      </c>
      <c r="V534" s="11">
        <f t="array" ref="V534">XLOOKUP(A:A,'Raw Revenue'!A:A,'Raw Revenue'!B:B,0)
</f>
        <v>0</v>
      </c>
      <c r="W534" s="11">
        <f t="array" ref="W534">XLOOKUP(A:A,'Raw Revenue'!C:C,'Raw Revenue'!D:D,0)</f>
        <v>0</v>
      </c>
      <c r="X534" s="11">
        <f t="array" ref="X534">XLOOKUP(A:A,'Raw Revenue'!E:E,'Raw Revenue'!F:F,0)</f>
        <v>0</v>
      </c>
      <c r="Y534" s="11">
        <f t="array" ref="Y534">XLOOKUP(A:A,'Raw Revenue'!G:G,'Raw Revenue'!H:H,0)</f>
        <v>0</v>
      </c>
      <c r="Z534" s="11">
        <f t="array" ref="Z534">XLOOKUP(A:A,'Raw Revenue'!I:I,'Raw Revenue'!J:J,0)</f>
        <v>0</v>
      </c>
      <c r="AA534" s="11">
        <f t="array" ref="AA534">XLOOKUP(A:A,'Raw Revenue'!K:K,'Raw Revenue'!L:L,0)</f>
        <v>0</v>
      </c>
      <c r="AB534" s="11">
        <f t="array" ref="AB534">XLOOKUP(A:A,'Raw Revenue'!M:M,'Raw Revenue'!N:N,0)</f>
        <v>0</v>
      </c>
      <c r="AC534" s="3">
        <v>0.0</v>
      </c>
      <c r="AD534" s="3">
        <v>0.0</v>
      </c>
      <c r="AE534" s="3">
        <v>0.0</v>
      </c>
      <c r="AF534" s="3">
        <v>0.0</v>
      </c>
      <c r="AG534" s="3">
        <v>0.0</v>
      </c>
    </row>
    <row r="535">
      <c r="A535" s="3" t="s">
        <v>1326</v>
      </c>
      <c r="B535" s="3" t="s">
        <v>1327</v>
      </c>
      <c r="C535" s="3" t="str">
        <f t="shared" si="1"/>
        <v>PT. Mandiri Sejahtera Bersama</v>
      </c>
      <c r="D535" s="3" t="s">
        <v>195</v>
      </c>
      <c r="E535" s="3" t="s">
        <v>215</v>
      </c>
      <c r="F535" s="3" t="s">
        <v>227</v>
      </c>
      <c r="G535" s="3" t="s">
        <v>27</v>
      </c>
      <c r="H535" s="3" t="str">
        <f t="array" ref="H535">XLOOKUP(G:G,'Account Manager Data'!A:A,'Account Manager Data'!B:B,0)</f>
        <v>Dedi Kurniawan</v>
      </c>
      <c r="I535" s="11" t="str">
        <f t="array" ref="I535">XLOOKUP($G:$G,'Account Manager Data'!$A:$A,'Account Manager Data'!C:C)</f>
        <v>Kalimantan</v>
      </c>
      <c r="J535" s="17">
        <v>7594600.0</v>
      </c>
      <c r="K535" s="17">
        <v>5294747.0</v>
      </c>
      <c r="L535" s="17">
        <v>539040.0</v>
      </c>
      <c r="M535" s="17">
        <v>0.0</v>
      </c>
      <c r="N535" s="17">
        <v>0.0</v>
      </c>
      <c r="O535" s="17">
        <v>1.4867923E7</v>
      </c>
      <c r="P535" s="17">
        <v>1.1550418E7</v>
      </c>
      <c r="Q535" s="17">
        <v>1.1274556E7</v>
      </c>
      <c r="R535" s="17">
        <v>0.0</v>
      </c>
      <c r="S535" s="17">
        <v>9719283.0</v>
      </c>
      <c r="T535" s="17">
        <v>4498320.0</v>
      </c>
      <c r="U535" s="17">
        <v>5240131.0</v>
      </c>
      <c r="V535" s="11">
        <f t="array" ref="V535">XLOOKUP(A:A,'Raw Revenue'!A:A,'Raw Revenue'!B:B,0)
</f>
        <v>0</v>
      </c>
      <c r="W535" s="11">
        <f t="array" ref="W535">XLOOKUP(A:A,'Raw Revenue'!C:C,'Raw Revenue'!D:D,0)</f>
        <v>0</v>
      </c>
      <c r="X535" s="11">
        <f t="array" ref="X535">XLOOKUP(A:A,'Raw Revenue'!E:E,'Raw Revenue'!F:F,0)</f>
        <v>0</v>
      </c>
      <c r="Y535" s="11">
        <f t="array" ref="Y535">XLOOKUP(A:A,'Raw Revenue'!G:G,'Raw Revenue'!H:H,0)</f>
        <v>0</v>
      </c>
      <c r="Z535" s="11">
        <f t="array" ref="Z535">XLOOKUP(A:A,'Raw Revenue'!I:I,'Raw Revenue'!J:J,0)</f>
        <v>0</v>
      </c>
      <c r="AA535" s="11">
        <f t="array" ref="AA535">XLOOKUP(A:A,'Raw Revenue'!K:K,'Raw Revenue'!L:L,0)</f>
        <v>0</v>
      </c>
      <c r="AB535" s="11">
        <f t="array" ref="AB535">XLOOKUP(A:A,'Raw Revenue'!M:M,'Raw Revenue'!N:N,0)</f>
        <v>0</v>
      </c>
      <c r="AC535" s="3">
        <v>0.0</v>
      </c>
      <c r="AD535" s="3">
        <v>0.0</v>
      </c>
      <c r="AE535" s="3">
        <v>0.0</v>
      </c>
      <c r="AF535" s="3">
        <v>0.0</v>
      </c>
      <c r="AG535" s="3">
        <v>0.0</v>
      </c>
    </row>
    <row r="536">
      <c r="A536" s="3" t="s">
        <v>1328</v>
      </c>
      <c r="B536" s="3" t="s">
        <v>1329</v>
      </c>
      <c r="C536" s="3" t="str">
        <f t="shared" si="1"/>
        <v>PT. Sejahtera Alam Indonesia</v>
      </c>
      <c r="D536" s="3" t="s">
        <v>130</v>
      </c>
      <c r="E536" s="3" t="s">
        <v>104</v>
      </c>
      <c r="F536" s="3" t="s">
        <v>252</v>
      </c>
      <c r="G536" s="3" t="s">
        <v>78</v>
      </c>
      <c r="H536" s="3" t="str">
        <f t="array" ref="H536">XLOOKUP(G:G,'Account Manager Data'!A:A,'Account Manager Data'!B:B,0)</f>
        <v>Ilham Saputra</v>
      </c>
      <c r="I536" s="11" t="str">
        <f t="array" ref="I536">XLOOKUP($G:$G,'Account Manager Data'!$A:$A,'Account Manager Data'!C:C)</f>
        <v>Jawa</v>
      </c>
      <c r="J536" s="17">
        <v>2860028.0</v>
      </c>
      <c r="K536" s="17">
        <v>5095709.0</v>
      </c>
      <c r="L536" s="17">
        <v>1.0526585E7</v>
      </c>
      <c r="M536" s="17">
        <v>481615.0</v>
      </c>
      <c r="N536" s="17">
        <v>6923904.0</v>
      </c>
      <c r="O536" s="17">
        <v>1436453.0</v>
      </c>
      <c r="P536" s="17">
        <v>0.0</v>
      </c>
      <c r="Q536" s="17">
        <v>1.356381E7</v>
      </c>
      <c r="R536" s="17">
        <v>8825068.0</v>
      </c>
      <c r="S536" s="17">
        <v>1.5793897E7</v>
      </c>
      <c r="T536" s="17">
        <v>1.3608188E7</v>
      </c>
      <c r="U536" s="17">
        <v>6056185.0</v>
      </c>
      <c r="V536" s="11">
        <f t="array" ref="V536">XLOOKUP(A:A,'Raw Revenue'!A:A,'Raw Revenue'!B:B,0)
</f>
        <v>0</v>
      </c>
      <c r="W536" s="11">
        <f t="array" ref="W536">XLOOKUP(A:A,'Raw Revenue'!C:C,'Raw Revenue'!D:D,0)</f>
        <v>0</v>
      </c>
      <c r="X536" s="11">
        <f t="array" ref="X536">XLOOKUP(A:A,'Raw Revenue'!E:E,'Raw Revenue'!F:F,0)</f>
        <v>0</v>
      </c>
      <c r="Y536" s="11">
        <f t="array" ref="Y536">XLOOKUP(A:A,'Raw Revenue'!G:G,'Raw Revenue'!H:H,0)</f>
        <v>0</v>
      </c>
      <c r="Z536" s="11">
        <f t="array" ref="Z536">XLOOKUP(A:A,'Raw Revenue'!I:I,'Raw Revenue'!J:J,0)</f>
        <v>0</v>
      </c>
      <c r="AA536" s="11">
        <f t="array" ref="AA536">XLOOKUP(A:A,'Raw Revenue'!K:K,'Raw Revenue'!L:L,0)</f>
        <v>0</v>
      </c>
      <c r="AB536" s="11">
        <f t="array" ref="AB536">XLOOKUP(A:A,'Raw Revenue'!M:M,'Raw Revenue'!N:N,0)</f>
        <v>0</v>
      </c>
      <c r="AC536" s="3">
        <v>0.0</v>
      </c>
      <c r="AD536" s="3">
        <v>0.0</v>
      </c>
      <c r="AE536" s="3">
        <v>0.0</v>
      </c>
      <c r="AF536" s="3">
        <v>0.0</v>
      </c>
      <c r="AG536" s="3">
        <v>0.0</v>
      </c>
    </row>
    <row r="537">
      <c r="A537" s="3" t="s">
        <v>1330</v>
      </c>
      <c r="B537" s="3" t="s">
        <v>1331</v>
      </c>
      <c r="C537" s="3" t="str">
        <f t="shared" si="1"/>
        <v>PT. Indah Kargo Logistik</v>
      </c>
      <c r="D537" s="3" t="s">
        <v>214</v>
      </c>
      <c r="E537" s="3" t="s">
        <v>196</v>
      </c>
      <c r="F537" s="3" t="s">
        <v>197</v>
      </c>
      <c r="G537" s="3" t="s">
        <v>63</v>
      </c>
      <c r="H537" s="3" t="str">
        <f t="array" ref="H537">XLOOKUP(G:G,'Account Manager Data'!A:A,'Account Manager Data'!B:B,0)</f>
        <v>Hendra Gunawan</v>
      </c>
      <c r="I537" s="11" t="str">
        <f t="array" ref="I537">XLOOKUP($G:$G,'Account Manager Data'!$A:$A,'Account Manager Data'!C:C)</f>
        <v>Kalimantan</v>
      </c>
      <c r="J537" s="17">
        <v>5897825.0</v>
      </c>
      <c r="K537" s="17">
        <v>2424365.0</v>
      </c>
      <c r="L537" s="17">
        <v>5199345.0</v>
      </c>
      <c r="M537" s="17">
        <v>7794867.0</v>
      </c>
      <c r="N537" s="17">
        <v>1.1876769E7</v>
      </c>
      <c r="O537" s="17">
        <v>1.1526556E7</v>
      </c>
      <c r="P537" s="17">
        <v>520628.0</v>
      </c>
      <c r="Q537" s="17">
        <v>1.5170458E7</v>
      </c>
      <c r="R537" s="17">
        <v>5734283.0</v>
      </c>
      <c r="S537" s="17">
        <v>6341795.0</v>
      </c>
      <c r="T537" s="17">
        <v>7150728.0</v>
      </c>
      <c r="U537" s="17">
        <v>1.2733681E7</v>
      </c>
      <c r="V537" s="11">
        <f t="array" ref="V537">XLOOKUP(A:A,'Raw Revenue'!A:A,'Raw Revenue'!B:B,0)
</f>
        <v>0</v>
      </c>
      <c r="W537" s="11">
        <f t="array" ref="W537">XLOOKUP(A:A,'Raw Revenue'!C:C,'Raw Revenue'!D:D,0)</f>
        <v>0</v>
      </c>
      <c r="X537" s="11">
        <f t="array" ref="X537">XLOOKUP(A:A,'Raw Revenue'!E:E,'Raw Revenue'!F:F,0)</f>
        <v>0</v>
      </c>
      <c r="Y537" s="11">
        <f t="array" ref="Y537">XLOOKUP(A:A,'Raw Revenue'!G:G,'Raw Revenue'!H:H,0)</f>
        <v>0</v>
      </c>
      <c r="Z537" s="11">
        <f t="array" ref="Z537">XLOOKUP(A:A,'Raw Revenue'!I:I,'Raw Revenue'!J:J,0)</f>
        <v>0</v>
      </c>
      <c r="AA537" s="11">
        <f t="array" ref="AA537">XLOOKUP(A:A,'Raw Revenue'!K:K,'Raw Revenue'!L:L,0)</f>
        <v>0</v>
      </c>
      <c r="AB537" s="11">
        <f t="array" ref="AB537">XLOOKUP(A:A,'Raw Revenue'!M:M,'Raw Revenue'!N:N,0)</f>
        <v>0</v>
      </c>
      <c r="AC537" s="3">
        <v>0.0</v>
      </c>
      <c r="AD537" s="3">
        <v>0.0</v>
      </c>
      <c r="AE537" s="3">
        <v>0.0</v>
      </c>
      <c r="AF537" s="3">
        <v>0.0</v>
      </c>
      <c r="AG537" s="3">
        <v>0.0</v>
      </c>
    </row>
    <row r="538">
      <c r="A538" s="3" t="s">
        <v>1332</v>
      </c>
      <c r="B538" s="3" t="s">
        <v>1333</v>
      </c>
      <c r="C538" s="3" t="str">
        <f t="shared" si="1"/>
        <v>PT. Berkah Alam Semesta</v>
      </c>
      <c r="D538" s="3" t="s">
        <v>130</v>
      </c>
      <c r="E538" s="3" t="s">
        <v>187</v>
      </c>
      <c r="F538" s="3" t="s">
        <v>295</v>
      </c>
      <c r="G538" s="3" t="s">
        <v>35</v>
      </c>
      <c r="H538" s="3" t="str">
        <f t="array" ref="H538">XLOOKUP(G:G,'Account Manager Data'!A:A,'Account Manager Data'!B:B,0)</f>
        <v>Ahmad Fauzi</v>
      </c>
      <c r="I538" s="11" t="str">
        <f t="array" ref="I538">XLOOKUP($G:$G,'Account Manager Data'!$A:$A,'Account Manager Data'!C:C)</f>
        <v>Sumatera</v>
      </c>
      <c r="J538" s="17">
        <v>2350903.0</v>
      </c>
      <c r="K538" s="17">
        <v>3409142.0</v>
      </c>
      <c r="L538" s="17">
        <v>5894593.0</v>
      </c>
      <c r="M538" s="17">
        <v>3510781.0</v>
      </c>
      <c r="N538" s="17">
        <v>1.04898E7</v>
      </c>
      <c r="O538" s="17">
        <v>9819882.0</v>
      </c>
      <c r="P538" s="17">
        <v>0.0</v>
      </c>
      <c r="Q538" s="17">
        <v>311101.0</v>
      </c>
      <c r="R538" s="17">
        <v>6096424.0</v>
      </c>
      <c r="S538" s="17">
        <v>1.7166696E7</v>
      </c>
      <c r="T538" s="17">
        <v>1.1026231E7</v>
      </c>
      <c r="U538" s="17">
        <v>1.2126486E7</v>
      </c>
      <c r="V538" s="11">
        <f t="array" ref="V538">XLOOKUP(A:A,'Raw Revenue'!A:A,'Raw Revenue'!B:B,0)
</f>
        <v>0</v>
      </c>
      <c r="W538" s="11">
        <f t="array" ref="W538">XLOOKUP(A:A,'Raw Revenue'!C:C,'Raw Revenue'!D:D,0)</f>
        <v>0</v>
      </c>
      <c r="X538" s="11">
        <f t="array" ref="X538">XLOOKUP(A:A,'Raw Revenue'!E:E,'Raw Revenue'!F:F,0)</f>
        <v>0</v>
      </c>
      <c r="Y538" s="11">
        <f t="array" ref="Y538">XLOOKUP(A:A,'Raw Revenue'!G:G,'Raw Revenue'!H:H,0)</f>
        <v>0</v>
      </c>
      <c r="Z538" s="11">
        <f t="array" ref="Z538">XLOOKUP(A:A,'Raw Revenue'!I:I,'Raw Revenue'!J:J,0)</f>
        <v>0</v>
      </c>
      <c r="AA538" s="11">
        <f t="array" ref="AA538">XLOOKUP(A:A,'Raw Revenue'!K:K,'Raw Revenue'!L:L,0)</f>
        <v>0</v>
      </c>
      <c r="AB538" s="11">
        <f t="array" ref="AB538">XLOOKUP(A:A,'Raw Revenue'!M:M,'Raw Revenue'!N:N,0)</f>
        <v>0</v>
      </c>
      <c r="AC538" s="3">
        <v>0.0</v>
      </c>
      <c r="AD538" s="3">
        <v>0.0</v>
      </c>
      <c r="AE538" s="3">
        <v>0.0</v>
      </c>
      <c r="AF538" s="3">
        <v>0.0</v>
      </c>
      <c r="AG538" s="3">
        <v>0.0</v>
      </c>
    </row>
    <row r="539">
      <c r="A539" s="3" t="s">
        <v>1334</v>
      </c>
      <c r="B539" s="3" t="s">
        <v>1335</v>
      </c>
      <c r="C539" s="3" t="str">
        <f t="shared" si="1"/>
        <v>PT. Cahaya Baru Indonesia</v>
      </c>
      <c r="D539" s="3" t="s">
        <v>84</v>
      </c>
      <c r="E539" s="3" t="s">
        <v>187</v>
      </c>
      <c r="F539" s="3" t="s">
        <v>269</v>
      </c>
      <c r="G539" s="3" t="s">
        <v>43</v>
      </c>
      <c r="H539" s="3" t="str">
        <f t="array" ref="H539">XLOOKUP(G:G,'Account Manager Data'!A:A,'Account Manager Data'!B:B,0)</f>
        <v>Eko Prasetyo</v>
      </c>
      <c r="I539" s="11" t="str">
        <f t="array" ref="I539">XLOOKUP($G:$G,'Account Manager Data'!$A:$A,'Account Manager Data'!C:C)</f>
        <v>Papua</v>
      </c>
      <c r="J539" s="17">
        <v>3746253.0</v>
      </c>
      <c r="K539" s="17">
        <v>2260892.0</v>
      </c>
      <c r="L539" s="17">
        <v>0.0</v>
      </c>
      <c r="M539" s="17">
        <v>5101664.0</v>
      </c>
      <c r="N539" s="17">
        <v>1382507.0</v>
      </c>
      <c r="O539" s="17">
        <v>1.0328675E7</v>
      </c>
      <c r="P539" s="17">
        <v>1.0799171E7</v>
      </c>
      <c r="Q539" s="17">
        <v>7036383.0</v>
      </c>
      <c r="R539" s="17">
        <v>6103913.0</v>
      </c>
      <c r="S539" s="17">
        <v>1.5649433E7</v>
      </c>
      <c r="T539" s="17">
        <v>1.3000747E7</v>
      </c>
      <c r="U539" s="17">
        <v>9624957.0</v>
      </c>
      <c r="V539" s="11">
        <f t="array" ref="V539">XLOOKUP(A:A,'Raw Revenue'!A:A,'Raw Revenue'!B:B,0)
</f>
        <v>0</v>
      </c>
      <c r="W539" s="11">
        <f t="array" ref="W539">XLOOKUP(A:A,'Raw Revenue'!C:C,'Raw Revenue'!D:D,0)</f>
        <v>0</v>
      </c>
      <c r="X539" s="11">
        <f t="array" ref="X539">XLOOKUP(A:A,'Raw Revenue'!E:E,'Raw Revenue'!F:F,0)</f>
        <v>0</v>
      </c>
      <c r="Y539" s="11">
        <f t="array" ref="Y539">XLOOKUP(A:A,'Raw Revenue'!G:G,'Raw Revenue'!H:H,0)</f>
        <v>0</v>
      </c>
      <c r="Z539" s="11">
        <f t="array" ref="Z539">XLOOKUP(A:A,'Raw Revenue'!I:I,'Raw Revenue'!J:J,0)</f>
        <v>0</v>
      </c>
      <c r="AA539" s="11">
        <f t="array" ref="AA539">XLOOKUP(A:A,'Raw Revenue'!K:K,'Raw Revenue'!L:L,0)</f>
        <v>0</v>
      </c>
      <c r="AB539" s="11">
        <f t="array" ref="AB539">XLOOKUP(A:A,'Raw Revenue'!M:M,'Raw Revenue'!N:N,0)</f>
        <v>0</v>
      </c>
      <c r="AC539" s="3">
        <v>0.0</v>
      </c>
      <c r="AD539" s="3">
        <v>0.0</v>
      </c>
      <c r="AE539" s="3">
        <v>0.0</v>
      </c>
      <c r="AF539" s="3">
        <v>0.0</v>
      </c>
      <c r="AG539" s="3">
        <v>0.0</v>
      </c>
    </row>
    <row r="540">
      <c r="A540" s="3" t="s">
        <v>1336</v>
      </c>
      <c r="B540" s="3" t="s">
        <v>1337</v>
      </c>
      <c r="C540" s="3" t="str">
        <f t="shared" si="1"/>
        <v>PT. Mentari Pagi Sejahtera</v>
      </c>
      <c r="D540" s="3" t="s">
        <v>84</v>
      </c>
      <c r="E540" s="3" t="s">
        <v>196</v>
      </c>
      <c r="F540" s="3" t="s">
        <v>197</v>
      </c>
      <c r="G540" s="3" t="s">
        <v>74</v>
      </c>
      <c r="H540" s="3" t="str">
        <f t="array" ref="H540">XLOOKUP(G:G,'Account Manager Data'!A:A,'Account Manager Data'!B:B,0)</f>
        <v>Budi Santoso</v>
      </c>
      <c r="I540" s="11" t="str">
        <f t="array" ref="I540">XLOOKUP($G:$G,'Account Manager Data'!$A:$A,'Account Manager Data'!C:C)</f>
        <v>Papua</v>
      </c>
      <c r="J540" s="17">
        <v>301308.0</v>
      </c>
      <c r="K540" s="17">
        <v>3602385.0</v>
      </c>
      <c r="L540" s="17">
        <v>1880470.0</v>
      </c>
      <c r="M540" s="17">
        <v>7821988.0</v>
      </c>
      <c r="N540" s="17">
        <v>0.0</v>
      </c>
      <c r="O540" s="17">
        <v>2336183.0</v>
      </c>
      <c r="P540" s="17">
        <v>8688839.0</v>
      </c>
      <c r="Q540" s="17">
        <v>6343099.0</v>
      </c>
      <c r="R540" s="17">
        <v>1.3751026E7</v>
      </c>
      <c r="S540" s="17">
        <v>6953836.0</v>
      </c>
      <c r="T540" s="17">
        <v>1.1875169E7</v>
      </c>
      <c r="U540" s="17">
        <v>6687292.0</v>
      </c>
      <c r="V540" s="11">
        <f t="array" ref="V540">XLOOKUP(A:A,'Raw Revenue'!A:A,'Raw Revenue'!B:B,0)
</f>
        <v>0</v>
      </c>
      <c r="W540" s="11">
        <f t="array" ref="W540">XLOOKUP(A:A,'Raw Revenue'!C:C,'Raw Revenue'!D:D,0)</f>
        <v>0</v>
      </c>
      <c r="X540" s="11">
        <f t="array" ref="X540">XLOOKUP(A:A,'Raw Revenue'!E:E,'Raw Revenue'!F:F,0)</f>
        <v>0</v>
      </c>
      <c r="Y540" s="11">
        <f t="array" ref="Y540">XLOOKUP(A:A,'Raw Revenue'!G:G,'Raw Revenue'!H:H,0)</f>
        <v>0</v>
      </c>
      <c r="Z540" s="11">
        <f t="array" ref="Z540">XLOOKUP(A:A,'Raw Revenue'!I:I,'Raw Revenue'!J:J,0)</f>
        <v>0</v>
      </c>
      <c r="AA540" s="11">
        <f t="array" ref="AA540">XLOOKUP(A:A,'Raw Revenue'!K:K,'Raw Revenue'!L:L,0)</f>
        <v>0</v>
      </c>
      <c r="AB540" s="11">
        <f t="array" ref="AB540">XLOOKUP(A:A,'Raw Revenue'!M:M,'Raw Revenue'!N:N,0)</f>
        <v>0</v>
      </c>
      <c r="AC540" s="3">
        <v>0.0</v>
      </c>
      <c r="AD540" s="3">
        <v>0.0</v>
      </c>
      <c r="AE540" s="3">
        <v>0.0</v>
      </c>
      <c r="AF540" s="3">
        <v>0.0</v>
      </c>
      <c r="AG540" s="3">
        <v>0.0</v>
      </c>
    </row>
    <row r="541">
      <c r="A541" s="3" t="s">
        <v>454</v>
      </c>
      <c r="B541" s="3" t="s">
        <v>1338</v>
      </c>
      <c r="C541" s="3" t="str">
        <f t="shared" si="1"/>
        <v>PT. Bintang Kejora Nusantara</v>
      </c>
      <c r="D541" s="3" t="s">
        <v>103</v>
      </c>
      <c r="E541" s="3" t="s">
        <v>85</v>
      </c>
      <c r="F541" s="3" t="s">
        <v>86</v>
      </c>
      <c r="G541" s="3" t="s">
        <v>76</v>
      </c>
      <c r="H541" s="3" t="str">
        <f t="array" ref="H541">XLOOKUP(G:G,'Account Manager Data'!A:A,'Account Manager Data'!B:B,0)</f>
        <v>Teguh Wijaya</v>
      </c>
      <c r="I541" s="11" t="str">
        <f t="array" ref="I541">XLOOKUP($G:$G,'Account Manager Data'!$A:$A,'Account Manager Data'!C:C)</f>
        <v>Sulawesi</v>
      </c>
      <c r="J541" s="17">
        <v>7933342.0</v>
      </c>
      <c r="K541" s="17">
        <v>2739655.0</v>
      </c>
      <c r="L541" s="17">
        <v>1.0564091E7</v>
      </c>
      <c r="M541" s="17">
        <v>9254283.0</v>
      </c>
      <c r="N541" s="17">
        <v>4946308.0</v>
      </c>
      <c r="O541" s="17">
        <v>5391823.0</v>
      </c>
      <c r="P541" s="17">
        <v>1.5271913E7</v>
      </c>
      <c r="Q541" s="17">
        <v>5773044.0</v>
      </c>
      <c r="R541" s="17">
        <v>6782119.0</v>
      </c>
      <c r="S541" s="17">
        <v>1.3245941E7</v>
      </c>
      <c r="T541" s="17">
        <v>8852257.0</v>
      </c>
      <c r="U541" s="17">
        <v>1.2743732E7</v>
      </c>
      <c r="V541" s="11">
        <f t="array" ref="V541">XLOOKUP(A:A,'Raw Revenue'!A:A,'Raw Revenue'!B:B,0)
</f>
        <v>1265819.869</v>
      </c>
      <c r="W541" s="11">
        <f t="array" ref="W541">XLOOKUP(A:A,'Raw Revenue'!C:C,'Raw Revenue'!D:D,0)</f>
        <v>632909.9345</v>
      </c>
      <c r="X541" s="11">
        <f t="array" ref="X541">XLOOKUP(A:A,'Raw Revenue'!E:E,'Raw Revenue'!F:F,0)</f>
        <v>379745.9607</v>
      </c>
      <c r="Y541" s="11">
        <f t="array" ref="Y541">XLOOKUP(A:A,'Raw Revenue'!G:G,'Raw Revenue'!H:H,0)</f>
        <v>4430369.541</v>
      </c>
      <c r="Z541" s="11">
        <f t="array" ref="Z541">XLOOKUP(A:A,'Raw Revenue'!I:I,'Raw Revenue'!J:J,0)</f>
        <v>1012655.895</v>
      </c>
      <c r="AA541" s="11">
        <f t="array" ref="AA541">XLOOKUP(A:A,'Raw Revenue'!K:K,'Raw Revenue'!L:L,0)</f>
        <v>28480.94705</v>
      </c>
      <c r="AB541" s="11">
        <f t="array" ref="AB541">XLOOKUP(A:A,'Raw Revenue'!M:M,'Raw Revenue'!N:N,0)</f>
        <v>3816446.905</v>
      </c>
      <c r="AC541" s="3">
        <v>0.0</v>
      </c>
      <c r="AD541" s="3">
        <v>0.0</v>
      </c>
      <c r="AE541" s="3">
        <v>0.0</v>
      </c>
      <c r="AF541" s="3">
        <v>0.0</v>
      </c>
      <c r="AG541" s="3">
        <v>0.0</v>
      </c>
    </row>
    <row r="542">
      <c r="A542" s="3" t="s">
        <v>1339</v>
      </c>
      <c r="B542" s="3" t="s">
        <v>1340</v>
      </c>
      <c r="C542" s="3" t="str">
        <f t="shared" si="1"/>
        <v>PT. Maju Jaya</v>
      </c>
      <c r="D542" s="3" t="s">
        <v>195</v>
      </c>
      <c r="E542" s="3" t="s">
        <v>215</v>
      </c>
      <c r="F542" s="3" t="s">
        <v>227</v>
      </c>
      <c r="G542" s="3" t="s">
        <v>70</v>
      </c>
      <c r="H542" s="3" t="str">
        <f t="array" ref="H542">XLOOKUP(G:G,'Account Manager Data'!A:A,'Account Manager Data'!B:B,0)</f>
        <v>Yusuf Hidayat</v>
      </c>
      <c r="I542" s="11" t="str">
        <f t="array" ref="I542">XLOOKUP($G:$G,'Account Manager Data'!$A:$A,'Account Manager Data'!C:C)</f>
        <v>Sumatera</v>
      </c>
      <c r="J542" s="17">
        <v>5111635.0</v>
      </c>
      <c r="K542" s="17">
        <v>6021179.0</v>
      </c>
      <c r="L542" s="17">
        <v>9675992.0</v>
      </c>
      <c r="M542" s="17">
        <v>1742590.0</v>
      </c>
      <c r="N542" s="17">
        <v>7285093.0</v>
      </c>
      <c r="O542" s="17">
        <v>4807877.0</v>
      </c>
      <c r="P542" s="17">
        <v>6889595.0</v>
      </c>
      <c r="Q542" s="17">
        <v>9268531.0</v>
      </c>
      <c r="R542" s="17">
        <v>1039468.0</v>
      </c>
      <c r="S542" s="17">
        <v>1.4515349E7</v>
      </c>
      <c r="T542" s="17">
        <v>1.142113E7</v>
      </c>
      <c r="U542" s="17">
        <v>1.6443758E7</v>
      </c>
      <c r="V542" s="11">
        <f t="array" ref="V542">XLOOKUP(A:A,'Raw Revenue'!A:A,'Raw Revenue'!B:B,0)
</f>
        <v>0</v>
      </c>
      <c r="W542" s="11">
        <f t="array" ref="W542">XLOOKUP(A:A,'Raw Revenue'!C:C,'Raw Revenue'!D:D,0)</f>
        <v>0</v>
      </c>
      <c r="X542" s="11">
        <f t="array" ref="X542">XLOOKUP(A:A,'Raw Revenue'!E:E,'Raw Revenue'!F:F,0)</f>
        <v>0</v>
      </c>
      <c r="Y542" s="11">
        <f t="array" ref="Y542">XLOOKUP(A:A,'Raw Revenue'!G:G,'Raw Revenue'!H:H,0)</f>
        <v>0</v>
      </c>
      <c r="Z542" s="11">
        <f t="array" ref="Z542">XLOOKUP(A:A,'Raw Revenue'!I:I,'Raw Revenue'!J:J,0)</f>
        <v>0</v>
      </c>
      <c r="AA542" s="11">
        <f t="array" ref="AA542">XLOOKUP(A:A,'Raw Revenue'!K:K,'Raw Revenue'!L:L,0)</f>
        <v>0</v>
      </c>
      <c r="AB542" s="11">
        <f t="array" ref="AB542">XLOOKUP(A:A,'Raw Revenue'!M:M,'Raw Revenue'!N:N,0)</f>
        <v>0</v>
      </c>
      <c r="AC542" s="3">
        <v>0.0</v>
      </c>
      <c r="AD542" s="3">
        <v>0.0</v>
      </c>
      <c r="AE542" s="3">
        <v>0.0</v>
      </c>
      <c r="AF542" s="3">
        <v>0.0</v>
      </c>
      <c r="AG542" s="3">
        <v>0.0</v>
      </c>
    </row>
    <row r="543">
      <c r="A543" s="3" t="s">
        <v>148</v>
      </c>
      <c r="B543" s="3" t="s">
        <v>1341</v>
      </c>
      <c r="C543" s="3" t="str">
        <f t="shared" si="1"/>
        <v>CV. Sumber Makmur</v>
      </c>
      <c r="D543" s="3" t="s">
        <v>103</v>
      </c>
      <c r="E543" s="3" t="s">
        <v>104</v>
      </c>
      <c r="F543" s="3" t="s">
        <v>252</v>
      </c>
      <c r="G543" s="3" t="s">
        <v>15</v>
      </c>
      <c r="H543" s="3" t="str">
        <f t="array" ref="H543">XLOOKUP(G:G,'Account Manager Data'!A:A,'Account Manager Data'!B:B,0)</f>
        <v>Rizky Maulana</v>
      </c>
      <c r="I543" s="11" t="str">
        <f t="array" ref="I543">XLOOKUP($G:$G,'Account Manager Data'!$A:$A,'Account Manager Data'!C:C)</f>
        <v>Jawa</v>
      </c>
      <c r="J543" s="17">
        <v>2405596.0</v>
      </c>
      <c r="K543" s="83">
        <v>941176.0</v>
      </c>
      <c r="L543" s="84">
        <v>1.0120482E7</v>
      </c>
      <c r="M543" s="84">
        <v>1.3714286E7</v>
      </c>
      <c r="N543" s="84">
        <v>5126761.0</v>
      </c>
      <c r="O543" s="17">
        <v>5768106.0</v>
      </c>
      <c r="P543" s="84">
        <v>8620690.0</v>
      </c>
      <c r="Q543" s="84">
        <v>0.0</v>
      </c>
      <c r="R543" s="17">
        <v>1.499277E7</v>
      </c>
      <c r="S543" s="17">
        <v>1.3371679E7</v>
      </c>
      <c r="T543" s="17">
        <v>1.4061089E7</v>
      </c>
      <c r="U543" s="17">
        <v>1.861098E7</v>
      </c>
      <c r="V543" s="85">
        <f t="array" ref="V543">XLOOKUP(A:A,'Raw Revenue'!A:A,'Raw Revenue'!B:B,0)
</f>
        <v>4900000</v>
      </c>
      <c r="W543" s="22">
        <f t="array" ref="W543">XLOOKUP(A:A,'Raw Revenue'!C:C,'Raw Revenue'!D:D,0)</f>
        <v>941176</v>
      </c>
      <c r="X543" s="22">
        <f t="array" ref="X543">XLOOKUP(A:A,'Raw Revenue'!E:E,'Raw Revenue'!F:F,0)</f>
        <v>10120482</v>
      </c>
      <c r="Y543" s="22">
        <f t="array" ref="Y543">XLOOKUP(A:A,'Raw Revenue'!G:G,'Raw Revenue'!H:H,0)</f>
        <v>13714286</v>
      </c>
      <c r="Z543" s="22">
        <f t="array" ref="Z543">XLOOKUP(A:A,'Raw Revenue'!I:I,'Raw Revenue'!J:J,0)</f>
        <v>5126761</v>
      </c>
      <c r="AA543" s="22">
        <f t="array" ref="AA543">XLOOKUP(A:A,'Raw Revenue'!K:K,'Raw Revenue'!L:L,0)</f>
        <v>5768106</v>
      </c>
      <c r="AB543" s="22">
        <f t="array" ref="AB543">XLOOKUP(A:A,'Raw Revenue'!M:M,'Raw Revenue'!N:N,0)</f>
        <v>8620690</v>
      </c>
      <c r="AC543" s="3">
        <v>0.0</v>
      </c>
      <c r="AD543" s="3">
        <v>0.0</v>
      </c>
      <c r="AE543" s="3">
        <v>0.0</v>
      </c>
      <c r="AF543" s="3">
        <v>0.0</v>
      </c>
      <c r="AG543" s="3">
        <v>0.0</v>
      </c>
    </row>
    <row r="544">
      <c r="A544" s="3" t="s">
        <v>1342</v>
      </c>
      <c r="B544" s="3" t="s">
        <v>1343</v>
      </c>
      <c r="C544" s="3" t="str">
        <f t="shared" si="1"/>
        <v>PT. Teknologi Nusantara</v>
      </c>
      <c r="D544" s="3" t="s">
        <v>195</v>
      </c>
      <c r="E544" s="3" t="s">
        <v>104</v>
      </c>
      <c r="F544" s="3" t="s">
        <v>134</v>
      </c>
      <c r="G544" s="3" t="s">
        <v>27</v>
      </c>
      <c r="H544" s="3" t="str">
        <f t="array" ref="H544">XLOOKUP(G:G,'Account Manager Data'!A:A,'Account Manager Data'!B:B,0)</f>
        <v>Dedi Kurniawan</v>
      </c>
      <c r="I544" s="11" t="str">
        <f t="array" ref="I544">XLOOKUP($G:$G,'Account Manager Data'!$A:$A,'Account Manager Data'!C:C)</f>
        <v>Kalimantan</v>
      </c>
      <c r="J544" s="17">
        <v>0.0</v>
      </c>
      <c r="K544" s="17">
        <v>882565.0</v>
      </c>
      <c r="L544" s="17">
        <v>4923041.0</v>
      </c>
      <c r="M544" s="17">
        <v>6300195.0</v>
      </c>
      <c r="N544" s="17">
        <v>8871301.0</v>
      </c>
      <c r="O544" s="17">
        <v>1.3244555E7</v>
      </c>
      <c r="P544" s="17">
        <v>0.0</v>
      </c>
      <c r="Q544" s="17">
        <v>1.3766002E7</v>
      </c>
      <c r="R544" s="17">
        <v>7963059.0</v>
      </c>
      <c r="S544" s="17">
        <v>5299385.0</v>
      </c>
      <c r="T544" s="17">
        <v>1.390387E7</v>
      </c>
      <c r="U544" s="17">
        <v>0.0</v>
      </c>
      <c r="V544" s="11">
        <f t="array" ref="V544">XLOOKUP(A:A,'Raw Revenue'!A:A,'Raw Revenue'!B:B,0)
</f>
        <v>0</v>
      </c>
      <c r="W544" s="11">
        <f t="array" ref="W544">XLOOKUP(A:A,'Raw Revenue'!C:C,'Raw Revenue'!D:D,0)</f>
        <v>0</v>
      </c>
      <c r="X544" s="11">
        <f t="array" ref="X544">XLOOKUP(A:A,'Raw Revenue'!E:E,'Raw Revenue'!F:F,0)</f>
        <v>0</v>
      </c>
      <c r="Y544" s="11">
        <f t="array" ref="Y544">XLOOKUP(A:A,'Raw Revenue'!G:G,'Raw Revenue'!H:H,0)</f>
        <v>0</v>
      </c>
      <c r="Z544" s="11">
        <f t="array" ref="Z544">XLOOKUP(A:A,'Raw Revenue'!I:I,'Raw Revenue'!J:J,0)</f>
        <v>0</v>
      </c>
      <c r="AA544" s="11">
        <f t="array" ref="AA544">XLOOKUP(A:A,'Raw Revenue'!K:K,'Raw Revenue'!L:L,0)</f>
        <v>0</v>
      </c>
      <c r="AB544" s="11">
        <f t="array" ref="AB544">XLOOKUP(A:A,'Raw Revenue'!M:M,'Raw Revenue'!N:N,0)</f>
        <v>0</v>
      </c>
      <c r="AC544" s="3">
        <v>0.0</v>
      </c>
      <c r="AD544" s="3">
        <v>0.0</v>
      </c>
      <c r="AE544" s="3">
        <v>0.0</v>
      </c>
      <c r="AF544" s="3">
        <v>0.0</v>
      </c>
      <c r="AG544" s="3">
        <v>0.0</v>
      </c>
    </row>
    <row r="545">
      <c r="A545" s="3" t="s">
        <v>1344</v>
      </c>
      <c r="B545" s="3" t="s">
        <v>1345</v>
      </c>
      <c r="C545" s="3" t="str">
        <f t="shared" si="1"/>
        <v>PT. Bakti Indonesia</v>
      </c>
      <c r="D545" s="3" t="s">
        <v>214</v>
      </c>
      <c r="E545" s="3" t="s">
        <v>85</v>
      </c>
      <c r="F545" s="3" t="s">
        <v>407</v>
      </c>
      <c r="G545" s="3" t="s">
        <v>78</v>
      </c>
      <c r="H545" s="3" t="str">
        <f t="array" ref="H545">XLOOKUP(G:G,'Account Manager Data'!A:A,'Account Manager Data'!B:B,0)</f>
        <v>Ilham Saputra</v>
      </c>
      <c r="I545" s="11" t="str">
        <f t="array" ref="I545">XLOOKUP($G:$G,'Account Manager Data'!$A:$A,'Account Manager Data'!C:C)</f>
        <v>Jawa</v>
      </c>
      <c r="J545" s="17">
        <v>3640266.0</v>
      </c>
      <c r="K545" s="17">
        <v>1590528.0</v>
      </c>
      <c r="L545" s="17">
        <v>0.0</v>
      </c>
      <c r="M545" s="17">
        <v>2755344.0</v>
      </c>
      <c r="N545" s="17">
        <v>5708274.0</v>
      </c>
      <c r="O545" s="17">
        <v>1.0757617E7</v>
      </c>
      <c r="P545" s="17">
        <v>1.0669378E7</v>
      </c>
      <c r="Q545" s="17">
        <v>0.0</v>
      </c>
      <c r="R545" s="17">
        <v>9161411.0</v>
      </c>
      <c r="S545" s="17">
        <v>0.0</v>
      </c>
      <c r="T545" s="17">
        <v>1.6642188E7</v>
      </c>
      <c r="U545" s="17">
        <v>1.698666E7</v>
      </c>
      <c r="V545" s="11">
        <f t="array" ref="V545">XLOOKUP(A:A,'Raw Revenue'!A:A,'Raw Revenue'!B:B,0)
</f>
        <v>0</v>
      </c>
      <c r="W545" s="11">
        <f t="array" ref="W545">XLOOKUP(A:A,'Raw Revenue'!C:C,'Raw Revenue'!D:D,0)</f>
        <v>0</v>
      </c>
      <c r="X545" s="11">
        <f t="array" ref="X545">XLOOKUP(A:A,'Raw Revenue'!E:E,'Raw Revenue'!F:F,0)</f>
        <v>0</v>
      </c>
      <c r="Y545" s="11">
        <f t="array" ref="Y545">XLOOKUP(A:A,'Raw Revenue'!G:G,'Raw Revenue'!H:H,0)</f>
        <v>0</v>
      </c>
      <c r="Z545" s="11">
        <f t="array" ref="Z545">XLOOKUP(A:A,'Raw Revenue'!I:I,'Raw Revenue'!J:J,0)</f>
        <v>0</v>
      </c>
      <c r="AA545" s="11">
        <f t="array" ref="AA545">XLOOKUP(A:A,'Raw Revenue'!K:K,'Raw Revenue'!L:L,0)</f>
        <v>0</v>
      </c>
      <c r="AB545" s="11">
        <f t="array" ref="AB545">XLOOKUP(A:A,'Raw Revenue'!M:M,'Raw Revenue'!N:N,0)</f>
        <v>0</v>
      </c>
      <c r="AC545" s="3">
        <v>0.0</v>
      </c>
      <c r="AD545" s="3">
        <v>0.0</v>
      </c>
      <c r="AE545" s="3">
        <v>0.0</v>
      </c>
      <c r="AF545" s="3">
        <v>0.0</v>
      </c>
      <c r="AG545" s="3">
        <v>0.0</v>
      </c>
    </row>
    <row r="546">
      <c r="A546" s="3" t="s">
        <v>1346</v>
      </c>
      <c r="B546" s="3" t="s">
        <v>1347</v>
      </c>
      <c r="C546" s="3" t="str">
        <f t="shared" si="1"/>
        <v>CV. Amanah Sejahtera</v>
      </c>
      <c r="D546" s="3" t="s">
        <v>195</v>
      </c>
      <c r="E546" s="3" t="s">
        <v>85</v>
      </c>
      <c r="F546" s="3" t="s">
        <v>248</v>
      </c>
      <c r="G546" s="3" t="s">
        <v>53</v>
      </c>
      <c r="H546" s="3" t="str">
        <f t="array" ref="H546">XLOOKUP(G:G,'Account Manager Data'!A:A,'Account Manager Data'!B:B,0)</f>
        <v>Fajar Ramadhan</v>
      </c>
      <c r="I546" s="11" t="str">
        <f t="array" ref="I546">XLOOKUP($G:$G,'Account Manager Data'!$A:$A,'Account Manager Data'!C:C)</f>
        <v>Sulawesi</v>
      </c>
      <c r="J546" s="17">
        <v>6688589.0</v>
      </c>
      <c r="K546" s="17">
        <v>7968375.0</v>
      </c>
      <c r="L546" s="17">
        <v>2371401.0</v>
      </c>
      <c r="M546" s="17">
        <v>1.0625553E7</v>
      </c>
      <c r="N546" s="17">
        <v>4723138.0</v>
      </c>
      <c r="O546" s="17">
        <v>4794966.0</v>
      </c>
      <c r="P546" s="17">
        <v>5753849.0</v>
      </c>
      <c r="Q546" s="17">
        <v>5985131.0</v>
      </c>
      <c r="R546" s="17">
        <v>5745219.0</v>
      </c>
      <c r="S546" s="17">
        <v>1.1813962E7</v>
      </c>
      <c r="T546" s="17">
        <v>6112122.0</v>
      </c>
      <c r="U546" s="17">
        <v>2873252.0</v>
      </c>
      <c r="V546" s="11">
        <f t="array" ref="V546">XLOOKUP(A:A,'Raw Revenue'!A:A,'Raw Revenue'!B:B,0)
</f>
        <v>0</v>
      </c>
      <c r="W546" s="11">
        <f t="array" ref="W546">XLOOKUP(A:A,'Raw Revenue'!C:C,'Raw Revenue'!D:D,0)</f>
        <v>0</v>
      </c>
      <c r="X546" s="11">
        <f t="array" ref="X546">XLOOKUP(A:A,'Raw Revenue'!E:E,'Raw Revenue'!F:F,0)</f>
        <v>0</v>
      </c>
      <c r="Y546" s="11">
        <f t="array" ref="Y546">XLOOKUP(A:A,'Raw Revenue'!G:G,'Raw Revenue'!H:H,0)</f>
        <v>0</v>
      </c>
      <c r="Z546" s="11">
        <f t="array" ref="Z546">XLOOKUP(A:A,'Raw Revenue'!I:I,'Raw Revenue'!J:J,0)</f>
        <v>0</v>
      </c>
      <c r="AA546" s="11">
        <f t="array" ref="AA546">XLOOKUP(A:A,'Raw Revenue'!K:K,'Raw Revenue'!L:L,0)</f>
        <v>0</v>
      </c>
      <c r="AB546" s="11">
        <f t="array" ref="AB546">XLOOKUP(A:A,'Raw Revenue'!M:M,'Raw Revenue'!N:N,0)</f>
        <v>0</v>
      </c>
      <c r="AC546" s="3">
        <v>0.0</v>
      </c>
      <c r="AD546" s="3">
        <v>0.0</v>
      </c>
      <c r="AE546" s="3">
        <v>0.0</v>
      </c>
      <c r="AF546" s="3">
        <v>0.0</v>
      </c>
      <c r="AG546" s="3">
        <v>0.0</v>
      </c>
    </row>
    <row r="547">
      <c r="A547" s="3" t="s">
        <v>1348</v>
      </c>
      <c r="B547" s="3" t="s">
        <v>1349</v>
      </c>
      <c r="C547" s="3" t="str">
        <f t="shared" si="1"/>
        <v>PT. Digital Solusi Pratama</v>
      </c>
      <c r="D547" s="3" t="s">
        <v>84</v>
      </c>
      <c r="E547" s="3" t="s">
        <v>187</v>
      </c>
      <c r="F547" s="3" t="s">
        <v>269</v>
      </c>
      <c r="G547" s="3" t="s">
        <v>63</v>
      </c>
      <c r="H547" s="3" t="str">
        <f t="array" ref="H547">XLOOKUP(G:G,'Account Manager Data'!A:A,'Account Manager Data'!B:B,0)</f>
        <v>Hendra Gunawan</v>
      </c>
      <c r="I547" s="11" t="str">
        <f t="array" ref="I547">XLOOKUP($G:$G,'Account Manager Data'!$A:$A,'Account Manager Data'!C:C)</f>
        <v>Kalimantan</v>
      </c>
      <c r="J547" s="17">
        <v>1817879.0</v>
      </c>
      <c r="K547" s="17">
        <v>3723368.0</v>
      </c>
      <c r="L547" s="17">
        <v>0.0</v>
      </c>
      <c r="M547" s="17">
        <v>5972265.0</v>
      </c>
      <c r="N547" s="17">
        <v>7544412.0</v>
      </c>
      <c r="O547" s="17">
        <v>7690235.0</v>
      </c>
      <c r="P547" s="17">
        <v>2426360.0</v>
      </c>
      <c r="Q547" s="17">
        <v>1.2748005E7</v>
      </c>
      <c r="R547" s="17">
        <v>8844790.0</v>
      </c>
      <c r="S547" s="17">
        <v>5356188.0</v>
      </c>
      <c r="T547" s="17">
        <v>0.0</v>
      </c>
      <c r="U547" s="17">
        <v>1.743684E7</v>
      </c>
      <c r="V547" s="11">
        <f t="array" ref="V547">XLOOKUP(A:A,'Raw Revenue'!A:A,'Raw Revenue'!B:B,0)
</f>
        <v>0</v>
      </c>
      <c r="W547" s="11">
        <f t="array" ref="W547">XLOOKUP(A:A,'Raw Revenue'!C:C,'Raw Revenue'!D:D,0)</f>
        <v>0</v>
      </c>
      <c r="X547" s="11">
        <f t="array" ref="X547">XLOOKUP(A:A,'Raw Revenue'!E:E,'Raw Revenue'!F:F,0)</f>
        <v>0</v>
      </c>
      <c r="Y547" s="11">
        <f t="array" ref="Y547">XLOOKUP(A:A,'Raw Revenue'!G:G,'Raw Revenue'!H:H,0)</f>
        <v>0</v>
      </c>
      <c r="Z547" s="11">
        <f t="array" ref="Z547">XLOOKUP(A:A,'Raw Revenue'!I:I,'Raw Revenue'!J:J,0)</f>
        <v>0</v>
      </c>
      <c r="AA547" s="11">
        <f t="array" ref="AA547">XLOOKUP(A:A,'Raw Revenue'!K:K,'Raw Revenue'!L:L,0)</f>
        <v>0</v>
      </c>
      <c r="AB547" s="11">
        <f t="array" ref="AB547">XLOOKUP(A:A,'Raw Revenue'!M:M,'Raw Revenue'!N:N,0)</f>
        <v>0</v>
      </c>
      <c r="AC547" s="3">
        <v>0.0</v>
      </c>
      <c r="AD547" s="3">
        <v>0.0</v>
      </c>
      <c r="AE547" s="3">
        <v>0.0</v>
      </c>
      <c r="AF547" s="3">
        <v>0.0</v>
      </c>
      <c r="AG547" s="3">
        <v>0.0</v>
      </c>
    </row>
    <row r="548">
      <c r="A548" s="3" t="s">
        <v>1350</v>
      </c>
      <c r="B548" s="3" t="s">
        <v>1351</v>
      </c>
      <c r="C548" s="3" t="str">
        <f t="shared" si="1"/>
        <v>PT. Global Niaga Abadi</v>
      </c>
      <c r="D548" s="3" t="s">
        <v>195</v>
      </c>
      <c r="E548" s="3" t="s">
        <v>187</v>
      </c>
      <c r="F548" s="3" t="s">
        <v>188</v>
      </c>
      <c r="G548" s="3" t="s">
        <v>35</v>
      </c>
      <c r="H548" s="3" t="str">
        <f t="array" ref="H548">XLOOKUP(G:G,'Account Manager Data'!A:A,'Account Manager Data'!B:B,0)</f>
        <v>Ahmad Fauzi</v>
      </c>
      <c r="I548" s="11" t="str">
        <f t="array" ref="I548">XLOOKUP($G:$G,'Account Manager Data'!$A:$A,'Account Manager Data'!C:C)</f>
        <v>Sumatera</v>
      </c>
      <c r="J548" s="17">
        <v>2196862.0</v>
      </c>
      <c r="K548" s="17">
        <v>8265223.0</v>
      </c>
      <c r="L548" s="17">
        <v>5480554.0</v>
      </c>
      <c r="M548" s="17">
        <v>4923146.0</v>
      </c>
      <c r="N548" s="17">
        <v>1.2685515E7</v>
      </c>
      <c r="O548" s="17">
        <v>803339.0</v>
      </c>
      <c r="P548" s="17">
        <v>0.0</v>
      </c>
      <c r="Q548" s="17">
        <v>1.1466146E7</v>
      </c>
      <c r="R548" s="17">
        <v>1.593369E7</v>
      </c>
      <c r="S548" s="17">
        <v>1.3056114E7</v>
      </c>
      <c r="T548" s="17">
        <v>1.3130159E7</v>
      </c>
      <c r="U548" s="17">
        <v>691216.0</v>
      </c>
      <c r="V548" s="11">
        <f t="array" ref="V548">XLOOKUP(A:A,'Raw Revenue'!A:A,'Raw Revenue'!B:B,0)
</f>
        <v>0</v>
      </c>
      <c r="W548" s="11">
        <f t="array" ref="W548">XLOOKUP(A:A,'Raw Revenue'!C:C,'Raw Revenue'!D:D,0)</f>
        <v>0</v>
      </c>
      <c r="X548" s="11">
        <f t="array" ref="X548">XLOOKUP(A:A,'Raw Revenue'!E:E,'Raw Revenue'!F:F,0)</f>
        <v>0</v>
      </c>
      <c r="Y548" s="11">
        <f t="array" ref="Y548">XLOOKUP(A:A,'Raw Revenue'!G:G,'Raw Revenue'!H:H,0)</f>
        <v>0</v>
      </c>
      <c r="Z548" s="11">
        <f t="array" ref="Z548">XLOOKUP(A:A,'Raw Revenue'!I:I,'Raw Revenue'!J:J,0)</f>
        <v>0</v>
      </c>
      <c r="AA548" s="11">
        <f t="array" ref="AA548">XLOOKUP(A:A,'Raw Revenue'!K:K,'Raw Revenue'!L:L,0)</f>
        <v>0</v>
      </c>
      <c r="AB548" s="11">
        <f t="array" ref="AB548">XLOOKUP(A:A,'Raw Revenue'!M:M,'Raw Revenue'!N:N,0)</f>
        <v>0</v>
      </c>
      <c r="AC548" s="3">
        <v>0.0</v>
      </c>
      <c r="AD548" s="3">
        <v>0.0</v>
      </c>
      <c r="AE548" s="3">
        <v>0.0</v>
      </c>
      <c r="AF548" s="3">
        <v>0.0</v>
      </c>
      <c r="AG548" s="3">
        <v>0.0</v>
      </c>
    </row>
    <row r="549">
      <c r="A549" s="3" t="s">
        <v>1352</v>
      </c>
      <c r="B549" s="3" t="s">
        <v>1353</v>
      </c>
      <c r="C549" s="3" t="str">
        <f t="shared" si="1"/>
        <v>PT. Indo Makmur Sentosa</v>
      </c>
      <c r="D549" s="3" t="s">
        <v>186</v>
      </c>
      <c r="E549" s="3" t="s">
        <v>187</v>
      </c>
      <c r="F549" s="3" t="s">
        <v>188</v>
      </c>
      <c r="G549" s="3" t="s">
        <v>74</v>
      </c>
      <c r="H549" s="3" t="str">
        <f t="array" ref="H549">XLOOKUP(G:G,'Account Manager Data'!A:A,'Account Manager Data'!B:B,0)</f>
        <v>Budi Santoso</v>
      </c>
      <c r="I549" s="11" t="str">
        <f t="array" ref="I549">XLOOKUP($G:$G,'Account Manager Data'!$A:$A,'Account Manager Data'!C:C)</f>
        <v>Papua</v>
      </c>
      <c r="J549" s="17">
        <v>5053035.0</v>
      </c>
      <c r="K549" s="17">
        <v>7190015.0</v>
      </c>
      <c r="L549" s="17">
        <v>3295600.0</v>
      </c>
      <c r="M549" s="17">
        <v>1.1575012E7</v>
      </c>
      <c r="N549" s="17">
        <v>7099379.0</v>
      </c>
      <c r="O549" s="17">
        <v>5055533.0</v>
      </c>
      <c r="P549" s="17">
        <v>1.2360295E7</v>
      </c>
      <c r="Q549" s="17">
        <v>1.3438041E7</v>
      </c>
      <c r="R549" s="17">
        <v>3119347.0</v>
      </c>
      <c r="S549" s="17">
        <v>1.3674174E7</v>
      </c>
      <c r="T549" s="17">
        <v>1.4430243E7</v>
      </c>
      <c r="U549" s="17">
        <v>3576282.0</v>
      </c>
      <c r="V549" s="11">
        <f t="array" ref="V549">XLOOKUP(A:A,'Raw Revenue'!A:A,'Raw Revenue'!B:B,0)
</f>
        <v>0</v>
      </c>
      <c r="W549" s="11">
        <f t="array" ref="W549">XLOOKUP(A:A,'Raw Revenue'!C:C,'Raw Revenue'!D:D,0)</f>
        <v>0</v>
      </c>
      <c r="X549" s="11">
        <f t="array" ref="X549">XLOOKUP(A:A,'Raw Revenue'!E:E,'Raw Revenue'!F:F,0)</f>
        <v>0</v>
      </c>
      <c r="Y549" s="11">
        <f t="array" ref="Y549">XLOOKUP(A:A,'Raw Revenue'!G:G,'Raw Revenue'!H:H,0)</f>
        <v>0</v>
      </c>
      <c r="Z549" s="11">
        <f t="array" ref="Z549">XLOOKUP(A:A,'Raw Revenue'!I:I,'Raw Revenue'!J:J,0)</f>
        <v>0</v>
      </c>
      <c r="AA549" s="11">
        <f t="array" ref="AA549">XLOOKUP(A:A,'Raw Revenue'!K:K,'Raw Revenue'!L:L,0)</f>
        <v>0</v>
      </c>
      <c r="AB549" s="11">
        <f t="array" ref="AB549">XLOOKUP(A:A,'Raw Revenue'!M:M,'Raw Revenue'!N:N,0)</f>
        <v>0</v>
      </c>
      <c r="AC549" s="3">
        <v>0.0</v>
      </c>
      <c r="AD549" s="3">
        <v>0.0</v>
      </c>
      <c r="AE549" s="3">
        <v>0.0</v>
      </c>
      <c r="AF549" s="3">
        <v>0.0</v>
      </c>
      <c r="AG549" s="3">
        <v>0.0</v>
      </c>
    </row>
    <row r="550">
      <c r="A550" s="3" t="s">
        <v>1354</v>
      </c>
      <c r="B550" s="3" t="s">
        <v>1355</v>
      </c>
      <c r="C550" s="3" t="str">
        <f t="shared" si="1"/>
        <v>PT. Citra Mandiri Utama</v>
      </c>
      <c r="D550" s="3" t="s">
        <v>84</v>
      </c>
      <c r="E550" s="3" t="s">
        <v>85</v>
      </c>
      <c r="F550" s="3" t="s">
        <v>407</v>
      </c>
      <c r="G550" s="3" t="s">
        <v>43</v>
      </c>
      <c r="H550" s="3" t="str">
        <f t="array" ref="H550">XLOOKUP(G:G,'Account Manager Data'!A:A,'Account Manager Data'!B:B,0)</f>
        <v>Eko Prasetyo</v>
      </c>
      <c r="I550" s="11" t="str">
        <f t="array" ref="I550">XLOOKUP($G:$G,'Account Manager Data'!$A:$A,'Account Manager Data'!C:C)</f>
        <v>Papua</v>
      </c>
      <c r="J550" s="17">
        <v>4737813.0</v>
      </c>
      <c r="K550" s="17">
        <v>498417.0</v>
      </c>
      <c r="L550" s="17">
        <v>7612438.0</v>
      </c>
      <c r="M550" s="17">
        <v>2491974.0</v>
      </c>
      <c r="N550" s="17">
        <v>3506654.0</v>
      </c>
      <c r="O550" s="17">
        <v>5874796.0</v>
      </c>
      <c r="P550" s="17">
        <v>1.0806309E7</v>
      </c>
      <c r="Q550" s="17">
        <v>0.0</v>
      </c>
      <c r="R550" s="17">
        <v>3621787.0</v>
      </c>
      <c r="S550" s="17">
        <v>1.368296E7</v>
      </c>
      <c r="T550" s="17">
        <v>7238962.0</v>
      </c>
      <c r="U550" s="17">
        <v>7787135.0</v>
      </c>
      <c r="V550" s="11">
        <f t="array" ref="V550">XLOOKUP(A:A,'Raw Revenue'!A:A,'Raw Revenue'!B:B,0)
</f>
        <v>0</v>
      </c>
      <c r="W550" s="11">
        <f t="array" ref="W550">XLOOKUP(A:A,'Raw Revenue'!C:C,'Raw Revenue'!D:D,0)</f>
        <v>0</v>
      </c>
      <c r="X550" s="11">
        <f t="array" ref="X550">XLOOKUP(A:A,'Raw Revenue'!E:E,'Raw Revenue'!F:F,0)</f>
        <v>0</v>
      </c>
      <c r="Y550" s="11">
        <f t="array" ref="Y550">XLOOKUP(A:A,'Raw Revenue'!G:G,'Raw Revenue'!H:H,0)</f>
        <v>0</v>
      </c>
      <c r="Z550" s="11">
        <f t="array" ref="Z550">XLOOKUP(A:A,'Raw Revenue'!I:I,'Raw Revenue'!J:J,0)</f>
        <v>0</v>
      </c>
      <c r="AA550" s="11">
        <f t="array" ref="AA550">XLOOKUP(A:A,'Raw Revenue'!K:K,'Raw Revenue'!L:L,0)</f>
        <v>0</v>
      </c>
      <c r="AB550" s="11">
        <f t="array" ref="AB550">XLOOKUP(A:A,'Raw Revenue'!M:M,'Raw Revenue'!N:N,0)</f>
        <v>0</v>
      </c>
      <c r="AC550" s="3">
        <v>0.0</v>
      </c>
      <c r="AD550" s="3">
        <v>0.0</v>
      </c>
      <c r="AE550" s="3">
        <v>0.0</v>
      </c>
      <c r="AF550" s="3">
        <v>0.0</v>
      </c>
      <c r="AG550" s="3">
        <v>0.0</v>
      </c>
    </row>
    <row r="551">
      <c r="A551" s="3" t="s">
        <v>1356</v>
      </c>
      <c r="B551" s="3" t="s">
        <v>1357</v>
      </c>
      <c r="C551" s="3" t="str">
        <f t="shared" si="1"/>
        <v>PT. Sinar Dunia Baru</v>
      </c>
      <c r="D551" s="3" t="s">
        <v>186</v>
      </c>
      <c r="E551" s="3" t="s">
        <v>85</v>
      </c>
      <c r="F551" s="3" t="s">
        <v>407</v>
      </c>
      <c r="G551" s="3" t="s">
        <v>76</v>
      </c>
      <c r="H551" s="3" t="str">
        <f t="array" ref="H551">XLOOKUP(G:G,'Account Manager Data'!A:A,'Account Manager Data'!B:B,0)</f>
        <v>Teguh Wijaya</v>
      </c>
      <c r="I551" s="11" t="str">
        <f t="array" ref="I551">XLOOKUP($G:$G,'Account Manager Data'!$A:$A,'Account Manager Data'!C:C)</f>
        <v>Sulawesi</v>
      </c>
      <c r="J551" s="17">
        <v>8025493.0</v>
      </c>
      <c r="K551" s="17">
        <v>952262.0</v>
      </c>
      <c r="L551" s="17">
        <v>8557083.0</v>
      </c>
      <c r="M551" s="17">
        <v>773283.0</v>
      </c>
      <c r="N551" s="17">
        <v>1.3743743E7</v>
      </c>
      <c r="O551" s="17">
        <v>2312794.0</v>
      </c>
      <c r="P551" s="17">
        <v>8577814.0</v>
      </c>
      <c r="Q551" s="17">
        <v>4938367.0</v>
      </c>
      <c r="R551" s="17">
        <v>2756472.0</v>
      </c>
      <c r="S551" s="17">
        <v>3256513.0</v>
      </c>
      <c r="T551" s="17">
        <v>1.6496747E7</v>
      </c>
      <c r="U551" s="17">
        <v>9907849.0</v>
      </c>
      <c r="V551" s="11">
        <f t="array" ref="V551">XLOOKUP(A:A,'Raw Revenue'!A:A,'Raw Revenue'!B:B,0)
</f>
        <v>0</v>
      </c>
      <c r="W551" s="11">
        <f t="array" ref="W551">XLOOKUP(A:A,'Raw Revenue'!C:C,'Raw Revenue'!D:D,0)</f>
        <v>0</v>
      </c>
      <c r="X551" s="11">
        <f t="array" ref="X551">XLOOKUP(A:A,'Raw Revenue'!E:E,'Raw Revenue'!F:F,0)</f>
        <v>0</v>
      </c>
      <c r="Y551" s="11">
        <f t="array" ref="Y551">XLOOKUP(A:A,'Raw Revenue'!G:G,'Raw Revenue'!H:H,0)</f>
        <v>0</v>
      </c>
      <c r="Z551" s="11">
        <f t="array" ref="Z551">XLOOKUP(A:A,'Raw Revenue'!I:I,'Raw Revenue'!J:J,0)</f>
        <v>0</v>
      </c>
      <c r="AA551" s="11">
        <f t="array" ref="AA551">XLOOKUP(A:A,'Raw Revenue'!K:K,'Raw Revenue'!L:L,0)</f>
        <v>0</v>
      </c>
      <c r="AB551" s="11">
        <f t="array" ref="AB551">XLOOKUP(A:A,'Raw Revenue'!M:M,'Raw Revenue'!N:N,0)</f>
        <v>0</v>
      </c>
      <c r="AC551" s="3">
        <v>0.0</v>
      </c>
      <c r="AD551" s="3">
        <v>0.0</v>
      </c>
      <c r="AE551" s="3">
        <v>0.0</v>
      </c>
      <c r="AF551" s="3">
        <v>0.0</v>
      </c>
      <c r="AG551" s="3">
        <v>0.0</v>
      </c>
    </row>
    <row r="552">
      <c r="A552" s="3" t="s">
        <v>1358</v>
      </c>
      <c r="B552" s="3" t="s">
        <v>1359</v>
      </c>
      <c r="C552" s="3" t="str">
        <f t="shared" si="1"/>
        <v>CV. Karya Utama Mandiri</v>
      </c>
      <c r="D552" s="3" t="s">
        <v>186</v>
      </c>
      <c r="E552" s="3" t="s">
        <v>187</v>
      </c>
      <c r="F552" s="3" t="s">
        <v>295</v>
      </c>
      <c r="G552" s="3" t="s">
        <v>70</v>
      </c>
      <c r="H552" s="3" t="str">
        <f t="array" ref="H552">XLOOKUP(G:G,'Account Manager Data'!A:A,'Account Manager Data'!B:B,0)</f>
        <v>Yusuf Hidayat</v>
      </c>
      <c r="I552" s="11" t="str">
        <f t="array" ref="I552">XLOOKUP($G:$G,'Account Manager Data'!$A:$A,'Account Manager Data'!C:C)</f>
        <v>Sumatera</v>
      </c>
      <c r="J552" s="17">
        <v>5235958.0</v>
      </c>
      <c r="K552" s="17">
        <v>5945880.0</v>
      </c>
      <c r="L552" s="17">
        <v>903324.0</v>
      </c>
      <c r="M552" s="17">
        <v>5605669.0</v>
      </c>
      <c r="N552" s="17">
        <v>3085983.0</v>
      </c>
      <c r="O552" s="17">
        <v>1894850.0</v>
      </c>
      <c r="P552" s="17">
        <v>1.2740836E7</v>
      </c>
      <c r="Q552" s="17">
        <v>8083280.0</v>
      </c>
      <c r="R552" s="17">
        <v>6037143.0</v>
      </c>
      <c r="S552" s="17">
        <v>1.4244676E7</v>
      </c>
      <c r="T552" s="17">
        <v>3865991.0</v>
      </c>
      <c r="U552" s="17">
        <v>1.3628117E7</v>
      </c>
      <c r="V552" s="11">
        <f t="array" ref="V552">XLOOKUP(A:A,'Raw Revenue'!A:A,'Raw Revenue'!B:B,0)
</f>
        <v>0</v>
      </c>
      <c r="W552" s="11">
        <f t="array" ref="W552">XLOOKUP(A:A,'Raw Revenue'!C:C,'Raw Revenue'!D:D,0)</f>
        <v>0</v>
      </c>
      <c r="X552" s="11">
        <f t="array" ref="X552">XLOOKUP(A:A,'Raw Revenue'!E:E,'Raw Revenue'!F:F,0)</f>
        <v>0</v>
      </c>
      <c r="Y552" s="11">
        <f t="array" ref="Y552">XLOOKUP(A:A,'Raw Revenue'!G:G,'Raw Revenue'!H:H,0)</f>
        <v>0</v>
      </c>
      <c r="Z552" s="11">
        <f t="array" ref="Z552">XLOOKUP(A:A,'Raw Revenue'!I:I,'Raw Revenue'!J:J,0)</f>
        <v>0</v>
      </c>
      <c r="AA552" s="11">
        <f t="array" ref="AA552">XLOOKUP(A:A,'Raw Revenue'!K:K,'Raw Revenue'!L:L,0)</f>
        <v>0</v>
      </c>
      <c r="AB552" s="11">
        <f t="array" ref="AB552">XLOOKUP(A:A,'Raw Revenue'!M:M,'Raw Revenue'!N:N,0)</f>
        <v>0</v>
      </c>
      <c r="AC552" s="3">
        <v>0.0</v>
      </c>
      <c r="AD552" s="3">
        <v>0.0</v>
      </c>
      <c r="AE552" s="3">
        <v>0.0</v>
      </c>
      <c r="AF552" s="3">
        <v>0.0</v>
      </c>
      <c r="AG552" s="3">
        <v>0.0</v>
      </c>
    </row>
    <row r="553">
      <c r="A553" s="3" t="s">
        <v>1360</v>
      </c>
      <c r="B553" s="3" t="s">
        <v>1361</v>
      </c>
      <c r="C553" s="3" t="str">
        <f t="shared" si="1"/>
        <v>PT. Pratama Jaya Sentosa</v>
      </c>
      <c r="D553" s="3" t="s">
        <v>84</v>
      </c>
      <c r="E553" s="3" t="s">
        <v>215</v>
      </c>
      <c r="F553" s="3" t="s">
        <v>216</v>
      </c>
      <c r="G553" s="3" t="s">
        <v>15</v>
      </c>
      <c r="H553" s="3" t="str">
        <f t="array" ref="H553">XLOOKUP(G:G,'Account Manager Data'!A:A,'Account Manager Data'!B:B,0)</f>
        <v>Rizky Maulana</v>
      </c>
      <c r="I553" s="11" t="str">
        <f t="array" ref="I553">XLOOKUP($G:$G,'Account Manager Data'!$A:$A,'Account Manager Data'!C:C)</f>
        <v>Jawa</v>
      </c>
      <c r="J553" s="17">
        <v>6393666.0</v>
      </c>
      <c r="K553" s="17">
        <v>839120.0</v>
      </c>
      <c r="L553" s="17">
        <v>5229759.0</v>
      </c>
      <c r="M553" s="17">
        <v>650579.0</v>
      </c>
      <c r="N553" s="17">
        <v>848033.0</v>
      </c>
      <c r="O553" s="17">
        <v>2584382.0</v>
      </c>
      <c r="P553" s="17">
        <v>1.5978302E7</v>
      </c>
      <c r="Q553" s="17">
        <v>8331130.0</v>
      </c>
      <c r="R553" s="17">
        <v>1596804.0</v>
      </c>
      <c r="S553" s="17">
        <v>1168148.0</v>
      </c>
      <c r="T553" s="17">
        <v>0.0</v>
      </c>
      <c r="U553" s="17">
        <v>299273.0</v>
      </c>
      <c r="V553" s="11">
        <f t="array" ref="V553">XLOOKUP(A:A,'Raw Revenue'!A:A,'Raw Revenue'!B:B,0)
</f>
        <v>0</v>
      </c>
      <c r="W553" s="11">
        <f t="array" ref="W553">XLOOKUP(A:A,'Raw Revenue'!C:C,'Raw Revenue'!D:D,0)</f>
        <v>0</v>
      </c>
      <c r="X553" s="11">
        <f t="array" ref="X553">XLOOKUP(A:A,'Raw Revenue'!E:E,'Raw Revenue'!F:F,0)</f>
        <v>0</v>
      </c>
      <c r="Y553" s="11">
        <f t="array" ref="Y553">XLOOKUP(A:A,'Raw Revenue'!G:G,'Raw Revenue'!H:H,0)</f>
        <v>0</v>
      </c>
      <c r="Z553" s="11">
        <f t="array" ref="Z553">XLOOKUP(A:A,'Raw Revenue'!I:I,'Raw Revenue'!J:J,0)</f>
        <v>0</v>
      </c>
      <c r="AA553" s="11">
        <f t="array" ref="AA553">XLOOKUP(A:A,'Raw Revenue'!K:K,'Raw Revenue'!L:L,0)</f>
        <v>0</v>
      </c>
      <c r="AB553" s="11">
        <f t="array" ref="AB553">XLOOKUP(A:A,'Raw Revenue'!M:M,'Raw Revenue'!N:N,0)</f>
        <v>0</v>
      </c>
      <c r="AC553" s="3">
        <v>0.0</v>
      </c>
      <c r="AD553" s="3">
        <v>0.0</v>
      </c>
      <c r="AE553" s="3">
        <v>0.0</v>
      </c>
      <c r="AF553" s="3">
        <v>0.0</v>
      </c>
      <c r="AG553" s="3">
        <v>0.0</v>
      </c>
    </row>
    <row r="554">
      <c r="A554" s="3" t="s">
        <v>1362</v>
      </c>
      <c r="B554" s="3" t="s">
        <v>1363</v>
      </c>
      <c r="C554" s="3" t="str">
        <f t="shared" si="1"/>
        <v>PT. Abadi Selamanya Jaya</v>
      </c>
      <c r="D554" s="3" t="s">
        <v>130</v>
      </c>
      <c r="E554" s="3" t="s">
        <v>104</v>
      </c>
      <c r="F554" s="3" t="s">
        <v>134</v>
      </c>
      <c r="G554" s="3" t="s">
        <v>53</v>
      </c>
      <c r="H554" s="3" t="str">
        <f t="array" ref="H554">XLOOKUP(G:G,'Account Manager Data'!A:A,'Account Manager Data'!B:B,0)</f>
        <v>Fajar Ramadhan</v>
      </c>
      <c r="I554" s="11" t="str">
        <f t="array" ref="I554">XLOOKUP($G:$G,'Account Manager Data'!$A:$A,'Account Manager Data'!C:C)</f>
        <v>Sulawesi</v>
      </c>
      <c r="J554" s="17">
        <v>6555032.0</v>
      </c>
      <c r="K554" s="17">
        <v>1587704.0</v>
      </c>
      <c r="L554" s="17">
        <v>2845676.0</v>
      </c>
      <c r="M554" s="17">
        <v>6597197.0</v>
      </c>
      <c r="N554" s="17">
        <v>9688403.0</v>
      </c>
      <c r="O554" s="17">
        <v>7407011.0</v>
      </c>
      <c r="P554" s="17">
        <v>526948.0</v>
      </c>
      <c r="Q554" s="17">
        <v>0.0</v>
      </c>
      <c r="R554" s="17">
        <v>0.0</v>
      </c>
      <c r="S554" s="17">
        <v>1.0918187E7</v>
      </c>
      <c r="T554" s="17">
        <v>1.75504E7</v>
      </c>
      <c r="U554" s="17">
        <v>1315629.0</v>
      </c>
      <c r="V554" s="11">
        <f t="array" ref="V554">XLOOKUP(A:A,'Raw Revenue'!A:A,'Raw Revenue'!B:B,0)
</f>
        <v>0</v>
      </c>
      <c r="W554" s="11">
        <f t="array" ref="W554">XLOOKUP(A:A,'Raw Revenue'!C:C,'Raw Revenue'!D:D,0)</f>
        <v>0</v>
      </c>
      <c r="X554" s="11">
        <f t="array" ref="X554">XLOOKUP(A:A,'Raw Revenue'!E:E,'Raw Revenue'!F:F,0)</f>
        <v>0</v>
      </c>
      <c r="Y554" s="11">
        <f t="array" ref="Y554">XLOOKUP(A:A,'Raw Revenue'!G:G,'Raw Revenue'!H:H,0)</f>
        <v>0</v>
      </c>
      <c r="Z554" s="11">
        <f t="array" ref="Z554">XLOOKUP(A:A,'Raw Revenue'!I:I,'Raw Revenue'!J:J,0)</f>
        <v>0</v>
      </c>
      <c r="AA554" s="11">
        <f t="array" ref="AA554">XLOOKUP(A:A,'Raw Revenue'!K:K,'Raw Revenue'!L:L,0)</f>
        <v>0</v>
      </c>
      <c r="AB554" s="11">
        <f t="array" ref="AB554">XLOOKUP(A:A,'Raw Revenue'!M:M,'Raw Revenue'!N:N,0)</f>
        <v>0</v>
      </c>
      <c r="AC554" s="3">
        <v>0.0</v>
      </c>
      <c r="AD554" s="3">
        <v>0.0</v>
      </c>
      <c r="AE554" s="3">
        <v>0.0</v>
      </c>
      <c r="AF554" s="3">
        <v>0.0</v>
      </c>
      <c r="AG554" s="3">
        <v>0.0</v>
      </c>
    </row>
    <row r="555">
      <c r="A555" s="3" t="s">
        <v>1364</v>
      </c>
      <c r="B555" s="3" t="s">
        <v>1365</v>
      </c>
      <c r="C555" s="3" t="str">
        <f t="shared" si="1"/>
        <v>PT. Mandiri Sejahtera Bersama</v>
      </c>
      <c r="D555" s="3" t="s">
        <v>195</v>
      </c>
      <c r="E555" s="3" t="s">
        <v>215</v>
      </c>
      <c r="F555" s="3" t="s">
        <v>300</v>
      </c>
      <c r="G555" s="3" t="s">
        <v>27</v>
      </c>
      <c r="H555" s="3" t="str">
        <f t="array" ref="H555">XLOOKUP(G:G,'Account Manager Data'!A:A,'Account Manager Data'!B:B,0)</f>
        <v>Dedi Kurniawan</v>
      </c>
      <c r="I555" s="11" t="str">
        <f t="array" ref="I555">XLOOKUP($G:$G,'Account Manager Data'!$A:$A,'Account Manager Data'!C:C)</f>
        <v>Kalimantan</v>
      </c>
      <c r="J555" s="17">
        <v>6154501.0</v>
      </c>
      <c r="K555" s="17">
        <v>5238541.0</v>
      </c>
      <c r="L555" s="17">
        <v>9186125.0</v>
      </c>
      <c r="M555" s="17">
        <v>0.0</v>
      </c>
      <c r="N555" s="17">
        <v>1.0582089E7</v>
      </c>
      <c r="O555" s="17">
        <v>1.4644698E7</v>
      </c>
      <c r="P555" s="17">
        <v>6790818.0</v>
      </c>
      <c r="Q555" s="17">
        <v>1867751.0</v>
      </c>
      <c r="R555" s="17">
        <v>4361541.0</v>
      </c>
      <c r="S555" s="17">
        <v>4564238.0</v>
      </c>
      <c r="T555" s="17">
        <v>1.3732335E7</v>
      </c>
      <c r="U555" s="17">
        <v>1.5527873E7</v>
      </c>
      <c r="V555" s="11">
        <f t="array" ref="V555">XLOOKUP(A:A,'Raw Revenue'!A:A,'Raw Revenue'!B:B,0)
</f>
        <v>0</v>
      </c>
      <c r="W555" s="11">
        <f t="array" ref="W555">XLOOKUP(A:A,'Raw Revenue'!C:C,'Raw Revenue'!D:D,0)</f>
        <v>0</v>
      </c>
      <c r="X555" s="11">
        <f t="array" ref="X555">XLOOKUP(A:A,'Raw Revenue'!E:E,'Raw Revenue'!F:F,0)</f>
        <v>0</v>
      </c>
      <c r="Y555" s="11">
        <f t="array" ref="Y555">XLOOKUP(A:A,'Raw Revenue'!G:G,'Raw Revenue'!H:H,0)</f>
        <v>0</v>
      </c>
      <c r="Z555" s="11">
        <f t="array" ref="Z555">XLOOKUP(A:A,'Raw Revenue'!I:I,'Raw Revenue'!J:J,0)</f>
        <v>0</v>
      </c>
      <c r="AA555" s="11">
        <f t="array" ref="AA555">XLOOKUP(A:A,'Raw Revenue'!K:K,'Raw Revenue'!L:L,0)</f>
        <v>0</v>
      </c>
      <c r="AB555" s="11">
        <f t="array" ref="AB555">XLOOKUP(A:A,'Raw Revenue'!M:M,'Raw Revenue'!N:N,0)</f>
        <v>0</v>
      </c>
      <c r="AC555" s="3">
        <v>0.0</v>
      </c>
      <c r="AD555" s="3">
        <v>0.0</v>
      </c>
      <c r="AE555" s="3">
        <v>0.0</v>
      </c>
      <c r="AF555" s="3">
        <v>0.0</v>
      </c>
      <c r="AG555" s="3">
        <v>0.0</v>
      </c>
    </row>
    <row r="556">
      <c r="A556" s="3" t="s">
        <v>1366</v>
      </c>
      <c r="B556" s="3" t="s">
        <v>1367</v>
      </c>
      <c r="C556" s="3" t="str">
        <f t="shared" si="1"/>
        <v>PT. Sejahtera Alam Indonesia</v>
      </c>
      <c r="D556" s="3" t="s">
        <v>214</v>
      </c>
      <c r="E556" s="3" t="s">
        <v>187</v>
      </c>
      <c r="F556" s="3" t="s">
        <v>269</v>
      </c>
      <c r="G556" s="3" t="s">
        <v>78</v>
      </c>
      <c r="H556" s="3" t="str">
        <f t="array" ref="H556">XLOOKUP(G:G,'Account Manager Data'!A:A,'Account Manager Data'!B:B,0)</f>
        <v>Ilham Saputra</v>
      </c>
      <c r="I556" s="11" t="str">
        <f t="array" ref="I556">XLOOKUP($G:$G,'Account Manager Data'!$A:$A,'Account Manager Data'!C:C)</f>
        <v>Jawa</v>
      </c>
      <c r="J556" s="17">
        <v>6222592.0</v>
      </c>
      <c r="K556" s="17">
        <v>6996299.0</v>
      </c>
      <c r="L556" s="17">
        <v>1525020.0</v>
      </c>
      <c r="M556" s="17">
        <v>7241698.0</v>
      </c>
      <c r="N556" s="17">
        <v>1.028524E7</v>
      </c>
      <c r="O556" s="17">
        <v>4954779.0</v>
      </c>
      <c r="P556" s="17">
        <v>1.4605848E7</v>
      </c>
      <c r="Q556" s="17">
        <v>0.0</v>
      </c>
      <c r="R556" s="17">
        <v>2794733.0</v>
      </c>
      <c r="S556" s="17">
        <v>1.162891E7</v>
      </c>
      <c r="T556" s="17">
        <v>1.3004199E7</v>
      </c>
      <c r="U556" s="17">
        <v>6962591.0</v>
      </c>
      <c r="V556" s="11">
        <f t="array" ref="V556">XLOOKUP(A:A,'Raw Revenue'!A:A,'Raw Revenue'!B:B,0)
</f>
        <v>0</v>
      </c>
      <c r="W556" s="11">
        <f t="array" ref="W556">XLOOKUP(A:A,'Raw Revenue'!C:C,'Raw Revenue'!D:D,0)</f>
        <v>0</v>
      </c>
      <c r="X556" s="11">
        <f t="array" ref="X556">XLOOKUP(A:A,'Raw Revenue'!E:E,'Raw Revenue'!F:F,0)</f>
        <v>0</v>
      </c>
      <c r="Y556" s="11">
        <f t="array" ref="Y556">XLOOKUP(A:A,'Raw Revenue'!G:G,'Raw Revenue'!H:H,0)</f>
        <v>0</v>
      </c>
      <c r="Z556" s="11">
        <f t="array" ref="Z556">XLOOKUP(A:A,'Raw Revenue'!I:I,'Raw Revenue'!J:J,0)</f>
        <v>0</v>
      </c>
      <c r="AA556" s="11">
        <f t="array" ref="AA556">XLOOKUP(A:A,'Raw Revenue'!K:K,'Raw Revenue'!L:L,0)</f>
        <v>0</v>
      </c>
      <c r="AB556" s="11">
        <f t="array" ref="AB556">XLOOKUP(A:A,'Raw Revenue'!M:M,'Raw Revenue'!N:N,0)</f>
        <v>0</v>
      </c>
      <c r="AC556" s="3">
        <v>0.0</v>
      </c>
      <c r="AD556" s="3">
        <v>0.0</v>
      </c>
      <c r="AE556" s="3">
        <v>0.0</v>
      </c>
      <c r="AF556" s="3">
        <v>0.0</v>
      </c>
      <c r="AG556" s="3">
        <v>0.0</v>
      </c>
    </row>
    <row r="557">
      <c r="A557" s="3" t="s">
        <v>1368</v>
      </c>
      <c r="B557" s="3" t="s">
        <v>1369</v>
      </c>
      <c r="C557" s="3" t="str">
        <f t="shared" si="1"/>
        <v>PT. Indah Kargo Logistik</v>
      </c>
      <c r="D557" s="3" t="s">
        <v>214</v>
      </c>
      <c r="E557" s="3" t="s">
        <v>104</v>
      </c>
      <c r="F557" s="3" t="s">
        <v>105</v>
      </c>
      <c r="G557" s="3" t="s">
        <v>63</v>
      </c>
      <c r="H557" s="3" t="str">
        <f t="array" ref="H557">XLOOKUP(G:G,'Account Manager Data'!A:A,'Account Manager Data'!B:B,0)</f>
        <v>Hendra Gunawan</v>
      </c>
      <c r="I557" s="11" t="str">
        <f t="array" ref="I557">XLOOKUP($G:$G,'Account Manager Data'!$A:$A,'Account Manager Data'!C:C)</f>
        <v>Kalimantan</v>
      </c>
      <c r="J557" s="17">
        <v>2781968.0</v>
      </c>
      <c r="K557" s="17">
        <v>3970790.0</v>
      </c>
      <c r="L557" s="17">
        <v>5008537.0</v>
      </c>
      <c r="M557" s="17">
        <v>434576.0</v>
      </c>
      <c r="N557" s="17">
        <v>1.2486662E7</v>
      </c>
      <c r="O557" s="17">
        <v>1.1028728E7</v>
      </c>
      <c r="P557" s="17">
        <v>1.3612678E7</v>
      </c>
      <c r="Q557" s="17">
        <v>1.2715225E7</v>
      </c>
      <c r="R557" s="17">
        <v>2028453.0</v>
      </c>
      <c r="S557" s="17">
        <v>1.0088572E7</v>
      </c>
      <c r="T557" s="17">
        <v>3476689.0</v>
      </c>
      <c r="U557" s="17">
        <v>1.720852E7</v>
      </c>
      <c r="V557" s="11">
        <f t="array" ref="V557">XLOOKUP(A:A,'Raw Revenue'!A:A,'Raw Revenue'!B:B,0)
</f>
        <v>0</v>
      </c>
      <c r="W557" s="11">
        <f t="array" ref="W557">XLOOKUP(A:A,'Raw Revenue'!C:C,'Raw Revenue'!D:D,0)</f>
        <v>0</v>
      </c>
      <c r="X557" s="11">
        <f t="array" ref="X557">XLOOKUP(A:A,'Raw Revenue'!E:E,'Raw Revenue'!F:F,0)</f>
        <v>0</v>
      </c>
      <c r="Y557" s="11">
        <f t="array" ref="Y557">XLOOKUP(A:A,'Raw Revenue'!G:G,'Raw Revenue'!H:H,0)</f>
        <v>0</v>
      </c>
      <c r="Z557" s="11">
        <f t="array" ref="Z557">XLOOKUP(A:A,'Raw Revenue'!I:I,'Raw Revenue'!J:J,0)</f>
        <v>0</v>
      </c>
      <c r="AA557" s="11">
        <f t="array" ref="AA557">XLOOKUP(A:A,'Raw Revenue'!K:K,'Raw Revenue'!L:L,0)</f>
        <v>0</v>
      </c>
      <c r="AB557" s="11">
        <f t="array" ref="AB557">XLOOKUP(A:A,'Raw Revenue'!M:M,'Raw Revenue'!N:N,0)</f>
        <v>0</v>
      </c>
      <c r="AC557" s="3">
        <v>0.0</v>
      </c>
      <c r="AD557" s="3">
        <v>0.0</v>
      </c>
      <c r="AE557" s="3">
        <v>0.0</v>
      </c>
      <c r="AF557" s="3">
        <v>0.0</v>
      </c>
      <c r="AG557" s="3">
        <v>0.0</v>
      </c>
    </row>
    <row r="558">
      <c r="A558" s="3" t="s">
        <v>1370</v>
      </c>
      <c r="B558" s="3" t="s">
        <v>1371</v>
      </c>
      <c r="C558" s="3" t="str">
        <f t="shared" si="1"/>
        <v>PT. Berkah Alam Semesta</v>
      </c>
      <c r="D558" s="3" t="s">
        <v>214</v>
      </c>
      <c r="E558" s="3" t="s">
        <v>85</v>
      </c>
      <c r="F558" s="3" t="s">
        <v>86</v>
      </c>
      <c r="G558" s="3" t="s">
        <v>35</v>
      </c>
      <c r="H558" s="3" t="str">
        <f t="array" ref="H558">XLOOKUP(G:G,'Account Manager Data'!A:A,'Account Manager Data'!B:B,0)</f>
        <v>Ahmad Fauzi</v>
      </c>
      <c r="I558" s="11" t="str">
        <f t="array" ref="I558">XLOOKUP($G:$G,'Account Manager Data'!$A:$A,'Account Manager Data'!C:C)</f>
        <v>Sumatera</v>
      </c>
      <c r="J558" s="17">
        <v>5575457.0</v>
      </c>
      <c r="K558" s="17">
        <v>0.0</v>
      </c>
      <c r="L558" s="17">
        <v>1729051.0</v>
      </c>
      <c r="M558" s="17">
        <v>0.0</v>
      </c>
      <c r="N558" s="17">
        <v>6214728.0</v>
      </c>
      <c r="O558" s="17">
        <v>3291229.0</v>
      </c>
      <c r="P558" s="17">
        <v>9722076.0</v>
      </c>
      <c r="Q558" s="17">
        <v>1.4850255E7</v>
      </c>
      <c r="R558" s="17">
        <v>3236109.0</v>
      </c>
      <c r="S558" s="17">
        <v>1.2256912E7</v>
      </c>
      <c r="T558" s="17">
        <v>2614046.0</v>
      </c>
      <c r="U558" s="17">
        <v>0.0</v>
      </c>
      <c r="V558" s="11">
        <f t="array" ref="V558">XLOOKUP(A:A,'Raw Revenue'!A:A,'Raw Revenue'!B:B,0)
</f>
        <v>0</v>
      </c>
      <c r="W558" s="11">
        <f t="array" ref="W558">XLOOKUP(A:A,'Raw Revenue'!C:C,'Raw Revenue'!D:D,0)</f>
        <v>0</v>
      </c>
      <c r="X558" s="11">
        <f t="array" ref="X558">XLOOKUP(A:A,'Raw Revenue'!E:E,'Raw Revenue'!F:F,0)</f>
        <v>0</v>
      </c>
      <c r="Y558" s="11">
        <f t="array" ref="Y558">XLOOKUP(A:A,'Raw Revenue'!G:G,'Raw Revenue'!H:H,0)</f>
        <v>0</v>
      </c>
      <c r="Z558" s="11">
        <f t="array" ref="Z558">XLOOKUP(A:A,'Raw Revenue'!I:I,'Raw Revenue'!J:J,0)</f>
        <v>0</v>
      </c>
      <c r="AA558" s="11">
        <f t="array" ref="AA558">XLOOKUP(A:A,'Raw Revenue'!K:K,'Raw Revenue'!L:L,0)</f>
        <v>0</v>
      </c>
      <c r="AB558" s="11">
        <f t="array" ref="AB558">XLOOKUP(A:A,'Raw Revenue'!M:M,'Raw Revenue'!N:N,0)</f>
        <v>0</v>
      </c>
      <c r="AC558" s="3">
        <v>0.0</v>
      </c>
      <c r="AD558" s="3">
        <v>0.0</v>
      </c>
      <c r="AE558" s="3">
        <v>0.0</v>
      </c>
      <c r="AF558" s="3">
        <v>0.0</v>
      </c>
      <c r="AG558" s="3">
        <v>0.0</v>
      </c>
    </row>
    <row r="559">
      <c r="A559" s="3" t="s">
        <v>1372</v>
      </c>
      <c r="B559" s="3" t="s">
        <v>1373</v>
      </c>
      <c r="C559" s="3" t="str">
        <f t="shared" si="1"/>
        <v>PT. Cahaya Baru Indonesia</v>
      </c>
      <c r="D559" s="3" t="s">
        <v>214</v>
      </c>
      <c r="E559" s="3" t="s">
        <v>85</v>
      </c>
      <c r="F559" s="3" t="s">
        <v>248</v>
      </c>
      <c r="G559" s="3" t="s">
        <v>43</v>
      </c>
      <c r="H559" s="3" t="str">
        <f t="array" ref="H559">XLOOKUP(G:G,'Account Manager Data'!A:A,'Account Manager Data'!B:B,0)</f>
        <v>Eko Prasetyo</v>
      </c>
      <c r="I559" s="11" t="str">
        <f t="array" ref="I559">XLOOKUP($G:$G,'Account Manager Data'!$A:$A,'Account Manager Data'!C:C)</f>
        <v>Papua</v>
      </c>
      <c r="J559" s="17">
        <v>7453277.0</v>
      </c>
      <c r="K559" s="17">
        <v>1798084.0</v>
      </c>
      <c r="L559" s="17">
        <v>7516787.0</v>
      </c>
      <c r="M559" s="17">
        <v>518139.0</v>
      </c>
      <c r="N559" s="17">
        <v>1.3132797E7</v>
      </c>
      <c r="O559" s="17">
        <v>9698620.0</v>
      </c>
      <c r="P559" s="17">
        <v>4082090.0</v>
      </c>
      <c r="Q559" s="17">
        <v>2390290.0</v>
      </c>
      <c r="R559" s="17">
        <v>1.0620351E7</v>
      </c>
      <c r="S559" s="17">
        <v>1.2152062E7</v>
      </c>
      <c r="T559" s="17">
        <v>2288188.0</v>
      </c>
      <c r="U559" s="17">
        <v>5331632.0</v>
      </c>
      <c r="V559" s="11">
        <f t="array" ref="V559">XLOOKUP(A:A,'Raw Revenue'!A:A,'Raw Revenue'!B:B,0)
</f>
        <v>0</v>
      </c>
      <c r="W559" s="11">
        <f t="array" ref="W559">XLOOKUP(A:A,'Raw Revenue'!C:C,'Raw Revenue'!D:D,0)</f>
        <v>0</v>
      </c>
      <c r="X559" s="11">
        <f t="array" ref="X559">XLOOKUP(A:A,'Raw Revenue'!E:E,'Raw Revenue'!F:F,0)</f>
        <v>0</v>
      </c>
      <c r="Y559" s="11">
        <f t="array" ref="Y559">XLOOKUP(A:A,'Raw Revenue'!G:G,'Raw Revenue'!H:H,0)</f>
        <v>0</v>
      </c>
      <c r="Z559" s="11">
        <f t="array" ref="Z559">XLOOKUP(A:A,'Raw Revenue'!I:I,'Raw Revenue'!J:J,0)</f>
        <v>0</v>
      </c>
      <c r="AA559" s="11">
        <f t="array" ref="AA559">XLOOKUP(A:A,'Raw Revenue'!K:K,'Raw Revenue'!L:L,0)</f>
        <v>0</v>
      </c>
      <c r="AB559" s="11">
        <f t="array" ref="AB559">XLOOKUP(A:A,'Raw Revenue'!M:M,'Raw Revenue'!N:N,0)</f>
        <v>0</v>
      </c>
      <c r="AC559" s="3">
        <v>0.0</v>
      </c>
      <c r="AD559" s="3">
        <v>0.0</v>
      </c>
      <c r="AE559" s="3">
        <v>0.0</v>
      </c>
      <c r="AF559" s="3">
        <v>0.0</v>
      </c>
      <c r="AG559" s="3">
        <v>0.0</v>
      </c>
    </row>
    <row r="560">
      <c r="A560" s="3" t="s">
        <v>1374</v>
      </c>
      <c r="B560" s="3" t="s">
        <v>1375</v>
      </c>
      <c r="C560" s="3" t="str">
        <f t="shared" si="1"/>
        <v>PT. Mentari Pagi Sejahtera</v>
      </c>
      <c r="D560" s="3" t="s">
        <v>186</v>
      </c>
      <c r="E560" s="3" t="s">
        <v>104</v>
      </c>
      <c r="F560" s="3" t="s">
        <v>105</v>
      </c>
      <c r="G560" s="3" t="s">
        <v>74</v>
      </c>
      <c r="H560" s="3" t="str">
        <f t="array" ref="H560">XLOOKUP(G:G,'Account Manager Data'!A:A,'Account Manager Data'!B:B,0)</f>
        <v>Budi Santoso</v>
      </c>
      <c r="I560" s="11" t="str">
        <f t="array" ref="I560">XLOOKUP($G:$G,'Account Manager Data'!$A:$A,'Account Manager Data'!C:C)</f>
        <v>Papua</v>
      </c>
      <c r="J560" s="17">
        <v>7221387.0</v>
      </c>
      <c r="K560" s="17">
        <v>7047009.0</v>
      </c>
      <c r="L560" s="17">
        <v>5138512.0</v>
      </c>
      <c r="M560" s="17">
        <v>5750273.0</v>
      </c>
      <c r="N560" s="17">
        <v>454957.0</v>
      </c>
      <c r="O560" s="17">
        <v>3156209.0</v>
      </c>
      <c r="P560" s="17">
        <v>2533122.0</v>
      </c>
      <c r="Q560" s="17">
        <v>1.4904226E7</v>
      </c>
      <c r="R560" s="17">
        <v>7795700.0</v>
      </c>
      <c r="S560" s="17">
        <v>1.6857477E7</v>
      </c>
      <c r="T560" s="17">
        <v>1.1250365E7</v>
      </c>
      <c r="U560" s="17">
        <v>9442191.0</v>
      </c>
      <c r="V560" s="11">
        <f t="array" ref="V560">XLOOKUP(A:A,'Raw Revenue'!A:A,'Raw Revenue'!B:B,0)
</f>
        <v>0</v>
      </c>
      <c r="W560" s="11">
        <f t="array" ref="W560">XLOOKUP(A:A,'Raw Revenue'!C:C,'Raw Revenue'!D:D,0)</f>
        <v>0</v>
      </c>
      <c r="X560" s="11">
        <f t="array" ref="X560">XLOOKUP(A:A,'Raw Revenue'!E:E,'Raw Revenue'!F:F,0)</f>
        <v>0</v>
      </c>
      <c r="Y560" s="11">
        <f t="array" ref="Y560">XLOOKUP(A:A,'Raw Revenue'!G:G,'Raw Revenue'!H:H,0)</f>
        <v>0</v>
      </c>
      <c r="Z560" s="11">
        <f t="array" ref="Z560">XLOOKUP(A:A,'Raw Revenue'!I:I,'Raw Revenue'!J:J,0)</f>
        <v>0</v>
      </c>
      <c r="AA560" s="11">
        <f t="array" ref="AA560">XLOOKUP(A:A,'Raw Revenue'!K:K,'Raw Revenue'!L:L,0)</f>
        <v>0</v>
      </c>
      <c r="AB560" s="11">
        <f t="array" ref="AB560">XLOOKUP(A:A,'Raw Revenue'!M:M,'Raw Revenue'!N:N,0)</f>
        <v>0</v>
      </c>
      <c r="AC560" s="3">
        <v>0.0</v>
      </c>
      <c r="AD560" s="3">
        <v>0.0</v>
      </c>
      <c r="AE560" s="3">
        <v>0.0</v>
      </c>
      <c r="AF560" s="3">
        <v>0.0</v>
      </c>
      <c r="AG560" s="3">
        <v>0.0</v>
      </c>
    </row>
    <row r="561">
      <c r="A561" s="3" t="s">
        <v>1376</v>
      </c>
      <c r="B561" s="3" t="s">
        <v>1377</v>
      </c>
      <c r="C561" s="3" t="str">
        <f t="shared" si="1"/>
        <v>PT. Bintang Kejora Nusantara</v>
      </c>
      <c r="D561" s="3" t="s">
        <v>186</v>
      </c>
      <c r="E561" s="3" t="s">
        <v>104</v>
      </c>
      <c r="F561" s="3" t="s">
        <v>252</v>
      </c>
      <c r="G561" s="3" t="s">
        <v>76</v>
      </c>
      <c r="H561" s="3" t="str">
        <f t="array" ref="H561">XLOOKUP(G:G,'Account Manager Data'!A:A,'Account Manager Data'!B:B,0)</f>
        <v>Teguh Wijaya</v>
      </c>
      <c r="I561" s="11" t="str">
        <f t="array" ref="I561">XLOOKUP($G:$G,'Account Manager Data'!$A:$A,'Account Manager Data'!C:C)</f>
        <v>Sulawesi</v>
      </c>
      <c r="J561" s="17">
        <v>836802.0</v>
      </c>
      <c r="K561" s="17">
        <v>6901585.0</v>
      </c>
      <c r="L561" s="17">
        <v>8753349.0</v>
      </c>
      <c r="M561" s="17">
        <v>4044805.0</v>
      </c>
      <c r="N561" s="17">
        <v>1.3777837E7</v>
      </c>
      <c r="O561" s="17">
        <v>1.0226564E7</v>
      </c>
      <c r="P561" s="17">
        <v>7463900.0</v>
      </c>
      <c r="Q561" s="17">
        <v>3212674.0</v>
      </c>
      <c r="R561" s="17">
        <v>3860680.0</v>
      </c>
      <c r="S561" s="17">
        <v>5955430.0</v>
      </c>
      <c r="T561" s="17">
        <v>1959714.0</v>
      </c>
      <c r="U561" s="17">
        <v>0.0</v>
      </c>
      <c r="V561" s="11">
        <f t="array" ref="V561">XLOOKUP(A:A,'Raw Revenue'!A:A,'Raw Revenue'!B:B,0)
</f>
        <v>0</v>
      </c>
      <c r="W561" s="11">
        <f t="array" ref="W561">XLOOKUP(A:A,'Raw Revenue'!C:C,'Raw Revenue'!D:D,0)</f>
        <v>0</v>
      </c>
      <c r="X561" s="11">
        <f t="array" ref="X561">XLOOKUP(A:A,'Raw Revenue'!E:E,'Raw Revenue'!F:F,0)</f>
        <v>0</v>
      </c>
      <c r="Y561" s="11">
        <f t="array" ref="Y561">XLOOKUP(A:A,'Raw Revenue'!G:G,'Raw Revenue'!H:H,0)</f>
        <v>0</v>
      </c>
      <c r="Z561" s="11">
        <f t="array" ref="Z561">XLOOKUP(A:A,'Raw Revenue'!I:I,'Raw Revenue'!J:J,0)</f>
        <v>0</v>
      </c>
      <c r="AA561" s="11">
        <f t="array" ref="AA561">XLOOKUP(A:A,'Raw Revenue'!K:K,'Raw Revenue'!L:L,0)</f>
        <v>0</v>
      </c>
      <c r="AB561" s="11">
        <f t="array" ref="AB561">XLOOKUP(A:A,'Raw Revenue'!M:M,'Raw Revenue'!N:N,0)</f>
        <v>0</v>
      </c>
      <c r="AC561" s="3">
        <v>0.0</v>
      </c>
      <c r="AD561" s="3">
        <v>0.0</v>
      </c>
      <c r="AE561" s="3">
        <v>0.0</v>
      </c>
      <c r="AF561" s="3">
        <v>0.0</v>
      </c>
      <c r="AG561" s="3">
        <v>0.0</v>
      </c>
    </row>
    <row r="562">
      <c r="A562" s="3" t="s">
        <v>1378</v>
      </c>
      <c r="B562" s="3" t="s">
        <v>1379</v>
      </c>
      <c r="C562" s="3" t="str">
        <f t="shared" si="1"/>
        <v>PT. Maju Jaya</v>
      </c>
      <c r="D562" s="3" t="s">
        <v>195</v>
      </c>
      <c r="E562" s="3" t="s">
        <v>187</v>
      </c>
      <c r="F562" s="3" t="s">
        <v>188</v>
      </c>
      <c r="G562" s="3" t="s">
        <v>70</v>
      </c>
      <c r="H562" s="3" t="str">
        <f t="array" ref="H562">XLOOKUP(G:G,'Account Manager Data'!A:A,'Account Manager Data'!B:B,0)</f>
        <v>Yusuf Hidayat</v>
      </c>
      <c r="I562" s="11" t="str">
        <f t="array" ref="I562">XLOOKUP($G:$G,'Account Manager Data'!$A:$A,'Account Manager Data'!C:C)</f>
        <v>Sumatera</v>
      </c>
      <c r="J562" s="17">
        <v>2229262.0</v>
      </c>
      <c r="K562" s="17">
        <v>3863405.0</v>
      </c>
      <c r="L562" s="17">
        <v>3885136.0</v>
      </c>
      <c r="M562" s="17">
        <v>1310508.0</v>
      </c>
      <c r="N562" s="17">
        <v>213100.0</v>
      </c>
      <c r="O562" s="17">
        <v>5969452.0</v>
      </c>
      <c r="P562" s="17">
        <v>1.3884412E7</v>
      </c>
      <c r="Q562" s="17">
        <v>1953322.0</v>
      </c>
      <c r="R562" s="17">
        <v>1.5350765E7</v>
      </c>
      <c r="S562" s="17">
        <v>1721370.0</v>
      </c>
      <c r="T562" s="17">
        <v>0.0</v>
      </c>
      <c r="U562" s="17">
        <v>1.5767042E7</v>
      </c>
      <c r="V562" s="11">
        <f t="array" ref="V562">XLOOKUP(A:A,'Raw Revenue'!A:A,'Raw Revenue'!B:B,0)
</f>
        <v>0</v>
      </c>
      <c r="W562" s="11">
        <f t="array" ref="W562">XLOOKUP(A:A,'Raw Revenue'!C:C,'Raw Revenue'!D:D,0)</f>
        <v>0</v>
      </c>
      <c r="X562" s="11">
        <f t="array" ref="X562">XLOOKUP(A:A,'Raw Revenue'!E:E,'Raw Revenue'!F:F,0)</f>
        <v>0</v>
      </c>
      <c r="Y562" s="11">
        <f t="array" ref="Y562">XLOOKUP(A:A,'Raw Revenue'!G:G,'Raw Revenue'!H:H,0)</f>
        <v>0</v>
      </c>
      <c r="Z562" s="11">
        <f t="array" ref="Z562">XLOOKUP(A:A,'Raw Revenue'!I:I,'Raw Revenue'!J:J,0)</f>
        <v>0</v>
      </c>
      <c r="AA562" s="11">
        <f t="array" ref="AA562">XLOOKUP(A:A,'Raw Revenue'!K:K,'Raw Revenue'!L:L,0)</f>
        <v>0</v>
      </c>
      <c r="AB562" s="11">
        <f t="array" ref="AB562">XLOOKUP(A:A,'Raw Revenue'!M:M,'Raw Revenue'!N:N,0)</f>
        <v>0</v>
      </c>
      <c r="AC562" s="3">
        <v>0.0</v>
      </c>
      <c r="AD562" s="3">
        <v>0.0</v>
      </c>
      <c r="AE562" s="3">
        <v>0.0</v>
      </c>
      <c r="AF562" s="3">
        <v>0.0</v>
      </c>
      <c r="AG562" s="3">
        <v>0.0</v>
      </c>
    </row>
    <row r="563">
      <c r="A563" s="3" t="s">
        <v>1380</v>
      </c>
      <c r="B563" s="3" t="s">
        <v>1381</v>
      </c>
      <c r="C563" s="3" t="str">
        <f t="shared" si="1"/>
        <v>CV. Sumber Makmur</v>
      </c>
      <c r="D563" s="3" t="s">
        <v>130</v>
      </c>
      <c r="E563" s="3" t="s">
        <v>187</v>
      </c>
      <c r="F563" s="3" t="s">
        <v>269</v>
      </c>
      <c r="G563" s="3" t="s">
        <v>15</v>
      </c>
      <c r="H563" s="3" t="str">
        <f t="array" ref="H563">XLOOKUP(G:G,'Account Manager Data'!A:A,'Account Manager Data'!B:B,0)</f>
        <v>Rizky Maulana</v>
      </c>
      <c r="I563" s="11" t="str">
        <f t="array" ref="I563">XLOOKUP($G:$G,'Account Manager Data'!$A:$A,'Account Manager Data'!C:C)</f>
        <v>Jawa</v>
      </c>
      <c r="J563" s="17">
        <v>5478518.0</v>
      </c>
      <c r="K563" s="17">
        <v>3034793.0</v>
      </c>
      <c r="L563" s="17">
        <v>4476222.0</v>
      </c>
      <c r="M563" s="17">
        <v>3595682.0</v>
      </c>
      <c r="N563" s="17">
        <v>5993209.0</v>
      </c>
      <c r="O563" s="17">
        <v>796448.0</v>
      </c>
      <c r="P563" s="17">
        <v>2574764.0</v>
      </c>
      <c r="Q563" s="17">
        <v>1.5420537E7</v>
      </c>
      <c r="R563" s="17">
        <v>8905596.0</v>
      </c>
      <c r="S563" s="17">
        <v>1.0528997E7</v>
      </c>
      <c r="T563" s="17">
        <v>1.2153389E7</v>
      </c>
      <c r="U563" s="17">
        <v>6847414.0</v>
      </c>
      <c r="V563" s="11">
        <f t="array" ref="V563">XLOOKUP(A:A,'Raw Revenue'!A:A,'Raw Revenue'!B:B,0)
</f>
        <v>0</v>
      </c>
      <c r="W563" s="11">
        <f t="array" ref="W563">XLOOKUP(A:A,'Raw Revenue'!C:C,'Raw Revenue'!D:D,0)</f>
        <v>0</v>
      </c>
      <c r="X563" s="11">
        <f t="array" ref="X563">XLOOKUP(A:A,'Raw Revenue'!E:E,'Raw Revenue'!F:F,0)</f>
        <v>0</v>
      </c>
      <c r="Y563" s="11">
        <f t="array" ref="Y563">XLOOKUP(A:A,'Raw Revenue'!G:G,'Raw Revenue'!H:H,0)</f>
        <v>0</v>
      </c>
      <c r="Z563" s="11">
        <f t="array" ref="Z563">XLOOKUP(A:A,'Raw Revenue'!I:I,'Raw Revenue'!J:J,0)</f>
        <v>0</v>
      </c>
      <c r="AA563" s="11">
        <f t="array" ref="AA563">XLOOKUP(A:A,'Raw Revenue'!K:K,'Raw Revenue'!L:L,0)</f>
        <v>0</v>
      </c>
      <c r="AB563" s="11">
        <f t="array" ref="AB563">XLOOKUP(A:A,'Raw Revenue'!M:M,'Raw Revenue'!N:N,0)</f>
        <v>0</v>
      </c>
      <c r="AC563" s="3">
        <v>0.0</v>
      </c>
      <c r="AD563" s="3">
        <v>0.0</v>
      </c>
      <c r="AE563" s="3">
        <v>0.0</v>
      </c>
      <c r="AF563" s="3">
        <v>0.0</v>
      </c>
      <c r="AG563" s="3">
        <v>0.0</v>
      </c>
    </row>
    <row r="564">
      <c r="A564" s="3" t="s">
        <v>1382</v>
      </c>
      <c r="B564" s="3" t="s">
        <v>1383</v>
      </c>
      <c r="C564" s="3" t="str">
        <f t="shared" si="1"/>
        <v>PT. Teknologi Nusantara</v>
      </c>
      <c r="D564" s="3" t="s">
        <v>195</v>
      </c>
      <c r="E564" s="3" t="s">
        <v>215</v>
      </c>
      <c r="F564" s="3" t="s">
        <v>300</v>
      </c>
      <c r="G564" s="3" t="s">
        <v>27</v>
      </c>
      <c r="H564" s="3" t="str">
        <f t="array" ref="H564">XLOOKUP(G:G,'Account Manager Data'!A:A,'Account Manager Data'!B:B,0)</f>
        <v>Dedi Kurniawan</v>
      </c>
      <c r="I564" s="11" t="str">
        <f t="array" ref="I564">XLOOKUP($G:$G,'Account Manager Data'!$A:$A,'Account Manager Data'!C:C)</f>
        <v>Kalimantan</v>
      </c>
      <c r="J564" s="17">
        <v>1497359.0</v>
      </c>
      <c r="K564" s="17">
        <v>8075361.0</v>
      </c>
      <c r="L564" s="17">
        <v>6848576.0</v>
      </c>
      <c r="M564" s="17">
        <v>1.0184627E7</v>
      </c>
      <c r="N564" s="17">
        <v>6661875.0</v>
      </c>
      <c r="O564" s="17">
        <v>6449598.0</v>
      </c>
      <c r="P564" s="17">
        <v>160632.0</v>
      </c>
      <c r="Q564" s="17">
        <v>9089274.0</v>
      </c>
      <c r="R564" s="17">
        <v>1.5099214E7</v>
      </c>
      <c r="S564" s="17">
        <v>8725059.0</v>
      </c>
      <c r="T564" s="17">
        <v>1.4245423E7</v>
      </c>
      <c r="U564" s="17">
        <v>1.9110858E7</v>
      </c>
      <c r="V564" s="11">
        <f t="array" ref="V564">XLOOKUP(A:A,'Raw Revenue'!A:A,'Raw Revenue'!B:B,0)
</f>
        <v>0</v>
      </c>
      <c r="W564" s="11">
        <f t="array" ref="W564">XLOOKUP(A:A,'Raw Revenue'!C:C,'Raw Revenue'!D:D,0)</f>
        <v>0</v>
      </c>
      <c r="X564" s="11">
        <f t="array" ref="X564">XLOOKUP(A:A,'Raw Revenue'!E:E,'Raw Revenue'!F:F,0)</f>
        <v>0</v>
      </c>
      <c r="Y564" s="11">
        <f t="array" ref="Y564">XLOOKUP(A:A,'Raw Revenue'!G:G,'Raw Revenue'!H:H,0)</f>
        <v>0</v>
      </c>
      <c r="Z564" s="11">
        <f t="array" ref="Z564">XLOOKUP(A:A,'Raw Revenue'!I:I,'Raw Revenue'!J:J,0)</f>
        <v>0</v>
      </c>
      <c r="AA564" s="11">
        <f t="array" ref="AA564">XLOOKUP(A:A,'Raw Revenue'!K:K,'Raw Revenue'!L:L,0)</f>
        <v>0</v>
      </c>
      <c r="AB564" s="11">
        <f t="array" ref="AB564">XLOOKUP(A:A,'Raw Revenue'!M:M,'Raw Revenue'!N:N,0)</f>
        <v>0</v>
      </c>
      <c r="AC564" s="3">
        <v>0.0</v>
      </c>
      <c r="AD564" s="3">
        <v>0.0</v>
      </c>
      <c r="AE564" s="3">
        <v>0.0</v>
      </c>
      <c r="AF564" s="3">
        <v>0.0</v>
      </c>
      <c r="AG564" s="3">
        <v>0.0</v>
      </c>
    </row>
    <row r="565">
      <c r="A565" s="3" t="s">
        <v>1384</v>
      </c>
      <c r="B565" s="3" t="s">
        <v>1385</v>
      </c>
      <c r="C565" s="3" t="str">
        <f t="shared" si="1"/>
        <v>PT. Bakti Indonesia</v>
      </c>
      <c r="D565" s="3" t="s">
        <v>214</v>
      </c>
      <c r="E565" s="3" t="s">
        <v>215</v>
      </c>
      <c r="F565" s="3" t="s">
        <v>227</v>
      </c>
      <c r="G565" s="3" t="s">
        <v>78</v>
      </c>
      <c r="H565" s="3" t="str">
        <f t="array" ref="H565">XLOOKUP(G:G,'Account Manager Data'!A:A,'Account Manager Data'!B:B,0)</f>
        <v>Ilham Saputra</v>
      </c>
      <c r="I565" s="11" t="str">
        <f t="array" ref="I565">XLOOKUP($G:$G,'Account Manager Data'!$A:$A,'Account Manager Data'!C:C)</f>
        <v>Jawa</v>
      </c>
      <c r="J565" s="17">
        <v>4151870.0</v>
      </c>
      <c r="K565" s="17">
        <v>641746.0</v>
      </c>
      <c r="L565" s="17">
        <v>8113373.0</v>
      </c>
      <c r="M565" s="17">
        <v>3015597.0</v>
      </c>
      <c r="N565" s="17">
        <v>1.2805436E7</v>
      </c>
      <c r="O565" s="17">
        <v>9765504.0</v>
      </c>
      <c r="P565" s="17">
        <v>1.2279572E7</v>
      </c>
      <c r="Q565" s="17">
        <v>3969892.0</v>
      </c>
      <c r="R565" s="17">
        <v>1.0473906E7</v>
      </c>
      <c r="S565" s="17">
        <v>1.4038846E7</v>
      </c>
      <c r="T565" s="17">
        <v>6023851.0</v>
      </c>
      <c r="U565" s="17">
        <v>7537884.0</v>
      </c>
      <c r="V565" s="11">
        <f t="array" ref="V565">XLOOKUP(A:A,'Raw Revenue'!A:A,'Raw Revenue'!B:B,0)
</f>
        <v>0</v>
      </c>
      <c r="W565" s="11">
        <f t="array" ref="W565">XLOOKUP(A:A,'Raw Revenue'!C:C,'Raw Revenue'!D:D,0)</f>
        <v>0</v>
      </c>
      <c r="X565" s="11">
        <f t="array" ref="X565">XLOOKUP(A:A,'Raw Revenue'!E:E,'Raw Revenue'!F:F,0)</f>
        <v>0</v>
      </c>
      <c r="Y565" s="11">
        <f t="array" ref="Y565">XLOOKUP(A:A,'Raw Revenue'!G:G,'Raw Revenue'!H:H,0)</f>
        <v>0</v>
      </c>
      <c r="Z565" s="11">
        <f t="array" ref="Z565">XLOOKUP(A:A,'Raw Revenue'!I:I,'Raw Revenue'!J:J,0)</f>
        <v>0</v>
      </c>
      <c r="AA565" s="11">
        <f t="array" ref="AA565">XLOOKUP(A:A,'Raw Revenue'!K:K,'Raw Revenue'!L:L,0)</f>
        <v>0</v>
      </c>
      <c r="AB565" s="11">
        <f t="array" ref="AB565">XLOOKUP(A:A,'Raw Revenue'!M:M,'Raw Revenue'!N:N,0)</f>
        <v>0</v>
      </c>
      <c r="AC565" s="3">
        <v>0.0</v>
      </c>
      <c r="AD565" s="3">
        <v>0.0</v>
      </c>
      <c r="AE565" s="3">
        <v>0.0</v>
      </c>
      <c r="AF565" s="3">
        <v>0.0</v>
      </c>
      <c r="AG565" s="3">
        <v>0.0</v>
      </c>
    </row>
    <row r="566">
      <c r="A566" s="3" t="s">
        <v>1386</v>
      </c>
      <c r="B566" s="3" t="s">
        <v>1387</v>
      </c>
      <c r="C566" s="3" t="str">
        <f t="shared" si="1"/>
        <v>CV. Amanah Sejahtera</v>
      </c>
      <c r="D566" s="3" t="s">
        <v>84</v>
      </c>
      <c r="E566" s="3" t="s">
        <v>85</v>
      </c>
      <c r="F566" s="3" t="s">
        <v>86</v>
      </c>
      <c r="G566" s="3" t="s">
        <v>53</v>
      </c>
      <c r="H566" s="3" t="str">
        <f t="array" ref="H566">XLOOKUP(G:G,'Account Manager Data'!A:A,'Account Manager Data'!B:B,0)</f>
        <v>Fajar Ramadhan</v>
      </c>
      <c r="I566" s="11" t="str">
        <f t="array" ref="I566">XLOOKUP($G:$G,'Account Manager Data'!$A:$A,'Account Manager Data'!C:C)</f>
        <v>Sulawesi</v>
      </c>
      <c r="J566" s="17">
        <v>3735598.0</v>
      </c>
      <c r="K566" s="17">
        <v>677607.0</v>
      </c>
      <c r="L566" s="17">
        <v>8488628.0</v>
      </c>
      <c r="M566" s="17">
        <v>2729082.0</v>
      </c>
      <c r="N566" s="17">
        <v>1.2443425E7</v>
      </c>
      <c r="O566" s="17">
        <v>5547115.0</v>
      </c>
      <c r="P566" s="17">
        <v>1.3304939E7</v>
      </c>
      <c r="Q566" s="17">
        <v>7335685.0</v>
      </c>
      <c r="R566" s="17">
        <v>173867.0</v>
      </c>
      <c r="S566" s="17">
        <v>1.1478602E7</v>
      </c>
      <c r="T566" s="17">
        <v>1.766446E7</v>
      </c>
      <c r="U566" s="17">
        <v>1768667.0</v>
      </c>
      <c r="V566" s="11">
        <f t="array" ref="V566">XLOOKUP(A:A,'Raw Revenue'!A:A,'Raw Revenue'!B:B,0)
</f>
        <v>0</v>
      </c>
      <c r="W566" s="11">
        <f t="array" ref="W566">XLOOKUP(A:A,'Raw Revenue'!C:C,'Raw Revenue'!D:D,0)</f>
        <v>0</v>
      </c>
      <c r="X566" s="11">
        <f t="array" ref="X566">XLOOKUP(A:A,'Raw Revenue'!E:E,'Raw Revenue'!F:F,0)</f>
        <v>0</v>
      </c>
      <c r="Y566" s="11">
        <f t="array" ref="Y566">XLOOKUP(A:A,'Raw Revenue'!G:G,'Raw Revenue'!H:H,0)</f>
        <v>0</v>
      </c>
      <c r="Z566" s="11">
        <f t="array" ref="Z566">XLOOKUP(A:A,'Raw Revenue'!I:I,'Raw Revenue'!J:J,0)</f>
        <v>0</v>
      </c>
      <c r="AA566" s="11">
        <f t="array" ref="AA566">XLOOKUP(A:A,'Raw Revenue'!K:K,'Raw Revenue'!L:L,0)</f>
        <v>0</v>
      </c>
      <c r="AB566" s="11">
        <f t="array" ref="AB566">XLOOKUP(A:A,'Raw Revenue'!M:M,'Raw Revenue'!N:N,0)</f>
        <v>0</v>
      </c>
      <c r="AC566" s="3">
        <v>0.0</v>
      </c>
      <c r="AD566" s="3">
        <v>0.0</v>
      </c>
      <c r="AE566" s="3">
        <v>0.0</v>
      </c>
      <c r="AF566" s="3">
        <v>0.0</v>
      </c>
      <c r="AG566" s="3">
        <v>0.0</v>
      </c>
    </row>
    <row r="567">
      <c r="A567" s="3" t="s">
        <v>1388</v>
      </c>
      <c r="B567" s="3" t="s">
        <v>1389</v>
      </c>
      <c r="C567" s="3" t="str">
        <f t="shared" si="1"/>
        <v>PT. Digital Solusi Pratama</v>
      </c>
      <c r="D567" s="3" t="s">
        <v>186</v>
      </c>
      <c r="E567" s="3" t="s">
        <v>104</v>
      </c>
      <c r="F567" s="3" t="s">
        <v>134</v>
      </c>
      <c r="G567" s="3" t="s">
        <v>63</v>
      </c>
      <c r="H567" s="3" t="str">
        <f t="array" ref="H567">XLOOKUP(G:G,'Account Manager Data'!A:A,'Account Manager Data'!B:B,0)</f>
        <v>Hendra Gunawan</v>
      </c>
      <c r="I567" s="11" t="str">
        <f t="array" ref="I567">XLOOKUP($G:$G,'Account Manager Data'!$A:$A,'Account Manager Data'!C:C)</f>
        <v>Kalimantan</v>
      </c>
      <c r="J567" s="17">
        <v>5874335.0</v>
      </c>
      <c r="K567" s="17">
        <v>5617698.0</v>
      </c>
      <c r="L567" s="17">
        <v>8158603.0</v>
      </c>
      <c r="M567" s="17">
        <v>6977503.0</v>
      </c>
      <c r="N567" s="17">
        <v>9822997.0</v>
      </c>
      <c r="O567" s="17">
        <v>7222690.0</v>
      </c>
      <c r="P567" s="17">
        <v>8400547.0</v>
      </c>
      <c r="Q567" s="17">
        <v>1.3043741E7</v>
      </c>
      <c r="R567" s="17">
        <v>6292162.0</v>
      </c>
      <c r="S567" s="17">
        <v>5179554.0</v>
      </c>
      <c r="T567" s="17">
        <v>1.4373245E7</v>
      </c>
      <c r="U567" s="17">
        <v>1848207.0</v>
      </c>
      <c r="V567" s="11">
        <f t="array" ref="V567">XLOOKUP(A:A,'Raw Revenue'!A:A,'Raw Revenue'!B:B,0)
</f>
        <v>0</v>
      </c>
      <c r="W567" s="11">
        <f t="array" ref="W567">XLOOKUP(A:A,'Raw Revenue'!C:C,'Raw Revenue'!D:D,0)</f>
        <v>0</v>
      </c>
      <c r="X567" s="11">
        <f t="array" ref="X567">XLOOKUP(A:A,'Raw Revenue'!E:E,'Raw Revenue'!F:F,0)</f>
        <v>0</v>
      </c>
      <c r="Y567" s="11">
        <f t="array" ref="Y567">XLOOKUP(A:A,'Raw Revenue'!G:G,'Raw Revenue'!H:H,0)</f>
        <v>0</v>
      </c>
      <c r="Z567" s="11">
        <f t="array" ref="Z567">XLOOKUP(A:A,'Raw Revenue'!I:I,'Raw Revenue'!J:J,0)</f>
        <v>0</v>
      </c>
      <c r="AA567" s="11">
        <f t="array" ref="AA567">XLOOKUP(A:A,'Raw Revenue'!K:K,'Raw Revenue'!L:L,0)</f>
        <v>0</v>
      </c>
      <c r="AB567" s="11">
        <f t="array" ref="AB567">XLOOKUP(A:A,'Raw Revenue'!M:M,'Raw Revenue'!N:N,0)</f>
        <v>0</v>
      </c>
      <c r="AC567" s="3">
        <v>0.0</v>
      </c>
      <c r="AD567" s="3">
        <v>0.0</v>
      </c>
      <c r="AE567" s="3">
        <v>0.0</v>
      </c>
      <c r="AF567" s="3">
        <v>0.0</v>
      </c>
      <c r="AG567" s="3">
        <v>0.0</v>
      </c>
    </row>
    <row r="568">
      <c r="A568" s="3" t="s">
        <v>218</v>
      </c>
      <c r="B568" s="3" t="s">
        <v>1390</v>
      </c>
      <c r="C568" s="3" t="str">
        <f t="shared" si="1"/>
        <v>PT. Global Niaga Abadi</v>
      </c>
      <c r="D568" s="3" t="s">
        <v>103</v>
      </c>
      <c r="E568" s="3" t="s">
        <v>215</v>
      </c>
      <c r="F568" s="3" t="s">
        <v>216</v>
      </c>
      <c r="G568" s="3" t="s">
        <v>35</v>
      </c>
      <c r="H568" s="3" t="str">
        <f t="array" ref="H568">XLOOKUP(G:G,'Account Manager Data'!A:A,'Account Manager Data'!B:B,0)</f>
        <v>Ahmad Fauzi</v>
      </c>
      <c r="I568" s="11" t="str">
        <f t="array" ref="I568">XLOOKUP($G:$G,'Account Manager Data'!$A:$A,'Account Manager Data'!C:C)</f>
        <v>Sumatera</v>
      </c>
      <c r="J568" s="17">
        <v>3188007.0</v>
      </c>
      <c r="K568" s="17">
        <v>7623087.0</v>
      </c>
      <c r="L568" s="17">
        <v>7528034.0</v>
      </c>
      <c r="M568" s="17">
        <v>3169976.0</v>
      </c>
      <c r="N568" s="17">
        <v>7228501.0</v>
      </c>
      <c r="O568" s="17">
        <v>1.5119203E7</v>
      </c>
      <c r="P568" s="17">
        <v>1.3298379E7</v>
      </c>
      <c r="Q568" s="17">
        <v>9307589.0</v>
      </c>
      <c r="R568" s="17">
        <v>8153835.0</v>
      </c>
      <c r="S568" s="17">
        <v>7728245.0</v>
      </c>
      <c r="T568" s="17">
        <v>1788034.0</v>
      </c>
      <c r="U568" s="17">
        <v>3516465.0</v>
      </c>
      <c r="V568" s="11">
        <f t="array" ref="V568">XLOOKUP(A:A,'Raw Revenue'!A:A,'Raw Revenue'!B:B,0)
</f>
        <v>8997058.146</v>
      </c>
      <c r="W568" s="11">
        <f t="array" ref="W568">XLOOKUP(A:A,'Raw Revenue'!C:C,'Raw Revenue'!D:D,0)</f>
        <v>8997058.146</v>
      </c>
      <c r="X568" s="11">
        <f t="array" ref="X568">XLOOKUP(A:A,'Raw Revenue'!E:E,'Raw Revenue'!F:F,0)</f>
        <v>17994116.29</v>
      </c>
      <c r="Y568" s="11">
        <f t="array" ref="Y568">XLOOKUP(A:A,'Raw Revenue'!G:G,'Raw Revenue'!H:H,0)</f>
        <v>14695194.97</v>
      </c>
      <c r="Z568" s="11">
        <f t="array" ref="Z568">XLOOKUP(A:A,'Raw Revenue'!I:I,'Raw Revenue'!J:J,0)</f>
        <v>13195685.28</v>
      </c>
      <c r="AA568" s="11">
        <f t="array" ref="AA568">XLOOKUP(A:A,'Raw Revenue'!K:K,'Raw Revenue'!L:L,0)</f>
        <v>33738968.05</v>
      </c>
      <c r="AB568" s="11">
        <f t="array" ref="AB568">XLOOKUP(A:A,'Raw Revenue'!M:M,'Raw Revenue'!N:N,0)</f>
        <v>31039850.6</v>
      </c>
      <c r="AC568" s="3">
        <v>0.0</v>
      </c>
      <c r="AD568" s="3">
        <v>0.0</v>
      </c>
      <c r="AE568" s="3">
        <v>0.0</v>
      </c>
      <c r="AF568" s="3">
        <v>0.0</v>
      </c>
      <c r="AG568" s="3">
        <v>0.0</v>
      </c>
    </row>
    <row r="569">
      <c r="A569" s="3" t="s">
        <v>389</v>
      </c>
      <c r="B569" s="3" t="s">
        <v>1391</v>
      </c>
      <c r="C569" s="3" t="str">
        <f t="shared" si="1"/>
        <v>PT. Indo Makmur Sentosa</v>
      </c>
      <c r="D569" s="3" t="s">
        <v>103</v>
      </c>
      <c r="E569" s="3" t="s">
        <v>104</v>
      </c>
      <c r="F569" s="3" t="s">
        <v>252</v>
      </c>
      <c r="G569" s="3" t="s">
        <v>74</v>
      </c>
      <c r="H569" s="3" t="str">
        <f t="array" ref="H569">XLOOKUP(G:G,'Account Manager Data'!A:A,'Account Manager Data'!B:B,0)</f>
        <v>Budi Santoso</v>
      </c>
      <c r="I569" s="11" t="str">
        <f t="array" ref="I569">XLOOKUP($G:$G,'Account Manager Data'!$A:$A,'Account Manager Data'!C:C)</f>
        <v>Papua</v>
      </c>
      <c r="J569" s="17">
        <v>2213889.0</v>
      </c>
      <c r="K569" s="17">
        <v>1249651.0</v>
      </c>
      <c r="L569" s="17">
        <v>1730590.0</v>
      </c>
      <c r="M569" s="17">
        <v>1.080724E7</v>
      </c>
      <c r="N569" s="17">
        <v>1.0739296E7</v>
      </c>
      <c r="O569" s="17">
        <v>3608518.0</v>
      </c>
      <c r="P569" s="17">
        <v>1483268.0</v>
      </c>
      <c r="Q569" s="17">
        <v>1.067063E7</v>
      </c>
      <c r="R569" s="17">
        <v>2641314.0</v>
      </c>
      <c r="S569" s="17">
        <v>8477085.0</v>
      </c>
      <c r="T569" s="17">
        <v>1915558.0</v>
      </c>
      <c r="U569" s="17">
        <v>0.0</v>
      </c>
      <c r="V569" s="11">
        <f t="array" ref="V569">XLOOKUP(A:A,'Raw Revenue'!A:A,'Raw Revenue'!B:B,0)
</f>
        <v>1025980.315</v>
      </c>
      <c r="W569" s="11">
        <f t="array" ref="W569">XLOOKUP(A:A,'Raw Revenue'!C:C,'Raw Revenue'!D:D,0)</f>
        <v>512990.1574</v>
      </c>
      <c r="X569" s="11">
        <f t="array" ref="X569">XLOOKUP(A:A,'Raw Revenue'!E:E,'Raw Revenue'!F:F,0)</f>
        <v>307794.0945</v>
      </c>
      <c r="Y569" s="11">
        <f t="array" ref="Y569">XLOOKUP(A:A,'Raw Revenue'!G:G,'Raw Revenue'!H:H,0)</f>
        <v>3590931.102</v>
      </c>
      <c r="Z569" s="11">
        <f t="array" ref="Z569">XLOOKUP(A:A,'Raw Revenue'!I:I,'Raw Revenue'!J:J,0)</f>
        <v>820784.2519</v>
      </c>
      <c r="AA569" s="11">
        <f t="array" ref="AA569">XLOOKUP(A:A,'Raw Revenue'!K:K,'Raw Revenue'!L:L,0)</f>
        <v>23084.55708</v>
      </c>
      <c r="AB569" s="11">
        <f t="array" ref="AB569">XLOOKUP(A:A,'Raw Revenue'!M:M,'Raw Revenue'!N:N,0)</f>
        <v>3093330.649</v>
      </c>
      <c r="AC569" s="3">
        <v>0.0</v>
      </c>
      <c r="AD569" s="3">
        <v>0.0</v>
      </c>
      <c r="AE569" s="3">
        <v>0.0</v>
      </c>
      <c r="AF569" s="3">
        <v>0.0</v>
      </c>
      <c r="AG569" s="3">
        <v>0.0</v>
      </c>
    </row>
    <row r="570">
      <c r="A570" s="3" t="s">
        <v>253</v>
      </c>
      <c r="B570" s="3" t="s">
        <v>1392</v>
      </c>
      <c r="C570" s="3" t="str">
        <f t="shared" si="1"/>
        <v>PT. Citra Mandiri Utama</v>
      </c>
      <c r="D570" s="3" t="s">
        <v>103</v>
      </c>
      <c r="E570" s="3" t="s">
        <v>215</v>
      </c>
      <c r="F570" s="3" t="s">
        <v>227</v>
      </c>
      <c r="G570" s="3" t="s">
        <v>43</v>
      </c>
      <c r="H570" s="3" t="str">
        <f t="array" ref="H570">XLOOKUP(G:G,'Account Manager Data'!A:A,'Account Manager Data'!B:B,0)</f>
        <v>Eko Prasetyo</v>
      </c>
      <c r="I570" s="11" t="str">
        <f t="array" ref="I570">XLOOKUP($G:$G,'Account Manager Data'!$A:$A,'Account Manager Data'!C:C)</f>
        <v>Papua</v>
      </c>
      <c r="J570" s="17">
        <v>5248748.0</v>
      </c>
      <c r="K570" s="17">
        <v>4765512.0</v>
      </c>
      <c r="L570" s="17">
        <v>6333732.0</v>
      </c>
      <c r="M570" s="17">
        <v>1.0481244E7</v>
      </c>
      <c r="N570" s="17">
        <v>2056715.0</v>
      </c>
      <c r="O570" s="17">
        <v>1.236893E7</v>
      </c>
      <c r="P570" s="17">
        <v>1.5248038E7</v>
      </c>
      <c r="Q570" s="17">
        <v>9362974.0</v>
      </c>
      <c r="R570" s="17">
        <v>409771.0</v>
      </c>
      <c r="S570" s="17">
        <v>1.2771424E7</v>
      </c>
      <c r="T570" s="17">
        <v>6114734.0</v>
      </c>
      <c r="U570" s="17">
        <v>0.0</v>
      </c>
      <c r="V570" s="11">
        <f t="array" ref="V570">XLOOKUP(A:A,'Raw Revenue'!A:A,'Raw Revenue'!B:B,0)
</f>
        <v>9155519.052</v>
      </c>
      <c r="W570" s="11">
        <f t="array" ref="W570">XLOOKUP(A:A,'Raw Revenue'!C:C,'Raw Revenue'!D:D,0)</f>
        <v>9155519.052</v>
      </c>
      <c r="X570" s="11">
        <f t="array" ref="X570">XLOOKUP(A:A,'Raw Revenue'!E:E,'Raw Revenue'!F:F,0)</f>
        <v>18311038.1</v>
      </c>
      <c r="Y570" s="11">
        <f t="array" ref="Y570">XLOOKUP(A:A,'Raw Revenue'!G:G,'Raw Revenue'!H:H,0)</f>
        <v>14954014.45</v>
      </c>
      <c r="Z570" s="11">
        <f t="array" ref="Z570">XLOOKUP(A:A,'Raw Revenue'!I:I,'Raw Revenue'!J:J,0)</f>
        <v>13428094.61</v>
      </c>
      <c r="AA570" s="11">
        <f t="array" ref="AA570">XLOOKUP(A:A,'Raw Revenue'!K:K,'Raw Revenue'!L:L,0)</f>
        <v>34333196.45</v>
      </c>
      <c r="AB570" s="11">
        <f t="array" ref="AB570">XLOOKUP(A:A,'Raw Revenue'!M:M,'Raw Revenue'!N:N,0)</f>
        <v>31586540.73</v>
      </c>
      <c r="AC570" s="3">
        <v>0.0</v>
      </c>
      <c r="AD570" s="3">
        <v>0.0</v>
      </c>
      <c r="AE570" s="3">
        <v>0.0</v>
      </c>
      <c r="AF570" s="3">
        <v>0.0</v>
      </c>
      <c r="AG570" s="3">
        <v>0.0</v>
      </c>
    </row>
    <row r="571">
      <c r="A571" s="3" t="s">
        <v>1393</v>
      </c>
      <c r="B571" s="3" t="s">
        <v>1394</v>
      </c>
      <c r="C571" s="3" t="str">
        <f t="shared" si="1"/>
        <v>PT. Sinar Dunia Baru</v>
      </c>
      <c r="D571" s="3" t="s">
        <v>195</v>
      </c>
      <c r="E571" s="3" t="s">
        <v>104</v>
      </c>
      <c r="F571" s="3" t="s">
        <v>252</v>
      </c>
      <c r="G571" s="3" t="s">
        <v>76</v>
      </c>
      <c r="H571" s="3" t="str">
        <f t="array" ref="H571">XLOOKUP(G:G,'Account Manager Data'!A:A,'Account Manager Data'!B:B,0)</f>
        <v>Teguh Wijaya</v>
      </c>
      <c r="I571" s="11" t="str">
        <f t="array" ref="I571">XLOOKUP($G:$G,'Account Manager Data'!$A:$A,'Account Manager Data'!C:C)</f>
        <v>Sulawesi</v>
      </c>
      <c r="J571" s="17">
        <v>2785695.0</v>
      </c>
      <c r="K571" s="17">
        <v>9117951.0</v>
      </c>
      <c r="L571" s="17">
        <v>1934547.0</v>
      </c>
      <c r="M571" s="17">
        <v>8061180.0</v>
      </c>
      <c r="N571" s="17">
        <v>4884537.0</v>
      </c>
      <c r="O571" s="17">
        <v>6724127.0</v>
      </c>
      <c r="P571" s="17">
        <v>0.0</v>
      </c>
      <c r="Q571" s="17">
        <v>7244699.0</v>
      </c>
      <c r="R571" s="17">
        <v>6308248.0</v>
      </c>
      <c r="S571" s="17">
        <v>1.4247731E7</v>
      </c>
      <c r="T571" s="17">
        <v>7798631.0</v>
      </c>
      <c r="U571" s="17">
        <v>1.5161814E7</v>
      </c>
      <c r="V571" s="11">
        <f t="array" ref="V571">XLOOKUP(A:A,'Raw Revenue'!A:A,'Raw Revenue'!B:B,0)
</f>
        <v>0</v>
      </c>
      <c r="W571" s="11">
        <f t="array" ref="W571">XLOOKUP(A:A,'Raw Revenue'!C:C,'Raw Revenue'!D:D,0)</f>
        <v>0</v>
      </c>
      <c r="X571" s="11">
        <f t="array" ref="X571">XLOOKUP(A:A,'Raw Revenue'!E:E,'Raw Revenue'!F:F,0)</f>
        <v>0</v>
      </c>
      <c r="Y571" s="11">
        <f t="array" ref="Y571">XLOOKUP(A:A,'Raw Revenue'!G:G,'Raw Revenue'!H:H,0)</f>
        <v>0</v>
      </c>
      <c r="Z571" s="11">
        <f t="array" ref="Z571">XLOOKUP(A:A,'Raw Revenue'!I:I,'Raw Revenue'!J:J,0)</f>
        <v>0</v>
      </c>
      <c r="AA571" s="11">
        <f t="array" ref="AA571">XLOOKUP(A:A,'Raw Revenue'!K:K,'Raw Revenue'!L:L,0)</f>
        <v>0</v>
      </c>
      <c r="AB571" s="11">
        <f t="array" ref="AB571">XLOOKUP(A:A,'Raw Revenue'!M:M,'Raw Revenue'!N:N,0)</f>
        <v>0</v>
      </c>
      <c r="AC571" s="3">
        <v>0.0</v>
      </c>
      <c r="AD571" s="3">
        <v>0.0</v>
      </c>
      <c r="AE571" s="3">
        <v>0.0</v>
      </c>
      <c r="AF571" s="3">
        <v>0.0</v>
      </c>
      <c r="AG571" s="3">
        <v>0.0</v>
      </c>
    </row>
    <row r="572">
      <c r="A572" s="3" t="s">
        <v>1395</v>
      </c>
      <c r="B572" s="3" t="s">
        <v>1396</v>
      </c>
      <c r="C572" s="3" t="str">
        <f t="shared" si="1"/>
        <v>CV. Karya Utama Mandiri</v>
      </c>
      <c r="D572" s="3" t="s">
        <v>84</v>
      </c>
      <c r="E572" s="3" t="s">
        <v>215</v>
      </c>
      <c r="F572" s="3" t="s">
        <v>300</v>
      </c>
      <c r="G572" s="3" t="s">
        <v>70</v>
      </c>
      <c r="H572" s="3" t="str">
        <f t="array" ref="H572">XLOOKUP(G:G,'Account Manager Data'!A:A,'Account Manager Data'!B:B,0)</f>
        <v>Yusuf Hidayat</v>
      </c>
      <c r="I572" s="11" t="str">
        <f t="array" ref="I572">XLOOKUP($G:$G,'Account Manager Data'!$A:$A,'Account Manager Data'!C:C)</f>
        <v>Sumatera</v>
      </c>
      <c r="J572" s="17">
        <v>2795027.0</v>
      </c>
      <c r="K572" s="17">
        <v>4864747.0</v>
      </c>
      <c r="L572" s="17">
        <v>9228210.0</v>
      </c>
      <c r="M572" s="17">
        <v>7109400.0</v>
      </c>
      <c r="N572" s="17">
        <v>1.0229691E7</v>
      </c>
      <c r="O572" s="17">
        <v>6705612.0</v>
      </c>
      <c r="P572" s="17">
        <v>1.0696956E7</v>
      </c>
      <c r="Q572" s="17">
        <v>6104953.0</v>
      </c>
      <c r="R572" s="17">
        <v>9196135.0</v>
      </c>
      <c r="S572" s="17">
        <v>1.156418E7</v>
      </c>
      <c r="T572" s="17">
        <v>1.5356927E7</v>
      </c>
      <c r="U572" s="17">
        <v>9283109.0</v>
      </c>
      <c r="V572" s="11">
        <f t="array" ref="V572">XLOOKUP(A:A,'Raw Revenue'!A:A,'Raw Revenue'!B:B,0)
</f>
        <v>0</v>
      </c>
      <c r="W572" s="11">
        <f t="array" ref="W572">XLOOKUP(A:A,'Raw Revenue'!C:C,'Raw Revenue'!D:D,0)</f>
        <v>0</v>
      </c>
      <c r="X572" s="11">
        <f t="array" ref="X572">XLOOKUP(A:A,'Raw Revenue'!E:E,'Raw Revenue'!F:F,0)</f>
        <v>0</v>
      </c>
      <c r="Y572" s="11">
        <f t="array" ref="Y572">XLOOKUP(A:A,'Raw Revenue'!G:G,'Raw Revenue'!H:H,0)</f>
        <v>0</v>
      </c>
      <c r="Z572" s="11">
        <f t="array" ref="Z572">XLOOKUP(A:A,'Raw Revenue'!I:I,'Raw Revenue'!J:J,0)</f>
        <v>0</v>
      </c>
      <c r="AA572" s="11">
        <f t="array" ref="AA572">XLOOKUP(A:A,'Raw Revenue'!K:K,'Raw Revenue'!L:L,0)</f>
        <v>0</v>
      </c>
      <c r="AB572" s="11">
        <f t="array" ref="AB572">XLOOKUP(A:A,'Raw Revenue'!M:M,'Raw Revenue'!N:N,0)</f>
        <v>0</v>
      </c>
      <c r="AC572" s="3">
        <v>0.0</v>
      </c>
      <c r="AD572" s="3">
        <v>0.0</v>
      </c>
      <c r="AE572" s="3">
        <v>0.0</v>
      </c>
      <c r="AF572" s="3">
        <v>0.0</v>
      </c>
      <c r="AG572" s="3">
        <v>0.0</v>
      </c>
    </row>
    <row r="573">
      <c r="A573" s="3" t="s">
        <v>1397</v>
      </c>
      <c r="B573" s="3" t="s">
        <v>1398</v>
      </c>
      <c r="C573" s="3" t="str">
        <f t="shared" si="1"/>
        <v>PT. Pratama Jaya Sentosa</v>
      </c>
      <c r="D573" s="3" t="s">
        <v>195</v>
      </c>
      <c r="E573" s="3" t="s">
        <v>196</v>
      </c>
      <c r="F573" s="3" t="s">
        <v>315</v>
      </c>
      <c r="G573" s="3" t="s">
        <v>15</v>
      </c>
      <c r="H573" s="3" t="str">
        <f t="array" ref="H573">XLOOKUP(G:G,'Account Manager Data'!A:A,'Account Manager Data'!B:B,0)</f>
        <v>Rizky Maulana</v>
      </c>
      <c r="I573" s="11" t="str">
        <f t="array" ref="I573">XLOOKUP($G:$G,'Account Manager Data'!$A:$A,'Account Manager Data'!C:C)</f>
        <v>Jawa</v>
      </c>
      <c r="J573" s="17">
        <v>0.0</v>
      </c>
      <c r="K573" s="17">
        <v>7953529.0</v>
      </c>
      <c r="L573" s="17">
        <v>4894364.0</v>
      </c>
      <c r="M573" s="17">
        <v>4506687.0</v>
      </c>
      <c r="N573" s="17">
        <v>3038552.0</v>
      </c>
      <c r="O573" s="17">
        <v>6977227.0</v>
      </c>
      <c r="P573" s="17">
        <v>1.1576988E7</v>
      </c>
      <c r="Q573" s="17">
        <v>1.339784E7</v>
      </c>
      <c r="R573" s="17">
        <v>2167809.0</v>
      </c>
      <c r="S573" s="17">
        <v>6881262.0</v>
      </c>
      <c r="T573" s="17">
        <v>4514359.0</v>
      </c>
      <c r="U573" s="17">
        <v>8732746.0</v>
      </c>
      <c r="V573" s="11">
        <f t="array" ref="V573">XLOOKUP(A:A,'Raw Revenue'!A:A,'Raw Revenue'!B:B,0)
</f>
        <v>0</v>
      </c>
      <c r="W573" s="11">
        <f t="array" ref="W573">XLOOKUP(A:A,'Raw Revenue'!C:C,'Raw Revenue'!D:D,0)</f>
        <v>0</v>
      </c>
      <c r="X573" s="11">
        <f t="array" ref="X573">XLOOKUP(A:A,'Raw Revenue'!E:E,'Raw Revenue'!F:F,0)</f>
        <v>0</v>
      </c>
      <c r="Y573" s="11">
        <f t="array" ref="Y573">XLOOKUP(A:A,'Raw Revenue'!G:G,'Raw Revenue'!H:H,0)</f>
        <v>0</v>
      </c>
      <c r="Z573" s="11">
        <f t="array" ref="Z573">XLOOKUP(A:A,'Raw Revenue'!I:I,'Raw Revenue'!J:J,0)</f>
        <v>0</v>
      </c>
      <c r="AA573" s="11">
        <f t="array" ref="AA573">XLOOKUP(A:A,'Raw Revenue'!K:K,'Raw Revenue'!L:L,0)</f>
        <v>0</v>
      </c>
      <c r="AB573" s="11">
        <f t="array" ref="AB573">XLOOKUP(A:A,'Raw Revenue'!M:M,'Raw Revenue'!N:N,0)</f>
        <v>0</v>
      </c>
      <c r="AC573" s="3">
        <v>0.0</v>
      </c>
      <c r="AD573" s="3">
        <v>0.0</v>
      </c>
      <c r="AE573" s="3">
        <v>0.0</v>
      </c>
      <c r="AF573" s="3">
        <v>0.0</v>
      </c>
      <c r="AG573" s="3">
        <v>0.0</v>
      </c>
    </row>
    <row r="574">
      <c r="A574" s="3" t="s">
        <v>1399</v>
      </c>
      <c r="B574" s="3" t="s">
        <v>1400</v>
      </c>
      <c r="C574" s="3" t="str">
        <f t="shared" si="1"/>
        <v>PT. Abadi Selamanya Jaya</v>
      </c>
      <c r="D574" s="3" t="s">
        <v>195</v>
      </c>
      <c r="E574" s="3" t="s">
        <v>187</v>
      </c>
      <c r="F574" s="3" t="s">
        <v>188</v>
      </c>
      <c r="G574" s="3" t="s">
        <v>53</v>
      </c>
      <c r="H574" s="3" t="str">
        <f t="array" ref="H574">XLOOKUP(G:G,'Account Manager Data'!A:A,'Account Manager Data'!B:B,0)</f>
        <v>Fajar Ramadhan</v>
      </c>
      <c r="I574" s="11" t="str">
        <f t="array" ref="I574">XLOOKUP($G:$G,'Account Manager Data'!$A:$A,'Account Manager Data'!C:C)</f>
        <v>Sulawesi</v>
      </c>
      <c r="J574" s="17">
        <v>7565192.0</v>
      </c>
      <c r="K574" s="17">
        <v>7916160.0</v>
      </c>
      <c r="L574" s="17">
        <v>8721.0</v>
      </c>
      <c r="M574" s="17">
        <v>6318406.0</v>
      </c>
      <c r="N574" s="17">
        <v>8777655.0</v>
      </c>
      <c r="O574" s="17">
        <v>2196462.0</v>
      </c>
      <c r="P574" s="17">
        <v>9861477.0</v>
      </c>
      <c r="Q574" s="17">
        <v>1.4532245E7</v>
      </c>
      <c r="R574" s="17">
        <v>9731253.0</v>
      </c>
      <c r="S574" s="17">
        <v>0.0</v>
      </c>
      <c r="T574" s="17">
        <v>9675610.0</v>
      </c>
      <c r="U574" s="17">
        <v>1.8596182E7</v>
      </c>
      <c r="V574" s="11">
        <f t="array" ref="V574">XLOOKUP(A:A,'Raw Revenue'!A:A,'Raw Revenue'!B:B,0)
</f>
        <v>0</v>
      </c>
      <c r="W574" s="11">
        <f t="array" ref="W574">XLOOKUP(A:A,'Raw Revenue'!C:C,'Raw Revenue'!D:D,0)</f>
        <v>0</v>
      </c>
      <c r="X574" s="11">
        <f t="array" ref="X574">XLOOKUP(A:A,'Raw Revenue'!E:E,'Raw Revenue'!F:F,0)</f>
        <v>0</v>
      </c>
      <c r="Y574" s="11">
        <f t="array" ref="Y574">XLOOKUP(A:A,'Raw Revenue'!G:G,'Raw Revenue'!H:H,0)</f>
        <v>0</v>
      </c>
      <c r="Z574" s="11">
        <f t="array" ref="Z574">XLOOKUP(A:A,'Raw Revenue'!I:I,'Raw Revenue'!J:J,0)</f>
        <v>0</v>
      </c>
      <c r="AA574" s="11">
        <f t="array" ref="AA574">XLOOKUP(A:A,'Raw Revenue'!K:K,'Raw Revenue'!L:L,0)</f>
        <v>0</v>
      </c>
      <c r="AB574" s="11">
        <f t="array" ref="AB574">XLOOKUP(A:A,'Raw Revenue'!M:M,'Raw Revenue'!N:N,0)</f>
        <v>0</v>
      </c>
      <c r="AC574" s="3">
        <v>0.0</v>
      </c>
      <c r="AD574" s="3">
        <v>0.0</v>
      </c>
      <c r="AE574" s="3">
        <v>0.0</v>
      </c>
      <c r="AF574" s="3">
        <v>0.0</v>
      </c>
      <c r="AG574" s="3">
        <v>0.0</v>
      </c>
    </row>
    <row r="575">
      <c r="A575" s="3" t="s">
        <v>1401</v>
      </c>
      <c r="B575" s="3" t="s">
        <v>1402</v>
      </c>
      <c r="C575" s="3" t="str">
        <f t="shared" si="1"/>
        <v>PT. Mandiri Sejahtera Bersama</v>
      </c>
      <c r="D575" s="3" t="s">
        <v>84</v>
      </c>
      <c r="E575" s="3" t="s">
        <v>215</v>
      </c>
      <c r="F575" s="3" t="s">
        <v>300</v>
      </c>
      <c r="G575" s="3" t="s">
        <v>27</v>
      </c>
      <c r="H575" s="3" t="str">
        <f t="array" ref="H575">XLOOKUP(G:G,'Account Manager Data'!A:A,'Account Manager Data'!B:B,0)</f>
        <v>Dedi Kurniawan</v>
      </c>
      <c r="I575" s="11" t="str">
        <f t="array" ref="I575">XLOOKUP($G:$G,'Account Manager Data'!$A:$A,'Account Manager Data'!C:C)</f>
        <v>Kalimantan</v>
      </c>
      <c r="J575" s="17">
        <v>1308026.0</v>
      </c>
      <c r="K575" s="17">
        <v>2054008.0</v>
      </c>
      <c r="L575" s="17">
        <v>348902.0</v>
      </c>
      <c r="M575" s="17">
        <v>3894146.0</v>
      </c>
      <c r="N575" s="17">
        <v>1.2431598E7</v>
      </c>
      <c r="O575" s="17">
        <v>1867561.0</v>
      </c>
      <c r="P575" s="17">
        <v>1.6115767E7</v>
      </c>
      <c r="Q575" s="17">
        <v>1.6056176E7</v>
      </c>
      <c r="R575" s="17">
        <v>5570267.0</v>
      </c>
      <c r="S575" s="17">
        <v>6675177.0</v>
      </c>
      <c r="T575" s="17">
        <v>1.261493E7</v>
      </c>
      <c r="U575" s="17">
        <v>3778074.0</v>
      </c>
      <c r="V575" s="11">
        <f t="array" ref="V575">XLOOKUP(A:A,'Raw Revenue'!A:A,'Raw Revenue'!B:B,0)
</f>
        <v>0</v>
      </c>
      <c r="W575" s="11">
        <f t="array" ref="W575">XLOOKUP(A:A,'Raw Revenue'!C:C,'Raw Revenue'!D:D,0)</f>
        <v>0</v>
      </c>
      <c r="X575" s="11">
        <f t="array" ref="X575">XLOOKUP(A:A,'Raw Revenue'!E:E,'Raw Revenue'!F:F,0)</f>
        <v>0</v>
      </c>
      <c r="Y575" s="11">
        <f t="array" ref="Y575">XLOOKUP(A:A,'Raw Revenue'!G:G,'Raw Revenue'!H:H,0)</f>
        <v>0</v>
      </c>
      <c r="Z575" s="11">
        <f t="array" ref="Z575">XLOOKUP(A:A,'Raw Revenue'!I:I,'Raw Revenue'!J:J,0)</f>
        <v>0</v>
      </c>
      <c r="AA575" s="11">
        <f t="array" ref="AA575">XLOOKUP(A:A,'Raw Revenue'!K:K,'Raw Revenue'!L:L,0)</f>
        <v>0</v>
      </c>
      <c r="AB575" s="11">
        <f t="array" ref="AB575">XLOOKUP(A:A,'Raw Revenue'!M:M,'Raw Revenue'!N:N,0)</f>
        <v>0</v>
      </c>
      <c r="AC575" s="3">
        <v>0.0</v>
      </c>
      <c r="AD575" s="3">
        <v>0.0</v>
      </c>
      <c r="AE575" s="3">
        <v>0.0</v>
      </c>
      <c r="AF575" s="3">
        <v>0.0</v>
      </c>
      <c r="AG575" s="3">
        <v>0.0</v>
      </c>
    </row>
    <row r="576">
      <c r="A576" s="3" t="s">
        <v>1403</v>
      </c>
      <c r="B576" s="3" t="s">
        <v>1404</v>
      </c>
      <c r="C576" s="3" t="str">
        <f t="shared" si="1"/>
        <v>PT. Sejahtera Alam Indonesia</v>
      </c>
      <c r="D576" s="3" t="s">
        <v>130</v>
      </c>
      <c r="E576" s="3" t="s">
        <v>196</v>
      </c>
      <c r="F576" s="3" t="s">
        <v>315</v>
      </c>
      <c r="G576" s="3" t="s">
        <v>78</v>
      </c>
      <c r="H576" s="3" t="str">
        <f t="array" ref="H576">XLOOKUP(G:G,'Account Manager Data'!A:A,'Account Manager Data'!B:B,0)</f>
        <v>Ilham Saputra</v>
      </c>
      <c r="I576" s="11" t="str">
        <f t="array" ref="I576">XLOOKUP($G:$G,'Account Manager Data'!$A:$A,'Account Manager Data'!C:C)</f>
        <v>Jawa</v>
      </c>
      <c r="J576" s="17">
        <v>7497170.0</v>
      </c>
      <c r="K576" s="17">
        <v>7095216.0</v>
      </c>
      <c r="L576" s="17">
        <v>7552147.0</v>
      </c>
      <c r="M576" s="17">
        <v>1.1596098E7</v>
      </c>
      <c r="N576" s="17">
        <v>7268732.0</v>
      </c>
      <c r="O576" s="17">
        <v>7062964.0</v>
      </c>
      <c r="P576" s="17">
        <v>2073961.0</v>
      </c>
      <c r="Q576" s="17">
        <v>3973254.0</v>
      </c>
      <c r="R576" s="17">
        <v>1.2022898E7</v>
      </c>
      <c r="S576" s="17">
        <v>1.4216846E7</v>
      </c>
      <c r="T576" s="17">
        <v>0.0</v>
      </c>
      <c r="U576" s="17">
        <v>0.0</v>
      </c>
      <c r="V576" s="11">
        <f t="array" ref="V576">XLOOKUP(A:A,'Raw Revenue'!A:A,'Raw Revenue'!B:B,0)
</f>
        <v>0</v>
      </c>
      <c r="W576" s="11">
        <f t="array" ref="W576">XLOOKUP(A:A,'Raw Revenue'!C:C,'Raw Revenue'!D:D,0)</f>
        <v>0</v>
      </c>
      <c r="X576" s="11">
        <f t="array" ref="X576">XLOOKUP(A:A,'Raw Revenue'!E:E,'Raw Revenue'!F:F,0)</f>
        <v>0</v>
      </c>
      <c r="Y576" s="11">
        <f t="array" ref="Y576">XLOOKUP(A:A,'Raw Revenue'!G:G,'Raw Revenue'!H:H,0)</f>
        <v>0</v>
      </c>
      <c r="Z576" s="11">
        <f t="array" ref="Z576">XLOOKUP(A:A,'Raw Revenue'!I:I,'Raw Revenue'!J:J,0)</f>
        <v>0</v>
      </c>
      <c r="AA576" s="11">
        <f t="array" ref="AA576">XLOOKUP(A:A,'Raw Revenue'!K:K,'Raw Revenue'!L:L,0)</f>
        <v>0</v>
      </c>
      <c r="AB576" s="11">
        <f t="array" ref="AB576">XLOOKUP(A:A,'Raw Revenue'!M:M,'Raw Revenue'!N:N,0)</f>
        <v>0</v>
      </c>
      <c r="AC576" s="3">
        <v>0.0</v>
      </c>
      <c r="AD576" s="3">
        <v>0.0</v>
      </c>
      <c r="AE576" s="3">
        <v>0.0</v>
      </c>
      <c r="AF576" s="3">
        <v>0.0</v>
      </c>
      <c r="AG576" s="3">
        <v>0.0</v>
      </c>
    </row>
    <row r="577">
      <c r="A577" s="3" t="s">
        <v>1405</v>
      </c>
      <c r="B577" s="3" t="s">
        <v>1406</v>
      </c>
      <c r="C577" s="3" t="str">
        <f t="shared" si="1"/>
        <v>PT. Indah Kargo Logistik</v>
      </c>
      <c r="D577" s="3" t="s">
        <v>195</v>
      </c>
      <c r="E577" s="3" t="s">
        <v>104</v>
      </c>
      <c r="F577" s="3" t="s">
        <v>105</v>
      </c>
      <c r="G577" s="3" t="s">
        <v>63</v>
      </c>
      <c r="H577" s="3" t="str">
        <f t="array" ref="H577">XLOOKUP(G:G,'Account Manager Data'!A:A,'Account Manager Data'!B:B,0)</f>
        <v>Hendra Gunawan</v>
      </c>
      <c r="I577" s="11" t="str">
        <f t="array" ref="I577">XLOOKUP($G:$G,'Account Manager Data'!$A:$A,'Account Manager Data'!C:C)</f>
        <v>Kalimantan</v>
      </c>
      <c r="J577" s="17">
        <v>2236694.0</v>
      </c>
      <c r="K577" s="17">
        <v>4854430.0</v>
      </c>
      <c r="L577" s="17">
        <v>1312912.0</v>
      </c>
      <c r="M577" s="17">
        <v>4641343.0</v>
      </c>
      <c r="N577" s="17">
        <v>6642649.0</v>
      </c>
      <c r="O577" s="17">
        <v>1261369.0</v>
      </c>
      <c r="P577" s="17">
        <v>8608537.0</v>
      </c>
      <c r="Q577" s="17">
        <v>5266187.0</v>
      </c>
      <c r="R577" s="17">
        <v>9469272.0</v>
      </c>
      <c r="S577" s="17">
        <v>9769709.0</v>
      </c>
      <c r="T577" s="17">
        <v>9360037.0</v>
      </c>
      <c r="U577" s="17">
        <v>1.1637406E7</v>
      </c>
      <c r="V577" s="11">
        <f t="array" ref="V577">XLOOKUP(A:A,'Raw Revenue'!A:A,'Raw Revenue'!B:B,0)
</f>
        <v>0</v>
      </c>
      <c r="W577" s="11">
        <f t="array" ref="W577">XLOOKUP(A:A,'Raw Revenue'!C:C,'Raw Revenue'!D:D,0)</f>
        <v>0</v>
      </c>
      <c r="X577" s="11">
        <f t="array" ref="X577">XLOOKUP(A:A,'Raw Revenue'!E:E,'Raw Revenue'!F:F,0)</f>
        <v>0</v>
      </c>
      <c r="Y577" s="11">
        <f t="array" ref="Y577">XLOOKUP(A:A,'Raw Revenue'!G:G,'Raw Revenue'!H:H,0)</f>
        <v>0</v>
      </c>
      <c r="Z577" s="11">
        <f t="array" ref="Z577">XLOOKUP(A:A,'Raw Revenue'!I:I,'Raw Revenue'!J:J,0)</f>
        <v>0</v>
      </c>
      <c r="AA577" s="11">
        <f t="array" ref="AA577">XLOOKUP(A:A,'Raw Revenue'!K:K,'Raw Revenue'!L:L,0)</f>
        <v>0</v>
      </c>
      <c r="AB577" s="11">
        <f t="array" ref="AB577">XLOOKUP(A:A,'Raw Revenue'!M:M,'Raw Revenue'!N:N,0)</f>
        <v>0</v>
      </c>
      <c r="AC577" s="3">
        <v>0.0</v>
      </c>
      <c r="AD577" s="3">
        <v>0.0</v>
      </c>
      <c r="AE577" s="3">
        <v>0.0</v>
      </c>
      <c r="AF577" s="3">
        <v>0.0</v>
      </c>
      <c r="AG577" s="3">
        <v>0.0</v>
      </c>
    </row>
    <row r="578">
      <c r="A578" s="3" t="s">
        <v>1407</v>
      </c>
      <c r="B578" s="3" t="s">
        <v>1408</v>
      </c>
      <c r="C578" s="3" t="str">
        <f t="shared" si="1"/>
        <v>PT. Berkah Alam Semesta</v>
      </c>
      <c r="D578" s="3" t="s">
        <v>130</v>
      </c>
      <c r="E578" s="3" t="s">
        <v>85</v>
      </c>
      <c r="F578" s="3" t="s">
        <v>248</v>
      </c>
      <c r="G578" s="3" t="s">
        <v>35</v>
      </c>
      <c r="H578" s="3" t="str">
        <f t="array" ref="H578">XLOOKUP(G:G,'Account Manager Data'!A:A,'Account Manager Data'!B:B,0)</f>
        <v>Ahmad Fauzi</v>
      </c>
      <c r="I578" s="11" t="str">
        <f t="array" ref="I578">XLOOKUP($G:$G,'Account Manager Data'!$A:$A,'Account Manager Data'!C:C)</f>
        <v>Sumatera</v>
      </c>
      <c r="J578" s="17">
        <v>6527209.0</v>
      </c>
      <c r="K578" s="17">
        <v>4308422.0</v>
      </c>
      <c r="L578" s="17">
        <v>4078019.0</v>
      </c>
      <c r="M578" s="17">
        <v>1224697.0</v>
      </c>
      <c r="N578" s="17">
        <v>1.3330346E7</v>
      </c>
      <c r="O578" s="17">
        <v>1.0701998E7</v>
      </c>
      <c r="P578" s="17">
        <v>1.1457646E7</v>
      </c>
      <c r="Q578" s="17">
        <v>1.3094219E7</v>
      </c>
      <c r="R578" s="17">
        <v>4713984.0</v>
      </c>
      <c r="S578" s="17">
        <v>6157093.0</v>
      </c>
      <c r="T578" s="17">
        <v>5727438.0</v>
      </c>
      <c r="U578" s="17">
        <v>6942420.0</v>
      </c>
      <c r="V578" s="11">
        <f t="array" ref="V578">XLOOKUP(A:A,'Raw Revenue'!A:A,'Raw Revenue'!B:B,0)
</f>
        <v>0</v>
      </c>
      <c r="W578" s="11">
        <f t="array" ref="W578">XLOOKUP(A:A,'Raw Revenue'!C:C,'Raw Revenue'!D:D,0)</f>
        <v>0</v>
      </c>
      <c r="X578" s="11">
        <f t="array" ref="X578">XLOOKUP(A:A,'Raw Revenue'!E:E,'Raw Revenue'!F:F,0)</f>
        <v>0</v>
      </c>
      <c r="Y578" s="11">
        <f t="array" ref="Y578">XLOOKUP(A:A,'Raw Revenue'!G:G,'Raw Revenue'!H:H,0)</f>
        <v>0</v>
      </c>
      <c r="Z578" s="11">
        <f t="array" ref="Z578">XLOOKUP(A:A,'Raw Revenue'!I:I,'Raw Revenue'!J:J,0)</f>
        <v>0</v>
      </c>
      <c r="AA578" s="11">
        <f t="array" ref="AA578">XLOOKUP(A:A,'Raw Revenue'!K:K,'Raw Revenue'!L:L,0)</f>
        <v>0</v>
      </c>
      <c r="AB578" s="11">
        <f t="array" ref="AB578">XLOOKUP(A:A,'Raw Revenue'!M:M,'Raw Revenue'!N:N,0)</f>
        <v>0</v>
      </c>
      <c r="AC578" s="3">
        <v>0.0</v>
      </c>
      <c r="AD578" s="3">
        <v>0.0</v>
      </c>
      <c r="AE578" s="3">
        <v>0.0</v>
      </c>
      <c r="AF578" s="3">
        <v>0.0</v>
      </c>
      <c r="AG578" s="3">
        <v>0.0</v>
      </c>
    </row>
    <row r="579">
      <c r="A579" s="3" t="s">
        <v>1409</v>
      </c>
      <c r="B579" s="3" t="s">
        <v>1410</v>
      </c>
      <c r="C579" s="3" t="str">
        <f t="shared" si="1"/>
        <v>PT. Cahaya Baru Indonesia</v>
      </c>
      <c r="D579" s="3" t="s">
        <v>186</v>
      </c>
      <c r="E579" s="3" t="s">
        <v>104</v>
      </c>
      <c r="F579" s="3" t="s">
        <v>105</v>
      </c>
      <c r="G579" s="3" t="s">
        <v>43</v>
      </c>
      <c r="H579" s="3" t="str">
        <f t="array" ref="H579">XLOOKUP(G:G,'Account Manager Data'!A:A,'Account Manager Data'!B:B,0)</f>
        <v>Eko Prasetyo</v>
      </c>
      <c r="I579" s="11" t="str">
        <f t="array" ref="I579">XLOOKUP($G:$G,'Account Manager Data'!$A:$A,'Account Manager Data'!C:C)</f>
        <v>Papua</v>
      </c>
      <c r="J579" s="17">
        <v>3381824.0</v>
      </c>
      <c r="K579" s="17">
        <v>2910551.0</v>
      </c>
      <c r="L579" s="17">
        <v>2139642.0</v>
      </c>
      <c r="M579" s="17">
        <v>3222246.0</v>
      </c>
      <c r="N579" s="17">
        <v>0.0</v>
      </c>
      <c r="O579" s="17">
        <v>5213406.0</v>
      </c>
      <c r="P579" s="17">
        <v>8733815.0</v>
      </c>
      <c r="Q579" s="17">
        <v>5527662.0</v>
      </c>
      <c r="R579" s="17">
        <v>1.1039578E7</v>
      </c>
      <c r="S579" s="17">
        <v>1411967.0</v>
      </c>
      <c r="T579" s="17">
        <v>8392413.0</v>
      </c>
      <c r="U579" s="17">
        <v>1.0294501E7</v>
      </c>
      <c r="V579" s="11">
        <f t="array" ref="V579">XLOOKUP(A:A,'Raw Revenue'!A:A,'Raw Revenue'!B:B,0)
</f>
        <v>0</v>
      </c>
      <c r="W579" s="11">
        <f t="array" ref="W579">XLOOKUP(A:A,'Raw Revenue'!C:C,'Raw Revenue'!D:D,0)</f>
        <v>0</v>
      </c>
      <c r="X579" s="11">
        <f t="array" ref="X579">XLOOKUP(A:A,'Raw Revenue'!E:E,'Raw Revenue'!F:F,0)</f>
        <v>0</v>
      </c>
      <c r="Y579" s="11">
        <f t="array" ref="Y579">XLOOKUP(A:A,'Raw Revenue'!G:G,'Raw Revenue'!H:H,0)</f>
        <v>0</v>
      </c>
      <c r="Z579" s="11">
        <f t="array" ref="Z579">XLOOKUP(A:A,'Raw Revenue'!I:I,'Raw Revenue'!J:J,0)</f>
        <v>0</v>
      </c>
      <c r="AA579" s="11">
        <f t="array" ref="AA579">XLOOKUP(A:A,'Raw Revenue'!K:K,'Raw Revenue'!L:L,0)</f>
        <v>0</v>
      </c>
      <c r="AB579" s="11">
        <f t="array" ref="AB579">XLOOKUP(A:A,'Raw Revenue'!M:M,'Raw Revenue'!N:N,0)</f>
        <v>0</v>
      </c>
      <c r="AC579" s="3">
        <v>0.0</v>
      </c>
      <c r="AD579" s="3">
        <v>0.0</v>
      </c>
      <c r="AE579" s="3">
        <v>0.0</v>
      </c>
      <c r="AF579" s="3">
        <v>0.0</v>
      </c>
      <c r="AG579" s="3">
        <v>0.0</v>
      </c>
    </row>
    <row r="580">
      <c r="A580" s="3" t="s">
        <v>1411</v>
      </c>
      <c r="B580" s="3" t="s">
        <v>1412</v>
      </c>
      <c r="C580" s="3" t="str">
        <f t="shared" si="1"/>
        <v>PT. Mentari Pagi Sejahtera</v>
      </c>
      <c r="D580" s="3" t="s">
        <v>195</v>
      </c>
      <c r="E580" s="3" t="s">
        <v>196</v>
      </c>
      <c r="F580" s="3" t="s">
        <v>260</v>
      </c>
      <c r="G580" s="3" t="s">
        <v>74</v>
      </c>
      <c r="H580" s="3" t="str">
        <f t="array" ref="H580">XLOOKUP(G:G,'Account Manager Data'!A:A,'Account Manager Data'!B:B,0)</f>
        <v>Budi Santoso</v>
      </c>
      <c r="I580" s="11" t="str">
        <f t="array" ref="I580">XLOOKUP($G:$G,'Account Manager Data'!$A:$A,'Account Manager Data'!C:C)</f>
        <v>Papua</v>
      </c>
      <c r="J580" s="17">
        <v>2512250.0</v>
      </c>
      <c r="K580" s="17">
        <v>2731604.0</v>
      </c>
      <c r="L580" s="17">
        <v>4512532.0</v>
      </c>
      <c r="M580" s="17">
        <v>1285793.0</v>
      </c>
      <c r="N580" s="17">
        <v>7802262.0</v>
      </c>
      <c r="O580" s="17">
        <v>2265376.0</v>
      </c>
      <c r="P580" s="17">
        <v>9176305.0</v>
      </c>
      <c r="Q580" s="17">
        <v>1.3663606E7</v>
      </c>
      <c r="R580" s="17">
        <v>1.1010146E7</v>
      </c>
      <c r="S580" s="17">
        <v>1.2561847E7</v>
      </c>
      <c r="T580" s="17">
        <v>1.4899234E7</v>
      </c>
      <c r="U580" s="17">
        <v>0.0</v>
      </c>
      <c r="V580" s="11">
        <f t="array" ref="V580">XLOOKUP(A:A,'Raw Revenue'!A:A,'Raw Revenue'!B:B,0)
</f>
        <v>0</v>
      </c>
      <c r="W580" s="11">
        <f t="array" ref="W580">XLOOKUP(A:A,'Raw Revenue'!C:C,'Raw Revenue'!D:D,0)</f>
        <v>0</v>
      </c>
      <c r="X580" s="11">
        <f t="array" ref="X580">XLOOKUP(A:A,'Raw Revenue'!E:E,'Raw Revenue'!F:F,0)</f>
        <v>0</v>
      </c>
      <c r="Y580" s="11">
        <f t="array" ref="Y580">XLOOKUP(A:A,'Raw Revenue'!G:G,'Raw Revenue'!H:H,0)</f>
        <v>0</v>
      </c>
      <c r="Z580" s="11">
        <f t="array" ref="Z580">XLOOKUP(A:A,'Raw Revenue'!I:I,'Raw Revenue'!J:J,0)</f>
        <v>0</v>
      </c>
      <c r="AA580" s="11">
        <f t="array" ref="AA580">XLOOKUP(A:A,'Raw Revenue'!K:K,'Raw Revenue'!L:L,0)</f>
        <v>0</v>
      </c>
      <c r="AB580" s="11">
        <f t="array" ref="AB580">XLOOKUP(A:A,'Raw Revenue'!M:M,'Raw Revenue'!N:N,0)</f>
        <v>0</v>
      </c>
      <c r="AC580" s="3">
        <v>0.0</v>
      </c>
      <c r="AD580" s="3">
        <v>0.0</v>
      </c>
      <c r="AE580" s="3">
        <v>0.0</v>
      </c>
      <c r="AF580" s="3">
        <v>0.0</v>
      </c>
      <c r="AG580" s="3">
        <v>0.0</v>
      </c>
    </row>
    <row r="581">
      <c r="A581" s="3" t="s">
        <v>1413</v>
      </c>
      <c r="B581" s="3" t="s">
        <v>1414</v>
      </c>
      <c r="C581" s="3" t="str">
        <f t="shared" si="1"/>
        <v>PT. Bintang Kejora Nusantara</v>
      </c>
      <c r="D581" s="3" t="s">
        <v>214</v>
      </c>
      <c r="E581" s="3" t="s">
        <v>196</v>
      </c>
      <c r="F581" s="3" t="s">
        <v>315</v>
      </c>
      <c r="G581" s="3" t="s">
        <v>76</v>
      </c>
      <c r="H581" s="3" t="str">
        <f t="array" ref="H581">XLOOKUP(G:G,'Account Manager Data'!A:A,'Account Manager Data'!B:B,0)</f>
        <v>Teguh Wijaya</v>
      </c>
      <c r="I581" s="11" t="str">
        <f t="array" ref="I581">XLOOKUP($G:$G,'Account Manager Data'!$A:$A,'Account Manager Data'!C:C)</f>
        <v>Sulawesi</v>
      </c>
      <c r="J581" s="17">
        <v>3542499.0</v>
      </c>
      <c r="K581" s="17">
        <v>7211017.0</v>
      </c>
      <c r="L581" s="17">
        <v>9847958.0</v>
      </c>
      <c r="M581" s="17">
        <v>6149138.0</v>
      </c>
      <c r="N581" s="17">
        <v>469367.0</v>
      </c>
      <c r="O581" s="17">
        <v>1.0020293E7</v>
      </c>
      <c r="P581" s="17">
        <v>9011485.0</v>
      </c>
      <c r="Q581" s="17">
        <v>5272453.0</v>
      </c>
      <c r="R581" s="17">
        <v>4104738.0</v>
      </c>
      <c r="S581" s="17">
        <v>877742.0</v>
      </c>
      <c r="T581" s="17">
        <v>1.6964406E7</v>
      </c>
      <c r="U581" s="17">
        <v>1.7396852E7</v>
      </c>
      <c r="V581" s="11">
        <f t="array" ref="V581">XLOOKUP(A:A,'Raw Revenue'!A:A,'Raw Revenue'!B:B,0)
</f>
        <v>0</v>
      </c>
      <c r="W581" s="11">
        <f t="array" ref="W581">XLOOKUP(A:A,'Raw Revenue'!C:C,'Raw Revenue'!D:D,0)</f>
        <v>0</v>
      </c>
      <c r="X581" s="11">
        <f t="array" ref="X581">XLOOKUP(A:A,'Raw Revenue'!E:E,'Raw Revenue'!F:F,0)</f>
        <v>0</v>
      </c>
      <c r="Y581" s="11">
        <f t="array" ref="Y581">XLOOKUP(A:A,'Raw Revenue'!G:G,'Raw Revenue'!H:H,0)</f>
        <v>0</v>
      </c>
      <c r="Z581" s="11">
        <f t="array" ref="Z581">XLOOKUP(A:A,'Raw Revenue'!I:I,'Raw Revenue'!J:J,0)</f>
        <v>0</v>
      </c>
      <c r="AA581" s="11">
        <f t="array" ref="AA581">XLOOKUP(A:A,'Raw Revenue'!K:K,'Raw Revenue'!L:L,0)</f>
        <v>0</v>
      </c>
      <c r="AB581" s="11">
        <f t="array" ref="AB581">XLOOKUP(A:A,'Raw Revenue'!M:M,'Raw Revenue'!N:N,0)</f>
        <v>0</v>
      </c>
      <c r="AC581" s="3">
        <v>0.0</v>
      </c>
      <c r="AD581" s="3">
        <v>0.0</v>
      </c>
      <c r="AE581" s="3">
        <v>0.0</v>
      </c>
      <c r="AF581" s="3">
        <v>0.0</v>
      </c>
      <c r="AG581" s="3">
        <v>0.0</v>
      </c>
    </row>
    <row r="582">
      <c r="A582" s="3" t="s">
        <v>1415</v>
      </c>
      <c r="B582" s="3" t="s">
        <v>1416</v>
      </c>
      <c r="C582" s="3" t="str">
        <f t="shared" si="1"/>
        <v>PT. Maju Jaya</v>
      </c>
      <c r="D582" s="3" t="s">
        <v>195</v>
      </c>
      <c r="E582" s="3" t="s">
        <v>215</v>
      </c>
      <c r="F582" s="3" t="s">
        <v>300</v>
      </c>
      <c r="G582" s="3" t="s">
        <v>70</v>
      </c>
      <c r="H582" s="3" t="str">
        <f t="array" ref="H582">XLOOKUP(G:G,'Account Manager Data'!A:A,'Account Manager Data'!B:B,0)</f>
        <v>Yusuf Hidayat</v>
      </c>
      <c r="I582" s="11" t="str">
        <f t="array" ref="I582">XLOOKUP($G:$G,'Account Manager Data'!$A:$A,'Account Manager Data'!C:C)</f>
        <v>Sumatera</v>
      </c>
      <c r="J582" s="17">
        <v>6709325.0</v>
      </c>
      <c r="K582" s="17">
        <v>6755597.0</v>
      </c>
      <c r="L582" s="17">
        <v>1496474.0</v>
      </c>
      <c r="M582" s="17">
        <v>0.0</v>
      </c>
      <c r="N582" s="17">
        <v>7921396.0</v>
      </c>
      <c r="O582" s="17">
        <v>7236446.0</v>
      </c>
      <c r="P582" s="17">
        <v>7731884.0</v>
      </c>
      <c r="Q582" s="17">
        <v>1.4977663E7</v>
      </c>
      <c r="R582" s="17">
        <v>5619182.0</v>
      </c>
      <c r="S582" s="17">
        <v>1.6336852E7</v>
      </c>
      <c r="T582" s="17">
        <v>1.9307979E7</v>
      </c>
      <c r="U582" s="17">
        <v>744025.0</v>
      </c>
      <c r="V582" s="11">
        <f t="array" ref="V582">XLOOKUP(A:A,'Raw Revenue'!A:A,'Raw Revenue'!B:B,0)
</f>
        <v>0</v>
      </c>
      <c r="W582" s="11">
        <f t="array" ref="W582">XLOOKUP(A:A,'Raw Revenue'!C:C,'Raw Revenue'!D:D,0)</f>
        <v>0</v>
      </c>
      <c r="X582" s="11">
        <f t="array" ref="X582">XLOOKUP(A:A,'Raw Revenue'!E:E,'Raw Revenue'!F:F,0)</f>
        <v>0</v>
      </c>
      <c r="Y582" s="11">
        <f t="array" ref="Y582">XLOOKUP(A:A,'Raw Revenue'!G:G,'Raw Revenue'!H:H,0)</f>
        <v>0</v>
      </c>
      <c r="Z582" s="11">
        <f t="array" ref="Z582">XLOOKUP(A:A,'Raw Revenue'!I:I,'Raw Revenue'!J:J,0)</f>
        <v>0</v>
      </c>
      <c r="AA582" s="11">
        <f t="array" ref="AA582">XLOOKUP(A:A,'Raw Revenue'!K:K,'Raw Revenue'!L:L,0)</f>
        <v>0</v>
      </c>
      <c r="AB582" s="11">
        <f t="array" ref="AB582">XLOOKUP(A:A,'Raw Revenue'!M:M,'Raw Revenue'!N:N,0)</f>
        <v>0</v>
      </c>
      <c r="AC582" s="3">
        <v>0.0</v>
      </c>
      <c r="AD582" s="3">
        <v>0.0</v>
      </c>
      <c r="AE582" s="3">
        <v>0.0</v>
      </c>
      <c r="AF582" s="3">
        <v>0.0</v>
      </c>
      <c r="AG582" s="3">
        <v>0.0</v>
      </c>
    </row>
    <row r="583">
      <c r="A583" s="3" t="s">
        <v>1417</v>
      </c>
      <c r="B583" s="3" t="s">
        <v>1418</v>
      </c>
      <c r="C583" s="3" t="str">
        <f t="shared" si="1"/>
        <v>CV. Sumber Makmur</v>
      </c>
      <c r="D583" s="3" t="s">
        <v>186</v>
      </c>
      <c r="E583" s="3" t="s">
        <v>85</v>
      </c>
      <c r="F583" s="3" t="s">
        <v>248</v>
      </c>
      <c r="G583" s="3" t="s">
        <v>15</v>
      </c>
      <c r="H583" s="3" t="str">
        <f t="array" ref="H583">XLOOKUP(G:G,'Account Manager Data'!A:A,'Account Manager Data'!B:B,0)</f>
        <v>Rizky Maulana</v>
      </c>
      <c r="I583" s="11" t="str">
        <f t="array" ref="I583">XLOOKUP($G:$G,'Account Manager Data'!$A:$A,'Account Manager Data'!C:C)</f>
        <v>Jawa</v>
      </c>
      <c r="J583" s="17">
        <v>3471913.0</v>
      </c>
      <c r="K583" s="17">
        <v>8919884.0</v>
      </c>
      <c r="L583" s="17">
        <v>0.0</v>
      </c>
      <c r="M583" s="17">
        <v>5967354.0</v>
      </c>
      <c r="N583" s="17">
        <v>6172979.0</v>
      </c>
      <c r="O583" s="17">
        <v>9343985.0</v>
      </c>
      <c r="P583" s="17">
        <v>2780914.0</v>
      </c>
      <c r="Q583" s="17">
        <v>9752811.0</v>
      </c>
      <c r="R583" s="17">
        <v>3644295.0</v>
      </c>
      <c r="S583" s="17">
        <v>1518412.0</v>
      </c>
      <c r="T583" s="17">
        <v>1.4150015E7</v>
      </c>
      <c r="U583" s="17">
        <v>1.1226065E7</v>
      </c>
      <c r="V583" s="11">
        <f t="array" ref="V583">XLOOKUP(A:A,'Raw Revenue'!A:A,'Raw Revenue'!B:B,0)
</f>
        <v>0</v>
      </c>
      <c r="W583" s="11">
        <f t="array" ref="W583">XLOOKUP(A:A,'Raw Revenue'!C:C,'Raw Revenue'!D:D,0)</f>
        <v>0</v>
      </c>
      <c r="X583" s="11">
        <f t="array" ref="X583">XLOOKUP(A:A,'Raw Revenue'!E:E,'Raw Revenue'!F:F,0)</f>
        <v>0</v>
      </c>
      <c r="Y583" s="11">
        <f t="array" ref="Y583">XLOOKUP(A:A,'Raw Revenue'!G:G,'Raw Revenue'!H:H,0)</f>
        <v>0</v>
      </c>
      <c r="Z583" s="11">
        <f t="array" ref="Z583">XLOOKUP(A:A,'Raw Revenue'!I:I,'Raw Revenue'!J:J,0)</f>
        <v>0</v>
      </c>
      <c r="AA583" s="11">
        <f t="array" ref="AA583">XLOOKUP(A:A,'Raw Revenue'!K:K,'Raw Revenue'!L:L,0)</f>
        <v>0</v>
      </c>
      <c r="AB583" s="11">
        <f t="array" ref="AB583">XLOOKUP(A:A,'Raw Revenue'!M:M,'Raw Revenue'!N:N,0)</f>
        <v>0</v>
      </c>
      <c r="AC583" s="3">
        <v>0.0</v>
      </c>
      <c r="AD583" s="3">
        <v>0.0</v>
      </c>
      <c r="AE583" s="3">
        <v>0.0</v>
      </c>
      <c r="AF583" s="3">
        <v>0.0</v>
      </c>
      <c r="AG583" s="3">
        <v>0.0</v>
      </c>
    </row>
    <row r="584">
      <c r="A584" s="3" t="s">
        <v>1419</v>
      </c>
      <c r="B584" s="3" t="s">
        <v>1420</v>
      </c>
      <c r="C584" s="3" t="str">
        <f t="shared" si="1"/>
        <v>PT. Teknologi Nusantara</v>
      </c>
      <c r="D584" s="3" t="s">
        <v>195</v>
      </c>
      <c r="E584" s="3" t="s">
        <v>104</v>
      </c>
      <c r="F584" s="3" t="s">
        <v>252</v>
      </c>
      <c r="G584" s="3" t="s">
        <v>27</v>
      </c>
      <c r="H584" s="3" t="str">
        <f t="array" ref="H584">XLOOKUP(G:G,'Account Manager Data'!A:A,'Account Manager Data'!B:B,0)</f>
        <v>Dedi Kurniawan</v>
      </c>
      <c r="I584" s="11" t="str">
        <f t="array" ref="I584">XLOOKUP($G:$G,'Account Manager Data'!$A:$A,'Account Manager Data'!C:C)</f>
        <v>Kalimantan</v>
      </c>
      <c r="J584" s="17">
        <v>2882504.0</v>
      </c>
      <c r="K584" s="17">
        <v>7141625.0</v>
      </c>
      <c r="L584" s="17">
        <v>9058714.0</v>
      </c>
      <c r="M584" s="17">
        <v>7768747.0</v>
      </c>
      <c r="N584" s="17">
        <v>7308833.0</v>
      </c>
      <c r="O584" s="17">
        <v>1.1860901E7</v>
      </c>
      <c r="P584" s="17">
        <v>3772758.0</v>
      </c>
      <c r="Q584" s="17">
        <v>1.5500496E7</v>
      </c>
      <c r="R584" s="17">
        <v>5635774.0</v>
      </c>
      <c r="S584" s="17">
        <v>1.2187939E7</v>
      </c>
      <c r="T584" s="17">
        <v>1.2368514E7</v>
      </c>
      <c r="U584" s="17">
        <v>438057.0</v>
      </c>
      <c r="V584" s="11">
        <f t="array" ref="V584">XLOOKUP(A:A,'Raw Revenue'!A:A,'Raw Revenue'!B:B,0)
</f>
        <v>0</v>
      </c>
      <c r="W584" s="11">
        <f t="array" ref="W584">XLOOKUP(A:A,'Raw Revenue'!C:C,'Raw Revenue'!D:D,0)</f>
        <v>0</v>
      </c>
      <c r="X584" s="11">
        <f t="array" ref="X584">XLOOKUP(A:A,'Raw Revenue'!E:E,'Raw Revenue'!F:F,0)</f>
        <v>0</v>
      </c>
      <c r="Y584" s="11">
        <f t="array" ref="Y584">XLOOKUP(A:A,'Raw Revenue'!G:G,'Raw Revenue'!H:H,0)</f>
        <v>0</v>
      </c>
      <c r="Z584" s="11">
        <f t="array" ref="Z584">XLOOKUP(A:A,'Raw Revenue'!I:I,'Raw Revenue'!J:J,0)</f>
        <v>0</v>
      </c>
      <c r="AA584" s="11">
        <f t="array" ref="AA584">XLOOKUP(A:A,'Raw Revenue'!K:K,'Raw Revenue'!L:L,0)</f>
        <v>0</v>
      </c>
      <c r="AB584" s="11">
        <f t="array" ref="AB584">XLOOKUP(A:A,'Raw Revenue'!M:M,'Raw Revenue'!N:N,0)</f>
        <v>0</v>
      </c>
      <c r="AC584" s="3">
        <v>0.0</v>
      </c>
      <c r="AD584" s="3">
        <v>0.0</v>
      </c>
      <c r="AE584" s="3">
        <v>0.0</v>
      </c>
      <c r="AF584" s="3">
        <v>0.0</v>
      </c>
      <c r="AG584" s="3">
        <v>0.0</v>
      </c>
    </row>
    <row r="585">
      <c r="A585" s="3" t="s">
        <v>423</v>
      </c>
      <c r="B585" s="3" t="s">
        <v>1421</v>
      </c>
      <c r="C585" s="3" t="str">
        <f t="shared" si="1"/>
        <v>PT. Bakti Indonesia</v>
      </c>
      <c r="D585" s="3" t="s">
        <v>103</v>
      </c>
      <c r="E585" s="3" t="s">
        <v>215</v>
      </c>
      <c r="F585" s="3" t="s">
        <v>300</v>
      </c>
      <c r="G585" s="3" t="s">
        <v>78</v>
      </c>
      <c r="H585" s="3" t="str">
        <f t="array" ref="H585">XLOOKUP(G:G,'Account Manager Data'!A:A,'Account Manager Data'!B:B,0)</f>
        <v>Ilham Saputra</v>
      </c>
      <c r="I585" s="11" t="str">
        <f t="array" ref="I585">XLOOKUP($G:$G,'Account Manager Data'!$A:$A,'Account Manager Data'!C:C)</f>
        <v>Jawa</v>
      </c>
      <c r="J585" s="17">
        <v>4841260.0</v>
      </c>
      <c r="K585" s="17">
        <v>8832255.0</v>
      </c>
      <c r="L585" s="17">
        <v>8770237.0</v>
      </c>
      <c r="M585" s="17">
        <v>5271842.0</v>
      </c>
      <c r="N585" s="17">
        <v>9406616.0</v>
      </c>
      <c r="O585" s="17">
        <v>3196413.0</v>
      </c>
      <c r="P585" s="17">
        <v>110384.0</v>
      </c>
      <c r="Q585" s="17">
        <v>1.459947E7</v>
      </c>
      <c r="R585" s="17">
        <v>1.4004737E7</v>
      </c>
      <c r="S585" s="17">
        <v>1.5943844E7</v>
      </c>
      <c r="T585" s="17">
        <v>1.7379593E7</v>
      </c>
      <c r="U585" s="17">
        <v>1.1480173E7</v>
      </c>
      <c r="V585" s="11">
        <f t="array" ref="V585">XLOOKUP(A:A,'Raw Revenue'!A:A,'Raw Revenue'!B:B,0)
</f>
        <v>357026.1169</v>
      </c>
      <c r="W585" s="11">
        <f t="array" ref="W585">XLOOKUP(A:A,'Raw Revenue'!C:C,'Raw Revenue'!D:D,0)</f>
        <v>178513.0584</v>
      </c>
      <c r="X585" s="11">
        <f t="array" ref="X585">XLOOKUP(A:A,'Raw Revenue'!E:E,'Raw Revenue'!F:F,0)</f>
        <v>107107.8351</v>
      </c>
      <c r="Y585" s="11">
        <f t="array" ref="Y585">XLOOKUP(A:A,'Raw Revenue'!G:G,'Raw Revenue'!H:H,0)</f>
        <v>1249591.409</v>
      </c>
      <c r="Z585" s="11">
        <f t="array" ref="Z585">XLOOKUP(A:A,'Raw Revenue'!I:I,'Raw Revenue'!J:J,0)</f>
        <v>285620.8935</v>
      </c>
      <c r="AA585" s="11">
        <f t="array" ref="AA585">XLOOKUP(A:A,'Raw Revenue'!K:K,'Raw Revenue'!L:L,0)</f>
        <v>8033.08763</v>
      </c>
      <c r="AB585" s="11">
        <f t="array" ref="AB585">XLOOKUP(A:A,'Raw Revenue'!M:M,'Raw Revenue'!N:N,0)</f>
        <v>1076433.742</v>
      </c>
      <c r="AC585" s="3">
        <v>0.0</v>
      </c>
      <c r="AD585" s="3">
        <v>0.0</v>
      </c>
      <c r="AE585" s="3">
        <v>0.0</v>
      </c>
      <c r="AF585" s="3">
        <v>0.0</v>
      </c>
      <c r="AG585" s="3">
        <v>0.0</v>
      </c>
    </row>
    <row r="586">
      <c r="A586" s="3" t="s">
        <v>301</v>
      </c>
      <c r="B586" s="3" t="s">
        <v>1422</v>
      </c>
      <c r="C586" s="3" t="str">
        <f t="shared" si="1"/>
        <v>CV. Amanah Sejahtera</v>
      </c>
      <c r="D586" s="3" t="s">
        <v>103</v>
      </c>
      <c r="E586" s="3" t="s">
        <v>85</v>
      </c>
      <c r="F586" s="3" t="s">
        <v>248</v>
      </c>
      <c r="G586" s="3" t="s">
        <v>53</v>
      </c>
      <c r="H586" s="3" t="str">
        <f t="array" ref="H586">XLOOKUP(G:G,'Account Manager Data'!A:A,'Account Manager Data'!B:B,0)</f>
        <v>Fajar Ramadhan</v>
      </c>
      <c r="I586" s="11" t="str">
        <f t="array" ref="I586">XLOOKUP($G:$G,'Account Manager Data'!$A:$A,'Account Manager Data'!C:C)</f>
        <v>Sulawesi</v>
      </c>
      <c r="J586" s="17">
        <v>782935.0</v>
      </c>
      <c r="K586" s="17">
        <v>8873187.0</v>
      </c>
      <c r="L586" s="17">
        <v>4666088.0</v>
      </c>
      <c r="M586" s="17">
        <v>0.0</v>
      </c>
      <c r="N586" s="17">
        <v>1250060.0</v>
      </c>
      <c r="O586" s="17">
        <v>1.4045273E7</v>
      </c>
      <c r="P586" s="17">
        <v>0.0</v>
      </c>
      <c r="Q586" s="17">
        <v>9238037.0</v>
      </c>
      <c r="R586" s="17">
        <v>4200118.0</v>
      </c>
      <c r="S586" s="17">
        <v>1.4019109E7</v>
      </c>
      <c r="T586" s="17">
        <v>1.3547802E7</v>
      </c>
      <c r="U586" s="17">
        <v>1.2319938E7</v>
      </c>
      <c r="V586" s="11">
        <f t="array" ref="V586">XLOOKUP(A:A,'Raw Revenue'!A:A,'Raw Revenue'!B:B,0)
</f>
        <v>5569607.424</v>
      </c>
      <c r="W586" s="11">
        <f t="array" ref="W586">XLOOKUP(A:A,'Raw Revenue'!C:C,'Raw Revenue'!D:D,0)</f>
        <v>5569607.424</v>
      </c>
      <c r="X586" s="11">
        <f t="array" ref="X586">XLOOKUP(A:A,'Raw Revenue'!E:E,'Raw Revenue'!F:F,0)</f>
        <v>11139214.85</v>
      </c>
      <c r="Y586" s="11">
        <f t="array" ref="Y586">XLOOKUP(A:A,'Raw Revenue'!G:G,'Raw Revenue'!H:H,0)</f>
        <v>9097025.458</v>
      </c>
      <c r="Z586" s="11">
        <f t="array" ref="Z586">XLOOKUP(A:A,'Raw Revenue'!I:I,'Raw Revenue'!J:J,0)</f>
        <v>8168757.554</v>
      </c>
      <c r="AA586" s="11">
        <f t="array" ref="AA586">XLOOKUP(A:A,'Raw Revenue'!K:K,'Raw Revenue'!L:L,0)</f>
        <v>20886027.84</v>
      </c>
      <c r="AB586" s="11">
        <f t="array" ref="AB586">XLOOKUP(A:A,'Raw Revenue'!M:M,'Raw Revenue'!N:N,0)</f>
        <v>19215145.61</v>
      </c>
      <c r="AC586" s="3">
        <v>0.0</v>
      </c>
      <c r="AD586" s="3">
        <v>0.0</v>
      </c>
      <c r="AE586" s="3">
        <v>0.0</v>
      </c>
      <c r="AF586" s="3">
        <v>0.0</v>
      </c>
      <c r="AG586" s="3">
        <v>0.0</v>
      </c>
    </row>
    <row r="587">
      <c r="A587" s="3" t="s">
        <v>1423</v>
      </c>
      <c r="B587" s="3" t="s">
        <v>1424</v>
      </c>
      <c r="C587" s="3" t="str">
        <f t="shared" si="1"/>
        <v>PT. Digital Solusi Pratama</v>
      </c>
      <c r="D587" s="3" t="s">
        <v>214</v>
      </c>
      <c r="E587" s="3" t="s">
        <v>196</v>
      </c>
      <c r="F587" s="3" t="s">
        <v>260</v>
      </c>
      <c r="G587" s="3" t="s">
        <v>63</v>
      </c>
      <c r="H587" s="3" t="str">
        <f t="array" ref="H587">XLOOKUP(G:G,'Account Manager Data'!A:A,'Account Manager Data'!B:B,0)</f>
        <v>Hendra Gunawan</v>
      </c>
      <c r="I587" s="11" t="str">
        <f t="array" ref="I587">XLOOKUP($G:$G,'Account Manager Data'!$A:$A,'Account Manager Data'!C:C)</f>
        <v>Kalimantan</v>
      </c>
      <c r="J587" s="17">
        <v>6010777.0</v>
      </c>
      <c r="K587" s="17">
        <v>7472701.0</v>
      </c>
      <c r="L587" s="17">
        <v>9794798.0</v>
      </c>
      <c r="M587" s="17">
        <v>9705863.0</v>
      </c>
      <c r="N587" s="17">
        <v>1.4214824E7</v>
      </c>
      <c r="O587" s="17">
        <v>1.1569164E7</v>
      </c>
      <c r="P587" s="17">
        <v>8976853.0</v>
      </c>
      <c r="Q587" s="17">
        <v>1569600.0</v>
      </c>
      <c r="R587" s="17">
        <v>3198609.0</v>
      </c>
      <c r="S587" s="17">
        <v>2030957.0</v>
      </c>
      <c r="T587" s="17">
        <v>1.9199133E7</v>
      </c>
      <c r="U587" s="17">
        <v>7592591.0</v>
      </c>
      <c r="V587" s="11">
        <f t="array" ref="V587">XLOOKUP(A:A,'Raw Revenue'!A:A,'Raw Revenue'!B:B,0)
</f>
        <v>0</v>
      </c>
      <c r="W587" s="11">
        <f t="array" ref="W587">XLOOKUP(A:A,'Raw Revenue'!C:C,'Raw Revenue'!D:D,0)</f>
        <v>0</v>
      </c>
      <c r="X587" s="11">
        <f t="array" ref="X587">XLOOKUP(A:A,'Raw Revenue'!E:E,'Raw Revenue'!F:F,0)</f>
        <v>0</v>
      </c>
      <c r="Y587" s="11">
        <f t="array" ref="Y587">XLOOKUP(A:A,'Raw Revenue'!G:G,'Raw Revenue'!H:H,0)</f>
        <v>0</v>
      </c>
      <c r="Z587" s="11">
        <f t="array" ref="Z587">XLOOKUP(A:A,'Raw Revenue'!I:I,'Raw Revenue'!J:J,0)</f>
        <v>0</v>
      </c>
      <c r="AA587" s="11">
        <f t="array" ref="AA587">XLOOKUP(A:A,'Raw Revenue'!K:K,'Raw Revenue'!L:L,0)</f>
        <v>0</v>
      </c>
      <c r="AB587" s="11">
        <f t="array" ref="AB587">XLOOKUP(A:A,'Raw Revenue'!M:M,'Raw Revenue'!N:N,0)</f>
        <v>0</v>
      </c>
      <c r="AC587" s="3">
        <v>0.0</v>
      </c>
      <c r="AD587" s="3">
        <v>0.0</v>
      </c>
      <c r="AE587" s="3">
        <v>0.0</v>
      </c>
      <c r="AF587" s="3">
        <v>0.0</v>
      </c>
      <c r="AG587" s="3">
        <v>0.0</v>
      </c>
    </row>
    <row r="588">
      <c r="A588" s="3" t="s">
        <v>219</v>
      </c>
      <c r="B588" s="3" t="s">
        <v>1425</v>
      </c>
      <c r="C588" s="3" t="str">
        <f t="shared" si="1"/>
        <v>PT. Global Niaga Abadi</v>
      </c>
      <c r="D588" s="3" t="s">
        <v>103</v>
      </c>
      <c r="E588" s="3" t="s">
        <v>85</v>
      </c>
      <c r="F588" s="3" t="s">
        <v>407</v>
      </c>
      <c r="G588" s="3" t="s">
        <v>35</v>
      </c>
      <c r="H588" s="3" t="str">
        <f t="array" ref="H588">XLOOKUP(G:G,'Account Manager Data'!A:A,'Account Manager Data'!B:B,0)</f>
        <v>Ahmad Fauzi</v>
      </c>
      <c r="I588" s="11" t="str">
        <f t="array" ref="I588">XLOOKUP($G:$G,'Account Manager Data'!$A:$A,'Account Manager Data'!C:C)</f>
        <v>Sumatera</v>
      </c>
      <c r="J588" s="17">
        <v>7757618.0</v>
      </c>
      <c r="K588" s="17">
        <v>3831124.0</v>
      </c>
      <c r="L588" s="17">
        <v>1.0189051E7</v>
      </c>
      <c r="M588" s="17">
        <v>4312478.0</v>
      </c>
      <c r="N588" s="17">
        <v>9281827.0</v>
      </c>
      <c r="O588" s="17">
        <v>1.2079423E7</v>
      </c>
      <c r="P588" s="17">
        <v>1.4201584E7</v>
      </c>
      <c r="Q588" s="17">
        <v>6513707.0</v>
      </c>
      <c r="R588" s="17">
        <v>2465209.0</v>
      </c>
      <c r="S588" s="17">
        <v>2156764.0</v>
      </c>
      <c r="T588" s="17">
        <v>1.4392574E7</v>
      </c>
      <c r="U588" s="17">
        <v>1.6954164E7</v>
      </c>
      <c r="V588" s="11">
        <f t="array" ref="V588">XLOOKUP(A:A,'Raw Revenue'!A:A,'Raw Revenue'!B:B,0)
</f>
        <v>1285294.021</v>
      </c>
      <c r="W588" s="11">
        <f t="array" ref="W588">XLOOKUP(A:A,'Raw Revenue'!C:C,'Raw Revenue'!D:D,0)</f>
        <v>1285294.021</v>
      </c>
      <c r="X588" s="11">
        <f t="array" ref="X588">XLOOKUP(A:A,'Raw Revenue'!E:E,'Raw Revenue'!F:F,0)</f>
        <v>2570588.042</v>
      </c>
      <c r="Y588" s="11">
        <f t="array" ref="Y588">XLOOKUP(A:A,'Raw Revenue'!G:G,'Raw Revenue'!H:H,0)</f>
        <v>2099313.567</v>
      </c>
      <c r="Z588" s="11">
        <f t="array" ref="Z588">XLOOKUP(A:A,'Raw Revenue'!I:I,'Raw Revenue'!J:J,0)</f>
        <v>1885097.897</v>
      </c>
      <c r="AA588" s="11">
        <f t="array" ref="AA588">XLOOKUP(A:A,'Raw Revenue'!K:K,'Raw Revenue'!L:L,0)</f>
        <v>4819852.578</v>
      </c>
      <c r="AB588" s="11">
        <f t="array" ref="AB588">XLOOKUP(A:A,'Raw Revenue'!M:M,'Raw Revenue'!N:N,0)</f>
        <v>4434264.372</v>
      </c>
      <c r="AC588" s="3">
        <v>0.0</v>
      </c>
      <c r="AD588" s="3">
        <v>0.0</v>
      </c>
      <c r="AE588" s="3">
        <v>0.0</v>
      </c>
      <c r="AF588" s="3">
        <v>0.0</v>
      </c>
      <c r="AG588" s="3">
        <v>0.0</v>
      </c>
    </row>
    <row r="589">
      <c r="A589" s="3" t="s">
        <v>1426</v>
      </c>
      <c r="B589" s="3" t="s">
        <v>1427</v>
      </c>
      <c r="C589" s="3" t="str">
        <f t="shared" si="1"/>
        <v>PT. Indo Makmur Sentosa</v>
      </c>
      <c r="D589" s="3" t="s">
        <v>186</v>
      </c>
      <c r="E589" s="3" t="s">
        <v>187</v>
      </c>
      <c r="F589" s="3" t="s">
        <v>269</v>
      </c>
      <c r="G589" s="3" t="s">
        <v>74</v>
      </c>
      <c r="H589" s="3" t="str">
        <f t="array" ref="H589">XLOOKUP(G:G,'Account Manager Data'!A:A,'Account Manager Data'!B:B,0)</f>
        <v>Budi Santoso</v>
      </c>
      <c r="I589" s="11" t="str">
        <f t="array" ref="I589">XLOOKUP($G:$G,'Account Manager Data'!$A:$A,'Account Manager Data'!C:C)</f>
        <v>Papua</v>
      </c>
      <c r="J589" s="17">
        <v>685794.0</v>
      </c>
      <c r="K589" s="17">
        <v>368371.0</v>
      </c>
      <c r="L589" s="17">
        <v>7885814.0</v>
      </c>
      <c r="M589" s="17">
        <v>3736919.0</v>
      </c>
      <c r="N589" s="17">
        <v>4239584.0</v>
      </c>
      <c r="O589" s="17">
        <v>1.1525445E7</v>
      </c>
      <c r="P589" s="17">
        <v>1.6126005E7</v>
      </c>
      <c r="Q589" s="17">
        <v>8041672.0</v>
      </c>
      <c r="R589" s="17">
        <v>4003885.0</v>
      </c>
      <c r="S589" s="17">
        <v>0.0</v>
      </c>
      <c r="T589" s="17">
        <v>1.7951041E7</v>
      </c>
      <c r="U589" s="17">
        <v>1.6994443E7</v>
      </c>
      <c r="V589" s="11">
        <f t="array" ref="V589">XLOOKUP(A:A,'Raw Revenue'!A:A,'Raw Revenue'!B:B,0)
</f>
        <v>0</v>
      </c>
      <c r="W589" s="11">
        <f t="array" ref="W589">XLOOKUP(A:A,'Raw Revenue'!C:C,'Raw Revenue'!D:D,0)</f>
        <v>0</v>
      </c>
      <c r="X589" s="11">
        <f t="array" ref="X589">XLOOKUP(A:A,'Raw Revenue'!E:E,'Raw Revenue'!F:F,0)</f>
        <v>0</v>
      </c>
      <c r="Y589" s="11">
        <f t="array" ref="Y589">XLOOKUP(A:A,'Raw Revenue'!G:G,'Raw Revenue'!H:H,0)</f>
        <v>0</v>
      </c>
      <c r="Z589" s="11">
        <f t="array" ref="Z589">XLOOKUP(A:A,'Raw Revenue'!I:I,'Raw Revenue'!J:J,0)</f>
        <v>0</v>
      </c>
      <c r="AA589" s="11">
        <f t="array" ref="AA589">XLOOKUP(A:A,'Raw Revenue'!K:K,'Raw Revenue'!L:L,0)</f>
        <v>0</v>
      </c>
      <c r="AB589" s="11">
        <f t="array" ref="AB589">XLOOKUP(A:A,'Raw Revenue'!M:M,'Raw Revenue'!N:N,0)</f>
        <v>0</v>
      </c>
      <c r="AC589" s="3">
        <v>0.0</v>
      </c>
      <c r="AD589" s="3">
        <v>0.0</v>
      </c>
      <c r="AE589" s="3">
        <v>0.0</v>
      </c>
      <c r="AF589" s="3">
        <v>0.0</v>
      </c>
      <c r="AG589" s="3">
        <v>0.0</v>
      </c>
    </row>
    <row r="590">
      <c r="A590" s="3" t="s">
        <v>1428</v>
      </c>
      <c r="B590" s="3" t="s">
        <v>1429</v>
      </c>
      <c r="C590" s="3" t="str">
        <f t="shared" si="1"/>
        <v>PT. Citra Mandiri Utama</v>
      </c>
      <c r="D590" s="3" t="s">
        <v>130</v>
      </c>
      <c r="E590" s="3" t="s">
        <v>85</v>
      </c>
      <c r="F590" s="3" t="s">
        <v>407</v>
      </c>
      <c r="G590" s="3" t="s">
        <v>43</v>
      </c>
      <c r="H590" s="3" t="str">
        <f t="array" ref="H590">XLOOKUP(G:G,'Account Manager Data'!A:A,'Account Manager Data'!B:B,0)</f>
        <v>Eko Prasetyo</v>
      </c>
      <c r="I590" s="11" t="str">
        <f t="array" ref="I590">XLOOKUP($G:$G,'Account Manager Data'!$A:$A,'Account Manager Data'!C:C)</f>
        <v>Papua</v>
      </c>
      <c r="J590" s="17">
        <v>6695648.0</v>
      </c>
      <c r="K590" s="17">
        <v>6136184.0</v>
      </c>
      <c r="L590" s="17">
        <v>7650783.0</v>
      </c>
      <c r="M590" s="17">
        <v>9626760.0</v>
      </c>
      <c r="N590" s="17">
        <v>1.2753184E7</v>
      </c>
      <c r="O590" s="17">
        <v>2511859.0</v>
      </c>
      <c r="P590" s="17">
        <v>1415546.0</v>
      </c>
      <c r="Q590" s="17">
        <v>2414708.0</v>
      </c>
      <c r="R590" s="17">
        <v>1.6167633E7</v>
      </c>
      <c r="S590" s="17">
        <v>1.5918822E7</v>
      </c>
      <c r="T590" s="17">
        <v>1.7308839E7</v>
      </c>
      <c r="U590" s="17">
        <v>2681759.0</v>
      </c>
      <c r="V590" s="11">
        <f t="array" ref="V590">XLOOKUP(A:A,'Raw Revenue'!A:A,'Raw Revenue'!B:B,0)
</f>
        <v>0</v>
      </c>
      <c r="W590" s="11">
        <f t="array" ref="W590">XLOOKUP(A:A,'Raw Revenue'!C:C,'Raw Revenue'!D:D,0)</f>
        <v>0</v>
      </c>
      <c r="X590" s="11">
        <f t="array" ref="X590">XLOOKUP(A:A,'Raw Revenue'!E:E,'Raw Revenue'!F:F,0)</f>
        <v>0</v>
      </c>
      <c r="Y590" s="11">
        <f t="array" ref="Y590">XLOOKUP(A:A,'Raw Revenue'!G:G,'Raw Revenue'!H:H,0)</f>
        <v>0</v>
      </c>
      <c r="Z590" s="11">
        <f t="array" ref="Z590">XLOOKUP(A:A,'Raw Revenue'!I:I,'Raw Revenue'!J:J,0)</f>
        <v>0</v>
      </c>
      <c r="AA590" s="11">
        <f t="array" ref="AA590">XLOOKUP(A:A,'Raw Revenue'!K:K,'Raw Revenue'!L:L,0)</f>
        <v>0</v>
      </c>
      <c r="AB590" s="11">
        <f t="array" ref="AB590">XLOOKUP(A:A,'Raw Revenue'!M:M,'Raw Revenue'!N:N,0)</f>
        <v>0</v>
      </c>
      <c r="AC590" s="3">
        <v>0.0</v>
      </c>
      <c r="AD590" s="3">
        <v>0.0</v>
      </c>
      <c r="AE590" s="3">
        <v>0.0</v>
      </c>
      <c r="AF590" s="3">
        <v>0.0</v>
      </c>
      <c r="AG590" s="3">
        <v>0.0</v>
      </c>
    </row>
    <row r="591">
      <c r="A591" s="3" t="s">
        <v>457</v>
      </c>
      <c r="B591" s="3" t="s">
        <v>1430</v>
      </c>
      <c r="C591" s="3" t="str">
        <f t="shared" si="1"/>
        <v>PT. Sinar Dunia Baru</v>
      </c>
      <c r="D591" s="3" t="s">
        <v>103</v>
      </c>
      <c r="E591" s="3" t="s">
        <v>215</v>
      </c>
      <c r="F591" s="3" t="s">
        <v>300</v>
      </c>
      <c r="G591" s="3" t="s">
        <v>76</v>
      </c>
      <c r="H591" s="3" t="str">
        <f t="array" ref="H591">XLOOKUP(G:G,'Account Manager Data'!A:A,'Account Manager Data'!B:B,0)</f>
        <v>Teguh Wijaya</v>
      </c>
      <c r="I591" s="11" t="str">
        <f t="array" ref="I591">XLOOKUP($G:$G,'Account Manager Data'!$A:$A,'Account Manager Data'!C:C)</f>
        <v>Sulawesi</v>
      </c>
      <c r="J591" s="17">
        <v>5728565.0</v>
      </c>
      <c r="K591" s="17">
        <v>5280170.0</v>
      </c>
      <c r="L591" s="17">
        <v>0.0</v>
      </c>
      <c r="M591" s="17">
        <v>3846176.0</v>
      </c>
      <c r="N591" s="17">
        <v>1.0139017E7</v>
      </c>
      <c r="O591" s="17">
        <v>429258.0</v>
      </c>
      <c r="P591" s="17">
        <v>3827229.0</v>
      </c>
      <c r="Q591" s="17">
        <v>1.4925579E7</v>
      </c>
      <c r="R591" s="17">
        <v>1.3335827E7</v>
      </c>
      <c r="S591" s="17">
        <v>1.7238775E7</v>
      </c>
      <c r="T591" s="17">
        <v>9659733.0</v>
      </c>
      <c r="U591" s="17">
        <v>3528457.0</v>
      </c>
      <c r="V591" s="11">
        <f t="array" ref="V591">XLOOKUP(A:A,'Raw Revenue'!A:A,'Raw Revenue'!B:B,0)
</f>
        <v>210969.9782</v>
      </c>
      <c r="W591" s="11">
        <f t="array" ref="W591">XLOOKUP(A:A,'Raw Revenue'!C:C,'Raw Revenue'!D:D,0)</f>
        <v>105484.9891</v>
      </c>
      <c r="X591" s="11">
        <f t="array" ref="X591">XLOOKUP(A:A,'Raw Revenue'!E:E,'Raw Revenue'!F:F,0)</f>
        <v>63290.99345</v>
      </c>
      <c r="Y591" s="11">
        <f t="array" ref="Y591">XLOOKUP(A:A,'Raw Revenue'!G:G,'Raw Revenue'!H:H,0)</f>
        <v>738394.9236</v>
      </c>
      <c r="Z591" s="11">
        <f t="array" ref="Z591">XLOOKUP(A:A,'Raw Revenue'!I:I,'Raw Revenue'!J:J,0)</f>
        <v>168775.9825</v>
      </c>
      <c r="AA591" s="11">
        <f t="array" ref="AA591">XLOOKUP(A:A,'Raw Revenue'!K:K,'Raw Revenue'!L:L,0)</f>
        <v>4746.824509</v>
      </c>
      <c r="AB591" s="11">
        <f t="array" ref="AB591">XLOOKUP(A:A,'Raw Revenue'!M:M,'Raw Revenue'!N:N,0)</f>
        <v>636074.4842</v>
      </c>
      <c r="AC591" s="3">
        <v>0.0</v>
      </c>
      <c r="AD591" s="3">
        <v>0.0</v>
      </c>
      <c r="AE591" s="3">
        <v>0.0</v>
      </c>
      <c r="AF591" s="3">
        <v>0.0</v>
      </c>
      <c r="AG591" s="3">
        <v>0.0</v>
      </c>
    </row>
    <row r="592">
      <c r="A592" s="3" t="s">
        <v>468</v>
      </c>
      <c r="B592" s="3" t="s">
        <v>1431</v>
      </c>
      <c r="C592" s="3" t="str">
        <f t="shared" si="1"/>
        <v>CV. Karya Utama Mandiri</v>
      </c>
      <c r="D592" s="3" t="s">
        <v>103</v>
      </c>
      <c r="E592" s="3" t="s">
        <v>215</v>
      </c>
      <c r="F592" s="3" t="s">
        <v>227</v>
      </c>
      <c r="G592" s="3" t="s">
        <v>70</v>
      </c>
      <c r="H592" s="3" t="str">
        <f t="array" ref="H592">XLOOKUP(G:G,'Account Manager Data'!A:A,'Account Manager Data'!B:B,0)</f>
        <v>Yusuf Hidayat</v>
      </c>
      <c r="I592" s="11" t="str">
        <f t="array" ref="I592">XLOOKUP($G:$G,'Account Manager Data'!$A:$A,'Account Manager Data'!C:C)</f>
        <v>Sumatera</v>
      </c>
      <c r="J592" s="17">
        <v>2412606.0</v>
      </c>
      <c r="K592" s="17">
        <v>717316.0</v>
      </c>
      <c r="L592" s="17">
        <v>868862.0</v>
      </c>
      <c r="M592" s="17">
        <v>1355790.0</v>
      </c>
      <c r="N592" s="17">
        <v>1298643.0</v>
      </c>
      <c r="O592" s="17">
        <v>6790113.0</v>
      </c>
      <c r="P592" s="17">
        <v>6280671.0</v>
      </c>
      <c r="Q592" s="17">
        <v>5015538.0</v>
      </c>
      <c r="R592" s="17">
        <v>6289328.0</v>
      </c>
      <c r="S592" s="17">
        <v>1244183.0</v>
      </c>
      <c r="T592" s="17">
        <v>6907266.0</v>
      </c>
      <c r="U592" s="17">
        <v>7591064.0</v>
      </c>
      <c r="V592" s="11">
        <f t="array" ref="V592">XLOOKUP(A:A,'Raw Revenue'!A:A,'Raw Revenue'!B:B,0)
</f>
        <v>966945.7332</v>
      </c>
      <c r="W592" s="11">
        <f t="array" ref="W592">XLOOKUP(A:A,'Raw Revenue'!C:C,'Raw Revenue'!D:D,0)</f>
        <v>483472.8666</v>
      </c>
      <c r="X592" s="11">
        <f t="array" ref="X592">XLOOKUP(A:A,'Raw Revenue'!E:E,'Raw Revenue'!F:F,0)</f>
        <v>290083.72</v>
      </c>
      <c r="Y592" s="11">
        <f t="array" ref="Y592">XLOOKUP(A:A,'Raw Revenue'!G:G,'Raw Revenue'!H:H,0)</f>
        <v>3384310.066</v>
      </c>
      <c r="Z592" s="11">
        <f t="array" ref="Z592">XLOOKUP(A:A,'Raw Revenue'!I:I,'Raw Revenue'!J:J,0)</f>
        <v>773556.5866</v>
      </c>
      <c r="AA592" s="11">
        <f t="array" ref="AA592">XLOOKUP(A:A,'Raw Revenue'!K:K,'Raw Revenue'!L:L,0)</f>
        <v>21756.279</v>
      </c>
      <c r="AB592" s="11">
        <f t="array" ref="AB592">XLOOKUP(A:A,'Raw Revenue'!M:M,'Raw Revenue'!N:N,0)</f>
        <v>2915341.386</v>
      </c>
      <c r="AC592" s="3">
        <v>0.0</v>
      </c>
      <c r="AD592" s="3">
        <v>0.0</v>
      </c>
      <c r="AE592" s="3">
        <v>0.0</v>
      </c>
      <c r="AF592" s="3">
        <v>0.0</v>
      </c>
      <c r="AG592" s="3">
        <v>0.0</v>
      </c>
    </row>
    <row r="593">
      <c r="A593" s="3" t="s">
        <v>1432</v>
      </c>
      <c r="B593" s="3" t="s">
        <v>1433</v>
      </c>
      <c r="C593" s="3" t="str">
        <f t="shared" si="1"/>
        <v>PT. Pratama Jaya Sentosa</v>
      </c>
      <c r="D593" s="3" t="s">
        <v>195</v>
      </c>
      <c r="E593" s="3" t="s">
        <v>187</v>
      </c>
      <c r="F593" s="3" t="s">
        <v>295</v>
      </c>
      <c r="G593" s="3" t="s">
        <v>15</v>
      </c>
      <c r="H593" s="3" t="str">
        <f t="array" ref="H593">XLOOKUP(G:G,'Account Manager Data'!A:A,'Account Manager Data'!B:B,0)</f>
        <v>Rizky Maulana</v>
      </c>
      <c r="I593" s="11" t="str">
        <f t="array" ref="I593">XLOOKUP($G:$G,'Account Manager Data'!$A:$A,'Account Manager Data'!C:C)</f>
        <v>Jawa</v>
      </c>
      <c r="J593" s="17">
        <v>558985.0</v>
      </c>
      <c r="K593" s="17">
        <v>994463.0</v>
      </c>
      <c r="L593" s="17">
        <v>1971339.0</v>
      </c>
      <c r="M593" s="17">
        <v>1164424.0</v>
      </c>
      <c r="N593" s="17">
        <v>0.0</v>
      </c>
      <c r="O593" s="17">
        <v>0.0</v>
      </c>
      <c r="P593" s="17">
        <v>7653721.0</v>
      </c>
      <c r="Q593" s="17">
        <v>1409503.0</v>
      </c>
      <c r="R593" s="17">
        <v>1.3204784E7</v>
      </c>
      <c r="S593" s="17">
        <v>6813091.0</v>
      </c>
      <c r="T593" s="17">
        <v>0.0</v>
      </c>
      <c r="U593" s="17">
        <v>6543172.0</v>
      </c>
      <c r="V593" s="11">
        <f t="array" ref="V593">XLOOKUP(A:A,'Raw Revenue'!A:A,'Raw Revenue'!B:B,0)
</f>
        <v>0</v>
      </c>
      <c r="W593" s="11">
        <f t="array" ref="W593">XLOOKUP(A:A,'Raw Revenue'!C:C,'Raw Revenue'!D:D,0)</f>
        <v>0</v>
      </c>
      <c r="X593" s="11">
        <f t="array" ref="X593">XLOOKUP(A:A,'Raw Revenue'!E:E,'Raw Revenue'!F:F,0)</f>
        <v>0</v>
      </c>
      <c r="Y593" s="11">
        <f t="array" ref="Y593">XLOOKUP(A:A,'Raw Revenue'!G:G,'Raw Revenue'!H:H,0)</f>
        <v>0</v>
      </c>
      <c r="Z593" s="11">
        <f t="array" ref="Z593">XLOOKUP(A:A,'Raw Revenue'!I:I,'Raw Revenue'!J:J,0)</f>
        <v>0</v>
      </c>
      <c r="AA593" s="11">
        <f t="array" ref="AA593">XLOOKUP(A:A,'Raw Revenue'!K:K,'Raw Revenue'!L:L,0)</f>
        <v>0</v>
      </c>
      <c r="AB593" s="11">
        <f t="array" ref="AB593">XLOOKUP(A:A,'Raw Revenue'!M:M,'Raw Revenue'!N:N,0)</f>
        <v>0</v>
      </c>
      <c r="AC593" s="3">
        <v>0.0</v>
      </c>
      <c r="AD593" s="3">
        <v>0.0</v>
      </c>
      <c r="AE593" s="3">
        <v>0.0</v>
      </c>
      <c r="AF593" s="3">
        <v>0.0</v>
      </c>
      <c r="AG593" s="3">
        <v>0.0</v>
      </c>
    </row>
    <row r="594">
      <c r="A594" s="3" t="s">
        <v>1434</v>
      </c>
      <c r="B594" s="3" t="s">
        <v>1435</v>
      </c>
      <c r="C594" s="3" t="str">
        <f t="shared" si="1"/>
        <v>PT. Abadi Selamanya Jaya</v>
      </c>
      <c r="D594" s="3" t="s">
        <v>84</v>
      </c>
      <c r="E594" s="3" t="s">
        <v>215</v>
      </c>
      <c r="F594" s="3" t="s">
        <v>300</v>
      </c>
      <c r="G594" s="3" t="s">
        <v>53</v>
      </c>
      <c r="H594" s="3" t="str">
        <f t="array" ref="H594">XLOOKUP(G:G,'Account Manager Data'!A:A,'Account Manager Data'!B:B,0)</f>
        <v>Fajar Ramadhan</v>
      </c>
      <c r="I594" s="11" t="str">
        <f t="array" ref="I594">XLOOKUP($G:$G,'Account Manager Data'!$A:$A,'Account Manager Data'!C:C)</f>
        <v>Sulawesi</v>
      </c>
      <c r="J594" s="17">
        <v>4353392.0</v>
      </c>
      <c r="K594" s="17">
        <v>7414684.0</v>
      </c>
      <c r="L594" s="17">
        <v>4772830.0</v>
      </c>
      <c r="M594" s="17">
        <v>1.0890748E7</v>
      </c>
      <c r="N594" s="17">
        <v>8463103.0</v>
      </c>
      <c r="O594" s="17">
        <v>1.3972143E7</v>
      </c>
      <c r="P594" s="17">
        <v>7307756.0</v>
      </c>
      <c r="Q594" s="17">
        <v>3343165.0</v>
      </c>
      <c r="R594" s="17">
        <v>1355167.0</v>
      </c>
      <c r="S594" s="17">
        <v>6630646.0</v>
      </c>
      <c r="T594" s="17">
        <v>1.8120373E7</v>
      </c>
      <c r="U594" s="17">
        <v>1.2932831E7</v>
      </c>
      <c r="V594" s="11">
        <f t="array" ref="V594">XLOOKUP(A:A,'Raw Revenue'!A:A,'Raw Revenue'!B:B,0)
</f>
        <v>0</v>
      </c>
      <c r="W594" s="11">
        <f t="array" ref="W594">XLOOKUP(A:A,'Raw Revenue'!C:C,'Raw Revenue'!D:D,0)</f>
        <v>0</v>
      </c>
      <c r="X594" s="11">
        <f t="array" ref="X594">XLOOKUP(A:A,'Raw Revenue'!E:E,'Raw Revenue'!F:F,0)</f>
        <v>0</v>
      </c>
      <c r="Y594" s="11">
        <f t="array" ref="Y594">XLOOKUP(A:A,'Raw Revenue'!G:G,'Raw Revenue'!H:H,0)</f>
        <v>0</v>
      </c>
      <c r="Z594" s="11">
        <f t="array" ref="Z594">XLOOKUP(A:A,'Raw Revenue'!I:I,'Raw Revenue'!J:J,0)</f>
        <v>0</v>
      </c>
      <c r="AA594" s="11">
        <f t="array" ref="AA594">XLOOKUP(A:A,'Raw Revenue'!K:K,'Raw Revenue'!L:L,0)</f>
        <v>0</v>
      </c>
      <c r="AB594" s="11">
        <f t="array" ref="AB594">XLOOKUP(A:A,'Raw Revenue'!M:M,'Raw Revenue'!N:N,0)</f>
        <v>0</v>
      </c>
      <c r="AC594" s="3">
        <v>0.0</v>
      </c>
      <c r="AD594" s="3">
        <v>0.0</v>
      </c>
      <c r="AE594" s="3">
        <v>0.0</v>
      </c>
      <c r="AF594" s="3">
        <v>0.0</v>
      </c>
      <c r="AG594" s="3">
        <v>0.0</v>
      </c>
    </row>
    <row r="595">
      <c r="A595" s="3" t="s">
        <v>1436</v>
      </c>
      <c r="B595" s="3" t="s">
        <v>1437</v>
      </c>
      <c r="C595" s="3" t="str">
        <f t="shared" si="1"/>
        <v>PT. Mandiri Sejahtera Bersama</v>
      </c>
      <c r="D595" s="3" t="s">
        <v>214</v>
      </c>
      <c r="E595" s="3" t="s">
        <v>85</v>
      </c>
      <c r="F595" s="3" t="s">
        <v>407</v>
      </c>
      <c r="G595" s="3" t="s">
        <v>27</v>
      </c>
      <c r="H595" s="3" t="str">
        <f t="array" ref="H595">XLOOKUP(G:G,'Account Manager Data'!A:A,'Account Manager Data'!B:B,0)</f>
        <v>Dedi Kurniawan</v>
      </c>
      <c r="I595" s="11" t="str">
        <f t="array" ref="I595">XLOOKUP($G:$G,'Account Manager Data'!$A:$A,'Account Manager Data'!C:C)</f>
        <v>Kalimantan</v>
      </c>
      <c r="J595" s="17">
        <v>5770163.0</v>
      </c>
      <c r="K595" s="17">
        <v>5154221.0</v>
      </c>
      <c r="L595" s="17">
        <v>1729406.0</v>
      </c>
      <c r="M595" s="17">
        <v>2665074.0</v>
      </c>
      <c r="N595" s="17">
        <v>4492560.0</v>
      </c>
      <c r="O595" s="17">
        <v>3501101.0</v>
      </c>
      <c r="P595" s="17">
        <v>3297612.0</v>
      </c>
      <c r="Q595" s="17">
        <v>2333063.0</v>
      </c>
      <c r="R595" s="17">
        <v>1.0036223E7</v>
      </c>
      <c r="S595" s="17">
        <v>485926.0</v>
      </c>
      <c r="T595" s="17">
        <v>1.8493428E7</v>
      </c>
      <c r="U595" s="17">
        <v>4512255.0</v>
      </c>
      <c r="V595" s="11">
        <f t="array" ref="V595">XLOOKUP(A:A,'Raw Revenue'!A:A,'Raw Revenue'!B:B,0)
</f>
        <v>0</v>
      </c>
      <c r="W595" s="11">
        <f t="array" ref="W595">XLOOKUP(A:A,'Raw Revenue'!C:C,'Raw Revenue'!D:D,0)</f>
        <v>0</v>
      </c>
      <c r="X595" s="11">
        <f t="array" ref="X595">XLOOKUP(A:A,'Raw Revenue'!E:E,'Raw Revenue'!F:F,0)</f>
        <v>0</v>
      </c>
      <c r="Y595" s="11">
        <f t="array" ref="Y595">XLOOKUP(A:A,'Raw Revenue'!G:G,'Raw Revenue'!H:H,0)</f>
        <v>0</v>
      </c>
      <c r="Z595" s="11">
        <f t="array" ref="Z595">XLOOKUP(A:A,'Raw Revenue'!I:I,'Raw Revenue'!J:J,0)</f>
        <v>0</v>
      </c>
      <c r="AA595" s="11">
        <f t="array" ref="AA595">XLOOKUP(A:A,'Raw Revenue'!K:K,'Raw Revenue'!L:L,0)</f>
        <v>0</v>
      </c>
      <c r="AB595" s="11">
        <f t="array" ref="AB595">XLOOKUP(A:A,'Raw Revenue'!M:M,'Raw Revenue'!N:N,0)</f>
        <v>0</v>
      </c>
      <c r="AC595" s="3">
        <v>0.0</v>
      </c>
      <c r="AD595" s="3">
        <v>0.0</v>
      </c>
      <c r="AE595" s="3">
        <v>0.0</v>
      </c>
      <c r="AF595" s="3">
        <v>0.0</v>
      </c>
      <c r="AG595" s="3">
        <v>0.0</v>
      </c>
    </row>
    <row r="596">
      <c r="A596" s="3" t="s">
        <v>1438</v>
      </c>
      <c r="B596" s="3" t="s">
        <v>1439</v>
      </c>
      <c r="C596" s="3" t="str">
        <f t="shared" si="1"/>
        <v>PT. Sejahtera Alam Indonesia</v>
      </c>
      <c r="D596" s="3" t="s">
        <v>186</v>
      </c>
      <c r="E596" s="3" t="s">
        <v>187</v>
      </c>
      <c r="F596" s="3" t="s">
        <v>188</v>
      </c>
      <c r="G596" s="3" t="s">
        <v>78</v>
      </c>
      <c r="H596" s="3" t="str">
        <f t="array" ref="H596">XLOOKUP(G:G,'Account Manager Data'!A:A,'Account Manager Data'!B:B,0)</f>
        <v>Ilham Saputra</v>
      </c>
      <c r="I596" s="11" t="str">
        <f t="array" ref="I596">XLOOKUP($G:$G,'Account Manager Data'!$A:$A,'Account Manager Data'!C:C)</f>
        <v>Jawa</v>
      </c>
      <c r="J596" s="17">
        <v>6263270.0</v>
      </c>
      <c r="K596" s="17">
        <v>1061228.0</v>
      </c>
      <c r="L596" s="17">
        <v>6344893.0</v>
      </c>
      <c r="M596" s="17">
        <v>0.0</v>
      </c>
      <c r="N596" s="17">
        <v>2420829.0</v>
      </c>
      <c r="O596" s="17">
        <v>6068070.0</v>
      </c>
      <c r="P596" s="17">
        <v>2250066.0</v>
      </c>
      <c r="Q596" s="17">
        <v>3818421.0</v>
      </c>
      <c r="R596" s="17">
        <v>1.3725415E7</v>
      </c>
      <c r="S596" s="17">
        <v>2685559.0</v>
      </c>
      <c r="T596" s="17">
        <v>1.6222787E7</v>
      </c>
      <c r="U596" s="17">
        <v>1.6094914E7</v>
      </c>
      <c r="V596" s="11">
        <f t="array" ref="V596">XLOOKUP(A:A,'Raw Revenue'!A:A,'Raw Revenue'!B:B,0)
</f>
        <v>0</v>
      </c>
      <c r="W596" s="11">
        <f t="array" ref="W596">XLOOKUP(A:A,'Raw Revenue'!C:C,'Raw Revenue'!D:D,0)</f>
        <v>0</v>
      </c>
      <c r="X596" s="11">
        <f t="array" ref="X596">XLOOKUP(A:A,'Raw Revenue'!E:E,'Raw Revenue'!F:F,0)</f>
        <v>0</v>
      </c>
      <c r="Y596" s="11">
        <f t="array" ref="Y596">XLOOKUP(A:A,'Raw Revenue'!G:G,'Raw Revenue'!H:H,0)</f>
        <v>0</v>
      </c>
      <c r="Z596" s="11">
        <f t="array" ref="Z596">XLOOKUP(A:A,'Raw Revenue'!I:I,'Raw Revenue'!J:J,0)</f>
        <v>0</v>
      </c>
      <c r="AA596" s="11">
        <f t="array" ref="AA596">XLOOKUP(A:A,'Raw Revenue'!K:K,'Raw Revenue'!L:L,0)</f>
        <v>0</v>
      </c>
      <c r="AB596" s="11">
        <f t="array" ref="AB596">XLOOKUP(A:A,'Raw Revenue'!M:M,'Raw Revenue'!N:N,0)</f>
        <v>0</v>
      </c>
      <c r="AC596" s="3">
        <v>0.0</v>
      </c>
      <c r="AD596" s="3">
        <v>0.0</v>
      </c>
      <c r="AE596" s="3">
        <v>0.0</v>
      </c>
      <c r="AF596" s="3">
        <v>0.0</v>
      </c>
      <c r="AG596" s="3">
        <v>0.0</v>
      </c>
    </row>
    <row r="597">
      <c r="A597" s="3" t="s">
        <v>1440</v>
      </c>
      <c r="B597" s="3" t="s">
        <v>1441</v>
      </c>
      <c r="C597" s="3" t="str">
        <f t="shared" si="1"/>
        <v>PT. Indah Kargo Logistik</v>
      </c>
      <c r="D597" s="3" t="s">
        <v>214</v>
      </c>
      <c r="E597" s="3" t="s">
        <v>187</v>
      </c>
      <c r="F597" s="3" t="s">
        <v>188</v>
      </c>
      <c r="G597" s="3" t="s">
        <v>63</v>
      </c>
      <c r="H597" s="3" t="str">
        <f t="array" ref="H597">XLOOKUP(G:G,'Account Manager Data'!A:A,'Account Manager Data'!B:B,0)</f>
        <v>Hendra Gunawan</v>
      </c>
      <c r="I597" s="11" t="str">
        <f t="array" ref="I597">XLOOKUP($G:$G,'Account Manager Data'!$A:$A,'Account Manager Data'!C:C)</f>
        <v>Kalimantan</v>
      </c>
      <c r="J597" s="17">
        <v>7706395.0</v>
      </c>
      <c r="K597" s="17">
        <v>2358765.0</v>
      </c>
      <c r="L597" s="17">
        <v>6705710.0</v>
      </c>
      <c r="M597" s="17">
        <v>5678401.0</v>
      </c>
      <c r="N597" s="17">
        <v>1.356197E7</v>
      </c>
      <c r="O597" s="17">
        <v>9524447.0</v>
      </c>
      <c r="P597" s="17">
        <v>4811788.0</v>
      </c>
      <c r="Q597" s="17">
        <v>1.2797005E7</v>
      </c>
      <c r="R597" s="17">
        <v>6375899.0</v>
      </c>
      <c r="S597" s="17">
        <v>1.2360439E7</v>
      </c>
      <c r="T597" s="17">
        <v>1.4004648E7</v>
      </c>
      <c r="U597" s="17">
        <v>1.6324876E7</v>
      </c>
      <c r="V597" s="11">
        <f t="array" ref="V597">XLOOKUP(A:A,'Raw Revenue'!A:A,'Raw Revenue'!B:B,0)
</f>
        <v>0</v>
      </c>
      <c r="W597" s="11">
        <f t="array" ref="W597">XLOOKUP(A:A,'Raw Revenue'!C:C,'Raw Revenue'!D:D,0)</f>
        <v>0</v>
      </c>
      <c r="X597" s="11">
        <f t="array" ref="X597">XLOOKUP(A:A,'Raw Revenue'!E:E,'Raw Revenue'!F:F,0)</f>
        <v>0</v>
      </c>
      <c r="Y597" s="11">
        <f t="array" ref="Y597">XLOOKUP(A:A,'Raw Revenue'!G:G,'Raw Revenue'!H:H,0)</f>
        <v>0</v>
      </c>
      <c r="Z597" s="11">
        <f t="array" ref="Z597">XLOOKUP(A:A,'Raw Revenue'!I:I,'Raw Revenue'!J:J,0)</f>
        <v>0</v>
      </c>
      <c r="AA597" s="11">
        <f t="array" ref="AA597">XLOOKUP(A:A,'Raw Revenue'!K:K,'Raw Revenue'!L:L,0)</f>
        <v>0</v>
      </c>
      <c r="AB597" s="11">
        <f t="array" ref="AB597">XLOOKUP(A:A,'Raw Revenue'!M:M,'Raw Revenue'!N:N,0)</f>
        <v>0</v>
      </c>
      <c r="AC597" s="3">
        <v>0.0</v>
      </c>
      <c r="AD597" s="3">
        <v>0.0</v>
      </c>
      <c r="AE597" s="3">
        <v>0.0</v>
      </c>
      <c r="AF597" s="3">
        <v>0.0</v>
      </c>
      <c r="AG597" s="3">
        <v>0.0</v>
      </c>
    </row>
    <row r="598">
      <c r="A598" s="3" t="s">
        <v>1442</v>
      </c>
      <c r="B598" s="3" t="s">
        <v>1443</v>
      </c>
      <c r="C598" s="3" t="str">
        <f t="shared" si="1"/>
        <v>PT. Berkah Alam Semesta</v>
      </c>
      <c r="D598" s="3" t="s">
        <v>214</v>
      </c>
      <c r="E598" s="3" t="s">
        <v>85</v>
      </c>
      <c r="F598" s="3" t="s">
        <v>407</v>
      </c>
      <c r="G598" s="3" t="s">
        <v>35</v>
      </c>
      <c r="H598" s="3" t="str">
        <f t="array" ref="H598">XLOOKUP(G:G,'Account Manager Data'!A:A,'Account Manager Data'!B:B,0)</f>
        <v>Ahmad Fauzi</v>
      </c>
      <c r="I598" s="11" t="str">
        <f t="array" ref="I598">XLOOKUP($G:$G,'Account Manager Data'!$A:$A,'Account Manager Data'!C:C)</f>
        <v>Sumatera</v>
      </c>
      <c r="J598" s="17">
        <v>7317768.0</v>
      </c>
      <c r="K598" s="17">
        <v>7607264.0</v>
      </c>
      <c r="L598" s="17">
        <v>8362325.0</v>
      </c>
      <c r="M598" s="17">
        <v>1.1706909E7</v>
      </c>
      <c r="N598" s="17">
        <v>0.0</v>
      </c>
      <c r="O598" s="17">
        <v>2794677.0</v>
      </c>
      <c r="P598" s="17">
        <v>8340282.0</v>
      </c>
      <c r="Q598" s="17">
        <v>4401141.0</v>
      </c>
      <c r="R598" s="17">
        <v>4353622.0</v>
      </c>
      <c r="S598" s="17">
        <v>1.314648E7</v>
      </c>
      <c r="T598" s="17">
        <v>1.3313118E7</v>
      </c>
      <c r="U598" s="17">
        <v>0.0</v>
      </c>
      <c r="V598" s="11">
        <f t="array" ref="V598">XLOOKUP(A:A,'Raw Revenue'!A:A,'Raw Revenue'!B:B,0)
</f>
        <v>0</v>
      </c>
      <c r="W598" s="11">
        <f t="array" ref="W598">XLOOKUP(A:A,'Raw Revenue'!C:C,'Raw Revenue'!D:D,0)</f>
        <v>0</v>
      </c>
      <c r="X598" s="11">
        <f t="array" ref="X598">XLOOKUP(A:A,'Raw Revenue'!E:E,'Raw Revenue'!F:F,0)</f>
        <v>0</v>
      </c>
      <c r="Y598" s="11">
        <f t="array" ref="Y598">XLOOKUP(A:A,'Raw Revenue'!G:G,'Raw Revenue'!H:H,0)</f>
        <v>0</v>
      </c>
      <c r="Z598" s="11">
        <f t="array" ref="Z598">XLOOKUP(A:A,'Raw Revenue'!I:I,'Raw Revenue'!J:J,0)</f>
        <v>0</v>
      </c>
      <c r="AA598" s="11">
        <f t="array" ref="AA598">XLOOKUP(A:A,'Raw Revenue'!K:K,'Raw Revenue'!L:L,0)</f>
        <v>0</v>
      </c>
      <c r="AB598" s="11">
        <f t="array" ref="AB598">XLOOKUP(A:A,'Raw Revenue'!M:M,'Raw Revenue'!N:N,0)</f>
        <v>0</v>
      </c>
      <c r="AC598" s="3">
        <v>0.0</v>
      </c>
      <c r="AD598" s="3">
        <v>0.0</v>
      </c>
      <c r="AE598" s="3">
        <v>0.0</v>
      </c>
      <c r="AF598" s="3">
        <v>0.0</v>
      </c>
      <c r="AG598" s="3">
        <v>0.0</v>
      </c>
    </row>
    <row r="599">
      <c r="A599" s="3" t="s">
        <v>1444</v>
      </c>
      <c r="B599" s="3" t="s">
        <v>1445</v>
      </c>
      <c r="C599" s="3" t="str">
        <f t="shared" si="1"/>
        <v>PT. Cahaya Baru Indonesia</v>
      </c>
      <c r="D599" s="3" t="s">
        <v>186</v>
      </c>
      <c r="E599" s="3" t="s">
        <v>215</v>
      </c>
      <c r="F599" s="3" t="s">
        <v>227</v>
      </c>
      <c r="G599" s="3" t="s">
        <v>43</v>
      </c>
      <c r="H599" s="3" t="str">
        <f t="array" ref="H599">XLOOKUP(G:G,'Account Manager Data'!A:A,'Account Manager Data'!B:B,0)</f>
        <v>Eko Prasetyo</v>
      </c>
      <c r="I599" s="11" t="str">
        <f t="array" ref="I599">XLOOKUP($G:$G,'Account Manager Data'!$A:$A,'Account Manager Data'!C:C)</f>
        <v>Papua</v>
      </c>
      <c r="J599" s="17">
        <v>7984731.0</v>
      </c>
      <c r="K599" s="17">
        <v>323912.0</v>
      </c>
      <c r="L599" s="17">
        <v>7085560.0</v>
      </c>
      <c r="M599" s="17">
        <v>4125161.0</v>
      </c>
      <c r="N599" s="17">
        <v>2386413.0</v>
      </c>
      <c r="O599" s="17">
        <v>0.0</v>
      </c>
      <c r="P599" s="17">
        <v>1.548232E7</v>
      </c>
      <c r="Q599" s="17">
        <v>1379634.0</v>
      </c>
      <c r="R599" s="17">
        <v>0.0</v>
      </c>
      <c r="S599" s="17">
        <v>0.0</v>
      </c>
      <c r="T599" s="17">
        <v>108184.0</v>
      </c>
      <c r="U599" s="17">
        <v>1.3677794E7</v>
      </c>
      <c r="V599" s="11">
        <f t="array" ref="V599">XLOOKUP(A:A,'Raw Revenue'!A:A,'Raw Revenue'!B:B,0)
</f>
        <v>0</v>
      </c>
      <c r="W599" s="11">
        <f t="array" ref="W599">XLOOKUP(A:A,'Raw Revenue'!C:C,'Raw Revenue'!D:D,0)</f>
        <v>0</v>
      </c>
      <c r="X599" s="11">
        <f t="array" ref="X599">XLOOKUP(A:A,'Raw Revenue'!E:E,'Raw Revenue'!F:F,0)</f>
        <v>0</v>
      </c>
      <c r="Y599" s="11">
        <f t="array" ref="Y599">XLOOKUP(A:A,'Raw Revenue'!G:G,'Raw Revenue'!H:H,0)</f>
        <v>0</v>
      </c>
      <c r="Z599" s="11">
        <f t="array" ref="Z599">XLOOKUP(A:A,'Raw Revenue'!I:I,'Raw Revenue'!J:J,0)</f>
        <v>0</v>
      </c>
      <c r="AA599" s="11">
        <f t="array" ref="AA599">XLOOKUP(A:A,'Raw Revenue'!K:K,'Raw Revenue'!L:L,0)</f>
        <v>0</v>
      </c>
      <c r="AB599" s="11">
        <f t="array" ref="AB599">XLOOKUP(A:A,'Raw Revenue'!M:M,'Raw Revenue'!N:N,0)</f>
        <v>0</v>
      </c>
      <c r="AC599" s="3">
        <v>0.0</v>
      </c>
      <c r="AD599" s="3">
        <v>0.0</v>
      </c>
      <c r="AE599" s="3">
        <v>0.0</v>
      </c>
      <c r="AF599" s="3">
        <v>0.0</v>
      </c>
      <c r="AG599" s="3">
        <v>0.0</v>
      </c>
    </row>
    <row r="600">
      <c r="A600" s="3" t="s">
        <v>1446</v>
      </c>
      <c r="B600" s="3" t="s">
        <v>1447</v>
      </c>
      <c r="C600" s="3" t="str">
        <f t="shared" si="1"/>
        <v>PT. Mentari Pagi Sejahtera</v>
      </c>
      <c r="D600" s="3" t="s">
        <v>84</v>
      </c>
      <c r="E600" s="3" t="s">
        <v>85</v>
      </c>
      <c r="F600" s="3" t="s">
        <v>86</v>
      </c>
      <c r="G600" s="3" t="s">
        <v>74</v>
      </c>
      <c r="H600" s="3" t="str">
        <f t="array" ref="H600">XLOOKUP(G:G,'Account Manager Data'!A:A,'Account Manager Data'!B:B,0)</f>
        <v>Budi Santoso</v>
      </c>
      <c r="I600" s="11" t="str">
        <f t="array" ref="I600">XLOOKUP($G:$G,'Account Manager Data'!$A:$A,'Account Manager Data'!C:C)</f>
        <v>Papua</v>
      </c>
      <c r="J600" s="17">
        <v>236831.0</v>
      </c>
      <c r="K600" s="17">
        <v>3173683.0</v>
      </c>
      <c r="L600" s="17">
        <v>9961156.0</v>
      </c>
      <c r="M600" s="17">
        <v>1769731.0</v>
      </c>
      <c r="N600" s="17">
        <v>0.0</v>
      </c>
      <c r="O600" s="17">
        <v>0.0</v>
      </c>
      <c r="P600" s="17">
        <v>5306571.0</v>
      </c>
      <c r="Q600" s="17">
        <v>1.3288047E7</v>
      </c>
      <c r="R600" s="17">
        <v>7055234.0</v>
      </c>
      <c r="S600" s="17">
        <v>1.6677493E7</v>
      </c>
      <c r="T600" s="17">
        <v>7935542.0</v>
      </c>
      <c r="U600" s="17">
        <v>1.3075843E7</v>
      </c>
      <c r="V600" s="11">
        <f t="array" ref="V600">XLOOKUP(A:A,'Raw Revenue'!A:A,'Raw Revenue'!B:B,0)
</f>
        <v>0</v>
      </c>
      <c r="W600" s="11">
        <f t="array" ref="W600">XLOOKUP(A:A,'Raw Revenue'!C:C,'Raw Revenue'!D:D,0)</f>
        <v>0</v>
      </c>
      <c r="X600" s="11">
        <f t="array" ref="X600">XLOOKUP(A:A,'Raw Revenue'!E:E,'Raw Revenue'!F:F,0)</f>
        <v>0</v>
      </c>
      <c r="Y600" s="11">
        <f t="array" ref="Y600">XLOOKUP(A:A,'Raw Revenue'!G:G,'Raw Revenue'!H:H,0)</f>
        <v>0</v>
      </c>
      <c r="Z600" s="11">
        <f t="array" ref="Z600">XLOOKUP(A:A,'Raw Revenue'!I:I,'Raw Revenue'!J:J,0)</f>
        <v>0</v>
      </c>
      <c r="AA600" s="11">
        <f t="array" ref="AA600">XLOOKUP(A:A,'Raw Revenue'!K:K,'Raw Revenue'!L:L,0)</f>
        <v>0</v>
      </c>
      <c r="AB600" s="11">
        <f t="array" ref="AB600">XLOOKUP(A:A,'Raw Revenue'!M:M,'Raw Revenue'!N:N,0)</f>
        <v>0</v>
      </c>
      <c r="AC600" s="3">
        <v>0.0</v>
      </c>
      <c r="AD600" s="3">
        <v>0.0</v>
      </c>
      <c r="AE600" s="3">
        <v>0.0</v>
      </c>
      <c r="AF600" s="3">
        <v>0.0</v>
      </c>
      <c r="AG600" s="3">
        <v>0.0</v>
      </c>
    </row>
    <row r="601">
      <c r="A601" s="3" t="s">
        <v>1448</v>
      </c>
      <c r="B601" s="3" t="s">
        <v>1449</v>
      </c>
      <c r="C601" s="3" t="str">
        <f t="shared" si="1"/>
        <v>PT. Bintang Kejora Nusantara</v>
      </c>
      <c r="D601" s="3" t="s">
        <v>84</v>
      </c>
      <c r="E601" s="3" t="s">
        <v>215</v>
      </c>
      <c r="F601" s="3" t="s">
        <v>216</v>
      </c>
      <c r="G601" s="3" t="s">
        <v>76</v>
      </c>
      <c r="H601" s="3" t="str">
        <f t="array" ref="H601">XLOOKUP(G:G,'Account Manager Data'!A:A,'Account Manager Data'!B:B,0)</f>
        <v>Teguh Wijaya</v>
      </c>
      <c r="I601" s="11" t="str">
        <f t="array" ref="I601">XLOOKUP($G:$G,'Account Manager Data'!$A:$A,'Account Manager Data'!C:C)</f>
        <v>Sulawesi</v>
      </c>
      <c r="J601" s="17">
        <v>3511868.0</v>
      </c>
      <c r="K601" s="17">
        <v>1473643.0</v>
      </c>
      <c r="L601" s="17">
        <v>7252731.0</v>
      </c>
      <c r="M601" s="17">
        <v>2972344.0</v>
      </c>
      <c r="N601" s="17">
        <v>947840.0</v>
      </c>
      <c r="O601" s="17">
        <v>1.4589018E7</v>
      </c>
      <c r="P601" s="17">
        <v>6390724.0</v>
      </c>
      <c r="Q601" s="17">
        <v>1.5326574E7</v>
      </c>
      <c r="R601" s="17">
        <v>8908424.0</v>
      </c>
      <c r="S601" s="17">
        <v>1.5512963E7</v>
      </c>
      <c r="T601" s="17">
        <v>9670823.0</v>
      </c>
      <c r="U601" s="17">
        <v>1.4601118E7</v>
      </c>
      <c r="V601" s="11">
        <f t="array" ref="V601">XLOOKUP(A:A,'Raw Revenue'!A:A,'Raw Revenue'!B:B,0)
</f>
        <v>0</v>
      </c>
      <c r="W601" s="11">
        <f t="array" ref="W601">XLOOKUP(A:A,'Raw Revenue'!C:C,'Raw Revenue'!D:D,0)</f>
        <v>0</v>
      </c>
      <c r="X601" s="11">
        <f t="array" ref="X601">XLOOKUP(A:A,'Raw Revenue'!E:E,'Raw Revenue'!F:F,0)</f>
        <v>0</v>
      </c>
      <c r="Y601" s="11">
        <f t="array" ref="Y601">XLOOKUP(A:A,'Raw Revenue'!G:G,'Raw Revenue'!H:H,0)</f>
        <v>0</v>
      </c>
      <c r="Z601" s="11">
        <f t="array" ref="Z601">XLOOKUP(A:A,'Raw Revenue'!I:I,'Raw Revenue'!J:J,0)</f>
        <v>0</v>
      </c>
      <c r="AA601" s="11">
        <f t="array" ref="AA601">XLOOKUP(A:A,'Raw Revenue'!K:K,'Raw Revenue'!L:L,0)</f>
        <v>0</v>
      </c>
      <c r="AB601" s="11">
        <f t="array" ref="AB601">XLOOKUP(A:A,'Raw Revenue'!M:M,'Raw Revenue'!N:N,0)</f>
        <v>0</v>
      </c>
      <c r="AC601" s="3">
        <v>0.0</v>
      </c>
      <c r="AD601" s="3">
        <v>0.0</v>
      </c>
      <c r="AE601" s="3">
        <v>0.0</v>
      </c>
      <c r="AF601" s="3">
        <v>0.0</v>
      </c>
      <c r="AG601" s="3">
        <v>0.0</v>
      </c>
    </row>
    <row r="602">
      <c r="A602" s="3" t="s">
        <v>1450</v>
      </c>
      <c r="B602" s="3" t="s">
        <v>1451</v>
      </c>
      <c r="C602" s="3" t="str">
        <f t="shared" si="1"/>
        <v>PT. Maju Jaya</v>
      </c>
      <c r="D602" s="3" t="s">
        <v>130</v>
      </c>
      <c r="E602" s="3" t="s">
        <v>85</v>
      </c>
      <c r="F602" s="3" t="s">
        <v>407</v>
      </c>
      <c r="G602" s="3" t="s">
        <v>70</v>
      </c>
      <c r="H602" s="3" t="str">
        <f t="array" ref="H602">XLOOKUP(G:G,'Account Manager Data'!A:A,'Account Manager Data'!B:B,0)</f>
        <v>Yusuf Hidayat</v>
      </c>
      <c r="I602" s="11" t="str">
        <f t="array" ref="I602">XLOOKUP($G:$G,'Account Manager Data'!$A:$A,'Account Manager Data'!C:C)</f>
        <v>Sumatera</v>
      </c>
      <c r="J602" s="17">
        <v>5647470.0</v>
      </c>
      <c r="K602" s="17">
        <v>4491504.0</v>
      </c>
      <c r="L602" s="17">
        <v>2041485.0</v>
      </c>
      <c r="M602" s="17">
        <v>1.1367338E7</v>
      </c>
      <c r="N602" s="17">
        <v>1.3881081E7</v>
      </c>
      <c r="O602" s="17">
        <v>7080118.0</v>
      </c>
      <c r="P602" s="17">
        <v>0.0</v>
      </c>
      <c r="Q602" s="17">
        <v>1.3221568E7</v>
      </c>
      <c r="R602" s="17">
        <v>8618032.0</v>
      </c>
      <c r="S602" s="17">
        <v>5059332.0</v>
      </c>
      <c r="T602" s="17">
        <v>0.0</v>
      </c>
      <c r="U602" s="17">
        <v>2237926.0</v>
      </c>
      <c r="V602" s="11">
        <f t="array" ref="V602">XLOOKUP(A:A,'Raw Revenue'!A:A,'Raw Revenue'!B:B,0)
</f>
        <v>0</v>
      </c>
      <c r="W602" s="11">
        <f t="array" ref="W602">XLOOKUP(A:A,'Raw Revenue'!C:C,'Raw Revenue'!D:D,0)</f>
        <v>0</v>
      </c>
      <c r="X602" s="11">
        <f t="array" ref="X602">XLOOKUP(A:A,'Raw Revenue'!E:E,'Raw Revenue'!F:F,0)</f>
        <v>0</v>
      </c>
      <c r="Y602" s="11">
        <f t="array" ref="Y602">XLOOKUP(A:A,'Raw Revenue'!G:G,'Raw Revenue'!H:H,0)</f>
        <v>0</v>
      </c>
      <c r="Z602" s="11">
        <f t="array" ref="Z602">XLOOKUP(A:A,'Raw Revenue'!I:I,'Raw Revenue'!J:J,0)</f>
        <v>0</v>
      </c>
      <c r="AA602" s="11">
        <f t="array" ref="AA602">XLOOKUP(A:A,'Raw Revenue'!K:K,'Raw Revenue'!L:L,0)</f>
        <v>0</v>
      </c>
      <c r="AB602" s="11">
        <f t="array" ref="AB602">XLOOKUP(A:A,'Raw Revenue'!M:M,'Raw Revenue'!N:N,0)</f>
        <v>0</v>
      </c>
      <c r="AC602" s="3">
        <v>0.0</v>
      </c>
      <c r="AD602" s="3">
        <v>0.0</v>
      </c>
      <c r="AE602" s="3">
        <v>0.0</v>
      </c>
      <c r="AF602" s="3">
        <v>0.0</v>
      </c>
      <c r="AG602" s="3">
        <v>0.0</v>
      </c>
    </row>
    <row r="603">
      <c r="A603" s="3" t="s">
        <v>1452</v>
      </c>
      <c r="B603" s="3" t="s">
        <v>1453</v>
      </c>
      <c r="C603" s="3" t="str">
        <f t="shared" si="1"/>
        <v>CV. Sumber Makmur</v>
      </c>
      <c r="D603" s="3" t="s">
        <v>214</v>
      </c>
      <c r="E603" s="3" t="s">
        <v>196</v>
      </c>
      <c r="F603" s="3" t="s">
        <v>197</v>
      </c>
      <c r="G603" s="3" t="s">
        <v>15</v>
      </c>
      <c r="H603" s="3" t="str">
        <f t="array" ref="H603">XLOOKUP(G:G,'Account Manager Data'!A:A,'Account Manager Data'!B:B,0)</f>
        <v>Rizky Maulana</v>
      </c>
      <c r="I603" s="11" t="str">
        <f t="array" ref="I603">XLOOKUP($G:$G,'Account Manager Data'!$A:$A,'Account Manager Data'!C:C)</f>
        <v>Jawa</v>
      </c>
      <c r="J603" s="17">
        <v>3863451.0</v>
      </c>
      <c r="K603" s="17">
        <v>3399659.0</v>
      </c>
      <c r="L603" s="17">
        <v>7427131.0</v>
      </c>
      <c r="M603" s="17">
        <v>1641718.0</v>
      </c>
      <c r="N603" s="17">
        <v>1.4142832E7</v>
      </c>
      <c r="O603" s="17">
        <v>2828398.0</v>
      </c>
      <c r="P603" s="17">
        <v>9105892.0</v>
      </c>
      <c r="Q603" s="17">
        <v>4529587.0</v>
      </c>
      <c r="R603" s="17">
        <v>2812701.0</v>
      </c>
      <c r="S603" s="17">
        <v>1.3379517E7</v>
      </c>
      <c r="T603" s="17">
        <v>1.8934866E7</v>
      </c>
      <c r="U603" s="17">
        <v>1.8577632E7</v>
      </c>
      <c r="V603" s="11">
        <f t="array" ref="V603">XLOOKUP(A:A,'Raw Revenue'!A:A,'Raw Revenue'!B:B,0)
</f>
        <v>0</v>
      </c>
      <c r="W603" s="11">
        <f t="array" ref="W603">XLOOKUP(A:A,'Raw Revenue'!C:C,'Raw Revenue'!D:D,0)</f>
        <v>0</v>
      </c>
      <c r="X603" s="11">
        <f t="array" ref="X603">XLOOKUP(A:A,'Raw Revenue'!E:E,'Raw Revenue'!F:F,0)</f>
        <v>0</v>
      </c>
      <c r="Y603" s="11">
        <f t="array" ref="Y603">XLOOKUP(A:A,'Raw Revenue'!G:G,'Raw Revenue'!H:H,0)</f>
        <v>0</v>
      </c>
      <c r="Z603" s="11">
        <f t="array" ref="Z603">XLOOKUP(A:A,'Raw Revenue'!I:I,'Raw Revenue'!J:J,0)</f>
        <v>0</v>
      </c>
      <c r="AA603" s="11">
        <f t="array" ref="AA603">XLOOKUP(A:A,'Raw Revenue'!K:K,'Raw Revenue'!L:L,0)</f>
        <v>0</v>
      </c>
      <c r="AB603" s="11">
        <f t="array" ref="AB603">XLOOKUP(A:A,'Raw Revenue'!M:M,'Raw Revenue'!N:N,0)</f>
        <v>0</v>
      </c>
      <c r="AC603" s="3">
        <v>0.0</v>
      </c>
      <c r="AD603" s="3">
        <v>0.0</v>
      </c>
      <c r="AE603" s="3">
        <v>0.0</v>
      </c>
      <c r="AF603" s="3">
        <v>0.0</v>
      </c>
      <c r="AG603" s="3">
        <v>0.0</v>
      </c>
    </row>
    <row r="604">
      <c r="A604" s="3" t="s">
        <v>1454</v>
      </c>
      <c r="B604" s="3" t="s">
        <v>1455</v>
      </c>
      <c r="C604" s="3" t="str">
        <f t="shared" si="1"/>
        <v>PT. Teknologi Nusantara</v>
      </c>
      <c r="D604" s="3" t="s">
        <v>84</v>
      </c>
      <c r="E604" s="3" t="s">
        <v>215</v>
      </c>
      <c r="F604" s="3" t="s">
        <v>227</v>
      </c>
      <c r="G604" s="3" t="s">
        <v>27</v>
      </c>
      <c r="H604" s="3" t="str">
        <f t="array" ref="H604">XLOOKUP(G:G,'Account Manager Data'!A:A,'Account Manager Data'!B:B,0)</f>
        <v>Dedi Kurniawan</v>
      </c>
      <c r="I604" s="11" t="str">
        <f t="array" ref="I604">XLOOKUP($G:$G,'Account Manager Data'!$A:$A,'Account Manager Data'!C:C)</f>
        <v>Kalimantan</v>
      </c>
      <c r="J604" s="17">
        <v>5340843.0</v>
      </c>
      <c r="K604" s="17">
        <v>7549934.0</v>
      </c>
      <c r="L604" s="17">
        <v>8587934.0</v>
      </c>
      <c r="M604" s="17">
        <v>3710554.0</v>
      </c>
      <c r="N604" s="17">
        <v>9311115.0</v>
      </c>
      <c r="O604" s="17">
        <v>3646919.0</v>
      </c>
      <c r="P604" s="17">
        <v>2911573.0</v>
      </c>
      <c r="Q604" s="17">
        <v>1.5156816E7</v>
      </c>
      <c r="R604" s="17">
        <v>833207.0</v>
      </c>
      <c r="S604" s="17">
        <v>1.2478944E7</v>
      </c>
      <c r="T604" s="17">
        <v>7960955.0</v>
      </c>
      <c r="U604" s="17">
        <v>1.8955902E7</v>
      </c>
      <c r="V604" s="11">
        <f t="array" ref="V604">XLOOKUP(A:A,'Raw Revenue'!A:A,'Raw Revenue'!B:B,0)
</f>
        <v>0</v>
      </c>
      <c r="W604" s="11">
        <f t="array" ref="W604">XLOOKUP(A:A,'Raw Revenue'!C:C,'Raw Revenue'!D:D,0)</f>
        <v>0</v>
      </c>
      <c r="X604" s="11">
        <f t="array" ref="X604">XLOOKUP(A:A,'Raw Revenue'!E:E,'Raw Revenue'!F:F,0)</f>
        <v>0</v>
      </c>
      <c r="Y604" s="11">
        <f t="array" ref="Y604">XLOOKUP(A:A,'Raw Revenue'!G:G,'Raw Revenue'!H:H,0)</f>
        <v>0</v>
      </c>
      <c r="Z604" s="11">
        <f t="array" ref="Z604">XLOOKUP(A:A,'Raw Revenue'!I:I,'Raw Revenue'!J:J,0)</f>
        <v>0</v>
      </c>
      <c r="AA604" s="11">
        <f t="array" ref="AA604">XLOOKUP(A:A,'Raw Revenue'!K:K,'Raw Revenue'!L:L,0)</f>
        <v>0</v>
      </c>
      <c r="AB604" s="11">
        <f t="array" ref="AB604">XLOOKUP(A:A,'Raw Revenue'!M:M,'Raw Revenue'!N:N,0)</f>
        <v>0</v>
      </c>
      <c r="AC604" s="3">
        <v>0.0</v>
      </c>
      <c r="AD604" s="3">
        <v>0.0</v>
      </c>
      <c r="AE604" s="3">
        <v>0.0</v>
      </c>
      <c r="AF604" s="3">
        <v>0.0</v>
      </c>
      <c r="AG604" s="3">
        <v>0.0</v>
      </c>
    </row>
    <row r="605">
      <c r="A605" s="3" t="s">
        <v>1456</v>
      </c>
      <c r="B605" s="3" t="s">
        <v>1457</v>
      </c>
      <c r="C605" s="3" t="str">
        <f t="shared" si="1"/>
        <v>PT. Bakti Indonesia</v>
      </c>
      <c r="D605" s="3" t="s">
        <v>195</v>
      </c>
      <c r="E605" s="3" t="s">
        <v>187</v>
      </c>
      <c r="F605" s="3" t="s">
        <v>188</v>
      </c>
      <c r="G605" s="3" t="s">
        <v>78</v>
      </c>
      <c r="H605" s="3" t="str">
        <f t="array" ref="H605">XLOOKUP(G:G,'Account Manager Data'!A:A,'Account Manager Data'!B:B,0)</f>
        <v>Ilham Saputra</v>
      </c>
      <c r="I605" s="11" t="str">
        <f t="array" ref="I605">XLOOKUP($G:$G,'Account Manager Data'!$A:$A,'Account Manager Data'!C:C)</f>
        <v>Jawa</v>
      </c>
      <c r="J605" s="17">
        <v>3646978.0</v>
      </c>
      <c r="K605" s="17">
        <v>7645780.0</v>
      </c>
      <c r="L605" s="17">
        <v>3389038.0</v>
      </c>
      <c r="M605" s="17">
        <v>7955859.0</v>
      </c>
      <c r="N605" s="17">
        <v>7950565.0</v>
      </c>
      <c r="O605" s="17">
        <v>8307360.0</v>
      </c>
      <c r="P605" s="17">
        <v>5245163.0</v>
      </c>
      <c r="Q605" s="17">
        <v>1.5471417E7</v>
      </c>
      <c r="R605" s="17">
        <v>9910841.0</v>
      </c>
      <c r="S605" s="17">
        <v>9112877.0</v>
      </c>
      <c r="T605" s="17">
        <v>1.4951232E7</v>
      </c>
      <c r="U605" s="17">
        <v>4989436.0</v>
      </c>
      <c r="V605" s="11">
        <f t="array" ref="V605">XLOOKUP(A:A,'Raw Revenue'!A:A,'Raw Revenue'!B:B,0)
</f>
        <v>0</v>
      </c>
      <c r="W605" s="11">
        <f t="array" ref="W605">XLOOKUP(A:A,'Raw Revenue'!C:C,'Raw Revenue'!D:D,0)</f>
        <v>0</v>
      </c>
      <c r="X605" s="11">
        <f t="array" ref="X605">XLOOKUP(A:A,'Raw Revenue'!E:E,'Raw Revenue'!F:F,0)</f>
        <v>0</v>
      </c>
      <c r="Y605" s="11">
        <f t="array" ref="Y605">XLOOKUP(A:A,'Raw Revenue'!G:G,'Raw Revenue'!H:H,0)</f>
        <v>0</v>
      </c>
      <c r="Z605" s="11">
        <f t="array" ref="Z605">XLOOKUP(A:A,'Raw Revenue'!I:I,'Raw Revenue'!J:J,0)</f>
        <v>0</v>
      </c>
      <c r="AA605" s="11">
        <f t="array" ref="AA605">XLOOKUP(A:A,'Raw Revenue'!K:K,'Raw Revenue'!L:L,0)</f>
        <v>0</v>
      </c>
      <c r="AB605" s="11">
        <f t="array" ref="AB605">XLOOKUP(A:A,'Raw Revenue'!M:M,'Raw Revenue'!N:N,0)</f>
        <v>0</v>
      </c>
      <c r="AC605" s="3">
        <v>0.0</v>
      </c>
      <c r="AD605" s="3">
        <v>0.0</v>
      </c>
      <c r="AE605" s="3">
        <v>0.0</v>
      </c>
      <c r="AF605" s="3">
        <v>0.0</v>
      </c>
      <c r="AG605" s="3">
        <v>0.0</v>
      </c>
    </row>
    <row r="606">
      <c r="A606" s="3" t="s">
        <v>304</v>
      </c>
      <c r="B606" s="3" t="s">
        <v>1458</v>
      </c>
      <c r="C606" s="3" t="str">
        <f t="shared" si="1"/>
        <v>CV. Amanah Sejahtera</v>
      </c>
      <c r="D606" s="3" t="s">
        <v>103</v>
      </c>
      <c r="E606" s="3" t="s">
        <v>215</v>
      </c>
      <c r="F606" s="3" t="s">
        <v>227</v>
      </c>
      <c r="G606" s="3" t="s">
        <v>53</v>
      </c>
      <c r="H606" s="3" t="str">
        <f t="array" ref="H606">XLOOKUP(G:G,'Account Manager Data'!A:A,'Account Manager Data'!B:B,0)</f>
        <v>Fajar Ramadhan</v>
      </c>
      <c r="I606" s="11" t="str">
        <f t="array" ref="I606">XLOOKUP($G:$G,'Account Manager Data'!$A:$A,'Account Manager Data'!C:C)</f>
        <v>Sulawesi</v>
      </c>
      <c r="J606" s="17">
        <v>7849350.0</v>
      </c>
      <c r="K606" s="17">
        <v>7451936.0</v>
      </c>
      <c r="L606" s="17">
        <v>6563689.0</v>
      </c>
      <c r="M606" s="17">
        <v>4971052.0</v>
      </c>
      <c r="N606" s="17">
        <v>9283432.0</v>
      </c>
      <c r="O606" s="17">
        <v>7772189.0</v>
      </c>
      <c r="P606" s="17">
        <v>9213232.0</v>
      </c>
      <c r="Q606" s="17">
        <v>1.458098E7</v>
      </c>
      <c r="R606" s="17">
        <v>1.527327E7</v>
      </c>
      <c r="S606" s="17">
        <v>4193260.0</v>
      </c>
      <c r="T606" s="17">
        <v>4031865.0</v>
      </c>
      <c r="U606" s="17">
        <v>3941755.0</v>
      </c>
      <c r="V606" s="11">
        <f t="array" ref="V606">XLOOKUP(A:A,'Raw Revenue'!A:A,'Raw Revenue'!B:B,0)
</f>
        <v>0</v>
      </c>
      <c r="W606" s="11">
        <f t="array" ref="W606">XLOOKUP(A:A,'Raw Revenue'!C:C,'Raw Revenue'!D:D,0)</f>
        <v>11139214.85</v>
      </c>
      <c r="X606" s="11">
        <f t="array" ref="X606">XLOOKUP(A:A,'Raw Revenue'!E:E,'Raw Revenue'!F:F,0)</f>
        <v>22278429.69</v>
      </c>
      <c r="Y606" s="11">
        <f t="array" ref="Y606">XLOOKUP(A:A,'Raw Revenue'!G:G,'Raw Revenue'!H:H,0)</f>
        <v>18194050.92</v>
      </c>
      <c r="Z606" s="11">
        <f t="array" ref="Z606">XLOOKUP(A:A,'Raw Revenue'!I:I,'Raw Revenue'!J:J,0)</f>
        <v>16337515.11</v>
      </c>
      <c r="AA606" s="11">
        <f t="array" ref="AA606">XLOOKUP(A:A,'Raw Revenue'!K:K,'Raw Revenue'!L:L,0)</f>
        <v>41772055.68</v>
      </c>
      <c r="AB606" s="11">
        <f t="array" ref="AB606">XLOOKUP(A:A,'Raw Revenue'!M:M,'Raw Revenue'!N:N,0)</f>
        <v>38430291.22</v>
      </c>
      <c r="AC606" s="3">
        <v>0.0</v>
      </c>
      <c r="AD606" s="3">
        <v>0.0</v>
      </c>
      <c r="AE606" s="3">
        <v>0.0</v>
      </c>
      <c r="AF606" s="3">
        <v>0.0</v>
      </c>
      <c r="AG606" s="3">
        <v>0.0</v>
      </c>
    </row>
    <row r="607">
      <c r="A607" s="3" t="s">
        <v>1459</v>
      </c>
      <c r="B607" s="3" t="s">
        <v>1460</v>
      </c>
      <c r="C607" s="3" t="str">
        <f t="shared" si="1"/>
        <v>PT. Digital Solusi Pratama</v>
      </c>
      <c r="D607" s="3" t="s">
        <v>214</v>
      </c>
      <c r="E607" s="3" t="s">
        <v>187</v>
      </c>
      <c r="F607" s="3" t="s">
        <v>269</v>
      </c>
      <c r="G607" s="3" t="s">
        <v>63</v>
      </c>
      <c r="H607" s="3" t="str">
        <f t="array" ref="H607">XLOOKUP(G:G,'Account Manager Data'!A:A,'Account Manager Data'!B:B,0)</f>
        <v>Hendra Gunawan</v>
      </c>
      <c r="I607" s="11" t="str">
        <f t="array" ref="I607">XLOOKUP($G:$G,'Account Manager Data'!$A:$A,'Account Manager Data'!C:C)</f>
        <v>Kalimantan</v>
      </c>
      <c r="J607" s="17">
        <v>4805344.0</v>
      </c>
      <c r="K607" s="17">
        <v>821561.0</v>
      </c>
      <c r="L607" s="17">
        <v>7033874.0</v>
      </c>
      <c r="M607" s="17">
        <v>5881756.0</v>
      </c>
      <c r="N607" s="17">
        <v>3645316.0</v>
      </c>
      <c r="O607" s="17">
        <v>1.1447501E7</v>
      </c>
      <c r="P607" s="17">
        <v>7212042.0</v>
      </c>
      <c r="Q607" s="17">
        <v>776300.0</v>
      </c>
      <c r="R607" s="17">
        <v>1.6468461E7</v>
      </c>
      <c r="S607" s="17">
        <v>0.0</v>
      </c>
      <c r="T607" s="17">
        <v>0.0</v>
      </c>
      <c r="U607" s="17">
        <v>0.0</v>
      </c>
      <c r="V607" s="11">
        <f t="array" ref="V607">XLOOKUP(A:A,'Raw Revenue'!A:A,'Raw Revenue'!B:B,0)
</f>
        <v>0</v>
      </c>
      <c r="W607" s="11">
        <f t="array" ref="W607">XLOOKUP(A:A,'Raw Revenue'!C:C,'Raw Revenue'!D:D,0)</f>
        <v>0</v>
      </c>
      <c r="X607" s="11">
        <f t="array" ref="X607">XLOOKUP(A:A,'Raw Revenue'!E:E,'Raw Revenue'!F:F,0)</f>
        <v>0</v>
      </c>
      <c r="Y607" s="11">
        <f t="array" ref="Y607">XLOOKUP(A:A,'Raw Revenue'!G:G,'Raw Revenue'!H:H,0)</f>
        <v>0</v>
      </c>
      <c r="Z607" s="11">
        <f t="array" ref="Z607">XLOOKUP(A:A,'Raw Revenue'!I:I,'Raw Revenue'!J:J,0)</f>
        <v>0</v>
      </c>
      <c r="AA607" s="11">
        <f t="array" ref="AA607">XLOOKUP(A:A,'Raw Revenue'!K:K,'Raw Revenue'!L:L,0)</f>
        <v>0</v>
      </c>
      <c r="AB607" s="11">
        <f t="array" ref="AB607">XLOOKUP(A:A,'Raw Revenue'!M:M,'Raw Revenue'!N:N,0)</f>
        <v>0</v>
      </c>
      <c r="AC607" s="3">
        <v>0.0</v>
      </c>
      <c r="AD607" s="3">
        <v>0.0</v>
      </c>
      <c r="AE607" s="3">
        <v>0.0</v>
      </c>
      <c r="AF607" s="3">
        <v>0.0</v>
      </c>
      <c r="AG607" s="3">
        <v>0.0</v>
      </c>
    </row>
    <row r="608">
      <c r="A608" s="3" t="s">
        <v>1461</v>
      </c>
      <c r="B608" s="3" t="s">
        <v>1462</v>
      </c>
      <c r="C608" s="3" t="str">
        <f t="shared" si="1"/>
        <v>PT. Global Niaga Abadi</v>
      </c>
      <c r="D608" s="3" t="s">
        <v>214</v>
      </c>
      <c r="E608" s="3" t="s">
        <v>85</v>
      </c>
      <c r="F608" s="3" t="s">
        <v>86</v>
      </c>
      <c r="G608" s="3" t="s">
        <v>35</v>
      </c>
      <c r="H608" s="3" t="str">
        <f t="array" ref="H608">XLOOKUP(G:G,'Account Manager Data'!A:A,'Account Manager Data'!B:B,0)</f>
        <v>Ahmad Fauzi</v>
      </c>
      <c r="I608" s="11" t="str">
        <f t="array" ref="I608">XLOOKUP($G:$G,'Account Manager Data'!$A:$A,'Account Manager Data'!C:C)</f>
        <v>Sumatera</v>
      </c>
      <c r="J608" s="17">
        <v>6722483.0</v>
      </c>
      <c r="K608" s="17">
        <v>3200353.0</v>
      </c>
      <c r="L608" s="17">
        <v>6413651.0</v>
      </c>
      <c r="M608" s="17">
        <v>9061749.0</v>
      </c>
      <c r="N608" s="17">
        <v>1.4191975E7</v>
      </c>
      <c r="O608" s="17">
        <v>6022813.0</v>
      </c>
      <c r="P608" s="17">
        <v>925576.0</v>
      </c>
      <c r="Q608" s="17">
        <v>8833271.0</v>
      </c>
      <c r="R608" s="17">
        <v>3311203.0</v>
      </c>
      <c r="S608" s="17">
        <v>3366240.0</v>
      </c>
      <c r="T608" s="17">
        <v>6185501.0</v>
      </c>
      <c r="U608" s="17">
        <v>1.6177469E7</v>
      </c>
      <c r="V608" s="11">
        <f t="array" ref="V608">XLOOKUP(A:A,'Raw Revenue'!A:A,'Raw Revenue'!B:B,0)
</f>
        <v>0</v>
      </c>
      <c r="W608" s="11">
        <f t="array" ref="W608">XLOOKUP(A:A,'Raw Revenue'!C:C,'Raw Revenue'!D:D,0)</f>
        <v>0</v>
      </c>
      <c r="X608" s="11">
        <f t="array" ref="X608">XLOOKUP(A:A,'Raw Revenue'!E:E,'Raw Revenue'!F:F,0)</f>
        <v>0</v>
      </c>
      <c r="Y608" s="11">
        <f t="array" ref="Y608">XLOOKUP(A:A,'Raw Revenue'!G:G,'Raw Revenue'!H:H,0)</f>
        <v>0</v>
      </c>
      <c r="Z608" s="11">
        <f t="array" ref="Z608">XLOOKUP(A:A,'Raw Revenue'!I:I,'Raw Revenue'!J:J,0)</f>
        <v>0</v>
      </c>
      <c r="AA608" s="11">
        <f t="array" ref="AA608">XLOOKUP(A:A,'Raw Revenue'!K:K,'Raw Revenue'!L:L,0)</f>
        <v>0</v>
      </c>
      <c r="AB608" s="11">
        <f t="array" ref="AB608">XLOOKUP(A:A,'Raw Revenue'!M:M,'Raw Revenue'!N:N,0)</f>
        <v>0</v>
      </c>
      <c r="AC608" s="3">
        <v>0.0</v>
      </c>
      <c r="AD608" s="3">
        <v>0.0</v>
      </c>
      <c r="AE608" s="3">
        <v>0.0</v>
      </c>
      <c r="AF608" s="3">
        <v>0.0</v>
      </c>
      <c r="AG608" s="3">
        <v>0.0</v>
      </c>
    </row>
    <row r="609">
      <c r="A609" s="3" t="s">
        <v>1463</v>
      </c>
      <c r="B609" s="3" t="s">
        <v>1464</v>
      </c>
      <c r="C609" s="3" t="str">
        <f t="shared" si="1"/>
        <v>PT. Indo Makmur Sentosa</v>
      </c>
      <c r="D609" s="3" t="s">
        <v>195</v>
      </c>
      <c r="E609" s="3" t="s">
        <v>215</v>
      </c>
      <c r="F609" s="3" t="s">
        <v>300</v>
      </c>
      <c r="G609" s="3" t="s">
        <v>74</v>
      </c>
      <c r="H609" s="3" t="str">
        <f t="array" ref="H609">XLOOKUP(G:G,'Account Manager Data'!A:A,'Account Manager Data'!B:B,0)</f>
        <v>Budi Santoso</v>
      </c>
      <c r="I609" s="11" t="str">
        <f t="array" ref="I609">XLOOKUP($G:$G,'Account Manager Data'!$A:$A,'Account Manager Data'!C:C)</f>
        <v>Papua</v>
      </c>
      <c r="J609" s="17">
        <v>1204802.0</v>
      </c>
      <c r="K609" s="17">
        <v>2674674.0</v>
      </c>
      <c r="L609" s="17">
        <v>8290711.0</v>
      </c>
      <c r="M609" s="17">
        <v>7559269.0</v>
      </c>
      <c r="N609" s="17">
        <v>1.2326865E7</v>
      </c>
      <c r="O609" s="17">
        <v>5529371.0</v>
      </c>
      <c r="P609" s="17">
        <v>8827158.0</v>
      </c>
      <c r="Q609" s="17">
        <v>5921061.0</v>
      </c>
      <c r="R609" s="17">
        <v>3141510.0</v>
      </c>
      <c r="S609" s="17">
        <v>1.4085686E7</v>
      </c>
      <c r="T609" s="17">
        <v>455014.0</v>
      </c>
      <c r="U609" s="17">
        <v>3824962.0</v>
      </c>
      <c r="V609" s="11">
        <f t="array" ref="V609">XLOOKUP(A:A,'Raw Revenue'!A:A,'Raw Revenue'!B:B,0)
</f>
        <v>0</v>
      </c>
      <c r="W609" s="11">
        <f t="array" ref="W609">XLOOKUP(A:A,'Raw Revenue'!C:C,'Raw Revenue'!D:D,0)</f>
        <v>0</v>
      </c>
      <c r="X609" s="11">
        <f t="array" ref="X609">XLOOKUP(A:A,'Raw Revenue'!E:E,'Raw Revenue'!F:F,0)</f>
        <v>0</v>
      </c>
      <c r="Y609" s="11">
        <f t="array" ref="Y609">XLOOKUP(A:A,'Raw Revenue'!G:G,'Raw Revenue'!H:H,0)</f>
        <v>0</v>
      </c>
      <c r="Z609" s="11">
        <f t="array" ref="Z609">XLOOKUP(A:A,'Raw Revenue'!I:I,'Raw Revenue'!J:J,0)</f>
        <v>0</v>
      </c>
      <c r="AA609" s="11">
        <f t="array" ref="AA609">XLOOKUP(A:A,'Raw Revenue'!K:K,'Raw Revenue'!L:L,0)</f>
        <v>0</v>
      </c>
      <c r="AB609" s="11">
        <f t="array" ref="AB609">XLOOKUP(A:A,'Raw Revenue'!M:M,'Raw Revenue'!N:N,0)</f>
        <v>0</v>
      </c>
      <c r="AC609" s="3">
        <v>0.0</v>
      </c>
      <c r="AD609" s="3">
        <v>0.0</v>
      </c>
      <c r="AE609" s="3">
        <v>0.0</v>
      </c>
      <c r="AF609" s="3">
        <v>0.0</v>
      </c>
      <c r="AG609" s="3">
        <v>0.0</v>
      </c>
    </row>
    <row r="610">
      <c r="A610" s="3" t="s">
        <v>1465</v>
      </c>
      <c r="B610" s="3" t="s">
        <v>1466</v>
      </c>
      <c r="C610" s="3" t="str">
        <f t="shared" si="1"/>
        <v>PT. Citra Mandiri Utama</v>
      </c>
      <c r="D610" s="3" t="s">
        <v>214</v>
      </c>
      <c r="E610" s="3" t="s">
        <v>187</v>
      </c>
      <c r="F610" s="3" t="s">
        <v>269</v>
      </c>
      <c r="G610" s="3" t="s">
        <v>43</v>
      </c>
      <c r="H610" s="3" t="str">
        <f t="array" ref="H610">XLOOKUP(G:G,'Account Manager Data'!A:A,'Account Manager Data'!B:B,0)</f>
        <v>Eko Prasetyo</v>
      </c>
      <c r="I610" s="11" t="str">
        <f t="array" ref="I610">XLOOKUP($G:$G,'Account Manager Data'!$A:$A,'Account Manager Data'!C:C)</f>
        <v>Papua</v>
      </c>
      <c r="J610" s="17">
        <v>3782219.0</v>
      </c>
      <c r="K610" s="17">
        <v>6408884.0</v>
      </c>
      <c r="L610" s="17">
        <v>7359629.0</v>
      </c>
      <c r="M610" s="17">
        <v>6486798.0</v>
      </c>
      <c r="N610" s="17">
        <v>7214623.0</v>
      </c>
      <c r="O610" s="17">
        <v>1368457.0</v>
      </c>
      <c r="P610" s="17">
        <v>9433730.0</v>
      </c>
      <c r="Q610" s="17">
        <v>5685502.0</v>
      </c>
      <c r="R610" s="17">
        <v>8867427.0</v>
      </c>
      <c r="S610" s="17">
        <v>5466185.0</v>
      </c>
      <c r="T610" s="17">
        <v>9623959.0</v>
      </c>
      <c r="U610" s="17">
        <v>5144571.0</v>
      </c>
      <c r="V610" s="11">
        <f t="array" ref="V610">XLOOKUP(A:A,'Raw Revenue'!A:A,'Raw Revenue'!B:B,0)
</f>
        <v>0</v>
      </c>
      <c r="W610" s="11">
        <f t="array" ref="W610">XLOOKUP(A:A,'Raw Revenue'!C:C,'Raw Revenue'!D:D,0)</f>
        <v>0</v>
      </c>
      <c r="X610" s="11">
        <f t="array" ref="X610">XLOOKUP(A:A,'Raw Revenue'!E:E,'Raw Revenue'!F:F,0)</f>
        <v>0</v>
      </c>
      <c r="Y610" s="11">
        <f t="array" ref="Y610">XLOOKUP(A:A,'Raw Revenue'!G:G,'Raw Revenue'!H:H,0)</f>
        <v>0</v>
      </c>
      <c r="Z610" s="11">
        <f t="array" ref="Z610">XLOOKUP(A:A,'Raw Revenue'!I:I,'Raw Revenue'!J:J,0)</f>
        <v>0</v>
      </c>
      <c r="AA610" s="11">
        <f t="array" ref="AA610">XLOOKUP(A:A,'Raw Revenue'!K:K,'Raw Revenue'!L:L,0)</f>
        <v>0</v>
      </c>
      <c r="AB610" s="11">
        <f t="array" ref="AB610">XLOOKUP(A:A,'Raw Revenue'!M:M,'Raw Revenue'!N:N,0)</f>
        <v>0</v>
      </c>
      <c r="AC610" s="3">
        <v>0.0</v>
      </c>
      <c r="AD610" s="3">
        <v>0.0</v>
      </c>
      <c r="AE610" s="3">
        <v>0.0</v>
      </c>
      <c r="AF610" s="3">
        <v>0.0</v>
      </c>
      <c r="AG610" s="3">
        <v>0.0</v>
      </c>
    </row>
    <row r="611">
      <c r="A611" s="3" t="s">
        <v>1467</v>
      </c>
      <c r="B611" s="3" t="s">
        <v>1468</v>
      </c>
      <c r="C611" s="3" t="str">
        <f t="shared" si="1"/>
        <v>PT. Sinar Dunia Baru</v>
      </c>
      <c r="D611" s="3" t="s">
        <v>130</v>
      </c>
      <c r="E611" s="3" t="s">
        <v>104</v>
      </c>
      <c r="F611" s="3" t="s">
        <v>252</v>
      </c>
      <c r="G611" s="3" t="s">
        <v>76</v>
      </c>
      <c r="H611" s="3" t="str">
        <f t="array" ref="H611">XLOOKUP(G:G,'Account Manager Data'!A:A,'Account Manager Data'!B:B,0)</f>
        <v>Teguh Wijaya</v>
      </c>
      <c r="I611" s="11" t="str">
        <f t="array" ref="I611">XLOOKUP($G:$G,'Account Manager Data'!$A:$A,'Account Manager Data'!C:C)</f>
        <v>Sulawesi</v>
      </c>
      <c r="J611" s="17">
        <v>5493042.0</v>
      </c>
      <c r="K611" s="17">
        <v>1434221.0</v>
      </c>
      <c r="L611" s="17">
        <v>2199988.0</v>
      </c>
      <c r="M611" s="17">
        <v>6926496.0</v>
      </c>
      <c r="N611" s="17">
        <v>8316026.0</v>
      </c>
      <c r="O611" s="17">
        <v>1.0035981E7</v>
      </c>
      <c r="P611" s="17">
        <v>0.0</v>
      </c>
      <c r="Q611" s="17">
        <v>1.3110878E7</v>
      </c>
      <c r="R611" s="17">
        <v>5441878.0</v>
      </c>
      <c r="S611" s="17">
        <v>3758890.0</v>
      </c>
      <c r="T611" s="17">
        <v>0.0</v>
      </c>
      <c r="U611" s="17">
        <v>4615816.0</v>
      </c>
      <c r="V611" s="11">
        <f t="array" ref="V611">XLOOKUP(A:A,'Raw Revenue'!A:A,'Raw Revenue'!B:B,0)
</f>
        <v>0</v>
      </c>
      <c r="W611" s="11">
        <f t="array" ref="W611">XLOOKUP(A:A,'Raw Revenue'!C:C,'Raw Revenue'!D:D,0)</f>
        <v>0</v>
      </c>
      <c r="X611" s="11">
        <f t="array" ref="X611">XLOOKUP(A:A,'Raw Revenue'!E:E,'Raw Revenue'!F:F,0)</f>
        <v>0</v>
      </c>
      <c r="Y611" s="11">
        <f t="array" ref="Y611">XLOOKUP(A:A,'Raw Revenue'!G:G,'Raw Revenue'!H:H,0)</f>
        <v>0</v>
      </c>
      <c r="Z611" s="11">
        <f t="array" ref="Z611">XLOOKUP(A:A,'Raw Revenue'!I:I,'Raw Revenue'!J:J,0)</f>
        <v>0</v>
      </c>
      <c r="AA611" s="11">
        <f t="array" ref="AA611">XLOOKUP(A:A,'Raw Revenue'!K:K,'Raw Revenue'!L:L,0)</f>
        <v>0</v>
      </c>
      <c r="AB611" s="11">
        <f t="array" ref="AB611">XLOOKUP(A:A,'Raw Revenue'!M:M,'Raw Revenue'!N:N,0)</f>
        <v>0</v>
      </c>
      <c r="AC611" s="3">
        <v>0.0</v>
      </c>
      <c r="AD611" s="3">
        <v>0.0</v>
      </c>
      <c r="AE611" s="3">
        <v>0.0</v>
      </c>
      <c r="AF611" s="3">
        <v>0.0</v>
      </c>
      <c r="AG611" s="3">
        <v>0.0</v>
      </c>
    </row>
    <row r="612">
      <c r="A612" s="3" t="s">
        <v>1469</v>
      </c>
      <c r="B612" s="3" t="s">
        <v>1470</v>
      </c>
      <c r="C612" s="3" t="str">
        <f t="shared" si="1"/>
        <v>CV. Karya Utama Mandiri</v>
      </c>
      <c r="D612" s="3" t="s">
        <v>130</v>
      </c>
      <c r="E612" s="3" t="s">
        <v>215</v>
      </c>
      <c r="F612" s="3" t="s">
        <v>300</v>
      </c>
      <c r="G612" s="3" t="s">
        <v>70</v>
      </c>
      <c r="H612" s="3" t="str">
        <f t="array" ref="H612">XLOOKUP(G:G,'Account Manager Data'!A:A,'Account Manager Data'!B:B,0)</f>
        <v>Yusuf Hidayat</v>
      </c>
      <c r="I612" s="11" t="str">
        <f t="array" ref="I612">XLOOKUP($G:$G,'Account Manager Data'!$A:$A,'Account Manager Data'!C:C)</f>
        <v>Sumatera</v>
      </c>
      <c r="J612" s="17">
        <v>7306221.0</v>
      </c>
      <c r="K612" s="17">
        <v>8260857.0</v>
      </c>
      <c r="L612" s="17">
        <v>1.0642193E7</v>
      </c>
      <c r="M612" s="17">
        <v>1.0763585E7</v>
      </c>
      <c r="N612" s="17">
        <v>9779137.0</v>
      </c>
      <c r="O612" s="17">
        <v>5946977.0</v>
      </c>
      <c r="P612" s="17">
        <v>8826255.0</v>
      </c>
      <c r="Q612" s="17">
        <v>0.0</v>
      </c>
      <c r="R612" s="17">
        <v>2970339.0</v>
      </c>
      <c r="S612" s="17">
        <v>4895592.0</v>
      </c>
      <c r="T612" s="17">
        <v>0.0</v>
      </c>
      <c r="U612" s="17">
        <v>1.1453563E7</v>
      </c>
      <c r="V612" s="11">
        <f t="array" ref="V612">XLOOKUP(A:A,'Raw Revenue'!A:A,'Raw Revenue'!B:B,0)
</f>
        <v>0</v>
      </c>
      <c r="W612" s="11">
        <f t="array" ref="W612">XLOOKUP(A:A,'Raw Revenue'!C:C,'Raw Revenue'!D:D,0)</f>
        <v>0</v>
      </c>
      <c r="X612" s="11">
        <f t="array" ref="X612">XLOOKUP(A:A,'Raw Revenue'!E:E,'Raw Revenue'!F:F,0)</f>
        <v>0</v>
      </c>
      <c r="Y612" s="11">
        <f t="array" ref="Y612">XLOOKUP(A:A,'Raw Revenue'!G:G,'Raw Revenue'!H:H,0)</f>
        <v>0</v>
      </c>
      <c r="Z612" s="11">
        <f t="array" ref="Z612">XLOOKUP(A:A,'Raw Revenue'!I:I,'Raw Revenue'!J:J,0)</f>
        <v>0</v>
      </c>
      <c r="AA612" s="11">
        <f t="array" ref="AA612">XLOOKUP(A:A,'Raw Revenue'!K:K,'Raw Revenue'!L:L,0)</f>
        <v>0</v>
      </c>
      <c r="AB612" s="11">
        <f t="array" ref="AB612">XLOOKUP(A:A,'Raw Revenue'!M:M,'Raw Revenue'!N:N,0)</f>
        <v>0</v>
      </c>
      <c r="AC612" s="3">
        <v>0.0</v>
      </c>
      <c r="AD612" s="3">
        <v>0.0</v>
      </c>
      <c r="AE612" s="3">
        <v>0.0</v>
      </c>
      <c r="AF612" s="3">
        <v>0.0</v>
      </c>
      <c r="AG612" s="3">
        <v>0.0</v>
      </c>
    </row>
    <row r="613">
      <c r="A613" s="3" t="s">
        <v>1471</v>
      </c>
      <c r="B613" s="3" t="s">
        <v>1472</v>
      </c>
      <c r="C613" s="3" t="str">
        <f t="shared" si="1"/>
        <v>PT. Pratama Jaya Sentosa</v>
      </c>
      <c r="D613" s="3" t="s">
        <v>195</v>
      </c>
      <c r="E613" s="3" t="s">
        <v>215</v>
      </c>
      <c r="F613" s="3" t="s">
        <v>300</v>
      </c>
      <c r="G613" s="3" t="s">
        <v>15</v>
      </c>
      <c r="H613" s="3" t="str">
        <f t="array" ref="H613">XLOOKUP(G:G,'Account Manager Data'!A:A,'Account Manager Data'!B:B,0)</f>
        <v>Rizky Maulana</v>
      </c>
      <c r="I613" s="11" t="str">
        <f t="array" ref="I613">XLOOKUP($G:$G,'Account Manager Data'!$A:$A,'Account Manager Data'!C:C)</f>
        <v>Jawa</v>
      </c>
      <c r="J613" s="17">
        <v>5906022.0</v>
      </c>
      <c r="K613" s="17">
        <v>1150598.0</v>
      </c>
      <c r="L613" s="17">
        <v>1789219.0</v>
      </c>
      <c r="M613" s="17">
        <v>2193895.0</v>
      </c>
      <c r="N613" s="17">
        <v>6518462.0</v>
      </c>
      <c r="O613" s="17">
        <v>1.3416592E7</v>
      </c>
      <c r="P613" s="17">
        <v>9292313.0</v>
      </c>
      <c r="Q613" s="17">
        <v>2899246.0</v>
      </c>
      <c r="R613" s="17">
        <v>6026349.0</v>
      </c>
      <c r="S613" s="17">
        <v>5248133.0</v>
      </c>
      <c r="T613" s="17">
        <v>3420213.0</v>
      </c>
      <c r="U613" s="17">
        <v>60913.0</v>
      </c>
      <c r="V613" s="11">
        <f t="array" ref="V613">XLOOKUP(A:A,'Raw Revenue'!A:A,'Raw Revenue'!B:B,0)
</f>
        <v>0</v>
      </c>
      <c r="W613" s="11">
        <f t="array" ref="W613">XLOOKUP(A:A,'Raw Revenue'!C:C,'Raw Revenue'!D:D,0)</f>
        <v>0</v>
      </c>
      <c r="X613" s="11">
        <f t="array" ref="X613">XLOOKUP(A:A,'Raw Revenue'!E:E,'Raw Revenue'!F:F,0)</f>
        <v>0</v>
      </c>
      <c r="Y613" s="11">
        <f t="array" ref="Y613">XLOOKUP(A:A,'Raw Revenue'!G:G,'Raw Revenue'!H:H,0)</f>
        <v>0</v>
      </c>
      <c r="Z613" s="11">
        <f t="array" ref="Z613">XLOOKUP(A:A,'Raw Revenue'!I:I,'Raw Revenue'!J:J,0)</f>
        <v>0</v>
      </c>
      <c r="AA613" s="11">
        <f t="array" ref="AA613">XLOOKUP(A:A,'Raw Revenue'!K:K,'Raw Revenue'!L:L,0)</f>
        <v>0</v>
      </c>
      <c r="AB613" s="11">
        <f t="array" ref="AB613">XLOOKUP(A:A,'Raw Revenue'!M:M,'Raw Revenue'!N:N,0)</f>
        <v>0</v>
      </c>
      <c r="AC613" s="3">
        <v>0.0</v>
      </c>
      <c r="AD613" s="3">
        <v>0.0</v>
      </c>
      <c r="AE613" s="3">
        <v>0.0</v>
      </c>
      <c r="AF613" s="3">
        <v>0.0</v>
      </c>
      <c r="AG613" s="3">
        <v>0.0</v>
      </c>
    </row>
    <row r="614">
      <c r="A614" s="3" t="s">
        <v>1473</v>
      </c>
      <c r="B614" s="3" t="s">
        <v>1474</v>
      </c>
      <c r="C614" s="3" t="str">
        <f t="shared" si="1"/>
        <v>PT. Abadi Selamanya Jaya</v>
      </c>
      <c r="D614" s="3" t="s">
        <v>195</v>
      </c>
      <c r="E614" s="3" t="s">
        <v>85</v>
      </c>
      <c r="F614" s="3" t="s">
        <v>248</v>
      </c>
      <c r="G614" s="3" t="s">
        <v>53</v>
      </c>
      <c r="H614" s="3" t="str">
        <f t="array" ref="H614">XLOOKUP(G:G,'Account Manager Data'!A:A,'Account Manager Data'!B:B,0)</f>
        <v>Fajar Ramadhan</v>
      </c>
      <c r="I614" s="11" t="str">
        <f t="array" ref="I614">XLOOKUP($G:$G,'Account Manager Data'!$A:$A,'Account Manager Data'!C:C)</f>
        <v>Sulawesi</v>
      </c>
      <c r="J614" s="17">
        <v>7091204.0</v>
      </c>
      <c r="K614" s="17">
        <v>139060.0</v>
      </c>
      <c r="L614" s="17">
        <v>6686877.0</v>
      </c>
      <c r="M614" s="17">
        <v>3544743.0</v>
      </c>
      <c r="N614" s="17">
        <v>5495477.0</v>
      </c>
      <c r="O614" s="17">
        <v>2938493.0</v>
      </c>
      <c r="P614" s="17">
        <v>1.4367895E7</v>
      </c>
      <c r="Q614" s="17">
        <v>0.0</v>
      </c>
      <c r="R614" s="17">
        <v>1.4022448E7</v>
      </c>
      <c r="S614" s="17">
        <v>0.0</v>
      </c>
      <c r="T614" s="17">
        <v>7557579.0</v>
      </c>
      <c r="U614" s="17">
        <v>0.0</v>
      </c>
      <c r="V614" s="11">
        <f t="array" ref="V614">XLOOKUP(A:A,'Raw Revenue'!A:A,'Raw Revenue'!B:B,0)
</f>
        <v>0</v>
      </c>
      <c r="W614" s="11">
        <f t="array" ref="W614">XLOOKUP(A:A,'Raw Revenue'!C:C,'Raw Revenue'!D:D,0)</f>
        <v>0</v>
      </c>
      <c r="X614" s="11">
        <f t="array" ref="X614">XLOOKUP(A:A,'Raw Revenue'!E:E,'Raw Revenue'!F:F,0)</f>
        <v>0</v>
      </c>
      <c r="Y614" s="11">
        <f t="array" ref="Y614">XLOOKUP(A:A,'Raw Revenue'!G:G,'Raw Revenue'!H:H,0)</f>
        <v>0</v>
      </c>
      <c r="Z614" s="11">
        <f t="array" ref="Z614">XLOOKUP(A:A,'Raw Revenue'!I:I,'Raw Revenue'!J:J,0)</f>
        <v>0</v>
      </c>
      <c r="AA614" s="11">
        <f t="array" ref="AA614">XLOOKUP(A:A,'Raw Revenue'!K:K,'Raw Revenue'!L:L,0)</f>
        <v>0</v>
      </c>
      <c r="AB614" s="11">
        <f t="array" ref="AB614">XLOOKUP(A:A,'Raw Revenue'!M:M,'Raw Revenue'!N:N,0)</f>
        <v>0</v>
      </c>
      <c r="AC614" s="3">
        <v>0.0</v>
      </c>
      <c r="AD614" s="3">
        <v>0.0</v>
      </c>
      <c r="AE614" s="3">
        <v>0.0</v>
      </c>
      <c r="AF614" s="3">
        <v>0.0</v>
      </c>
      <c r="AG614" s="3">
        <v>0.0</v>
      </c>
    </row>
    <row r="615">
      <c r="A615" s="3" t="s">
        <v>1475</v>
      </c>
      <c r="B615" s="3" t="s">
        <v>1476</v>
      </c>
      <c r="C615" s="3" t="str">
        <f t="shared" si="1"/>
        <v>PT. Mandiri Sejahtera Bersama</v>
      </c>
      <c r="D615" s="3" t="s">
        <v>84</v>
      </c>
      <c r="E615" s="3" t="s">
        <v>187</v>
      </c>
      <c r="F615" s="3" t="s">
        <v>295</v>
      </c>
      <c r="G615" s="3" t="s">
        <v>27</v>
      </c>
      <c r="H615" s="3" t="str">
        <f t="array" ref="H615">XLOOKUP(G:G,'Account Manager Data'!A:A,'Account Manager Data'!B:B,0)</f>
        <v>Dedi Kurniawan</v>
      </c>
      <c r="I615" s="11" t="str">
        <f t="array" ref="I615">XLOOKUP($G:$G,'Account Manager Data'!$A:$A,'Account Manager Data'!C:C)</f>
        <v>Kalimantan</v>
      </c>
      <c r="J615" s="17">
        <v>4772635.0</v>
      </c>
      <c r="K615" s="17">
        <v>1146757.0</v>
      </c>
      <c r="L615" s="17">
        <v>7269364.0</v>
      </c>
      <c r="M615" s="17">
        <v>0.0</v>
      </c>
      <c r="N615" s="17">
        <v>9484062.0</v>
      </c>
      <c r="O615" s="17">
        <v>8352707.0</v>
      </c>
      <c r="P615" s="17">
        <v>1840410.0</v>
      </c>
      <c r="Q615" s="17">
        <v>8887353.0</v>
      </c>
      <c r="R615" s="17">
        <v>7270163.0</v>
      </c>
      <c r="S615" s="17">
        <v>1.1774785E7</v>
      </c>
      <c r="T615" s="17">
        <v>1.8071171E7</v>
      </c>
      <c r="U615" s="17">
        <v>1.4126621E7</v>
      </c>
      <c r="V615" s="11">
        <f t="array" ref="V615">XLOOKUP(A:A,'Raw Revenue'!A:A,'Raw Revenue'!B:B,0)
</f>
        <v>0</v>
      </c>
      <c r="W615" s="11">
        <f t="array" ref="W615">XLOOKUP(A:A,'Raw Revenue'!C:C,'Raw Revenue'!D:D,0)</f>
        <v>0</v>
      </c>
      <c r="X615" s="11">
        <f t="array" ref="X615">XLOOKUP(A:A,'Raw Revenue'!E:E,'Raw Revenue'!F:F,0)</f>
        <v>0</v>
      </c>
      <c r="Y615" s="11">
        <f t="array" ref="Y615">XLOOKUP(A:A,'Raw Revenue'!G:G,'Raw Revenue'!H:H,0)</f>
        <v>0</v>
      </c>
      <c r="Z615" s="11">
        <f t="array" ref="Z615">XLOOKUP(A:A,'Raw Revenue'!I:I,'Raw Revenue'!J:J,0)</f>
        <v>0</v>
      </c>
      <c r="AA615" s="11">
        <f t="array" ref="AA615">XLOOKUP(A:A,'Raw Revenue'!K:K,'Raw Revenue'!L:L,0)</f>
        <v>0</v>
      </c>
      <c r="AB615" s="11">
        <f t="array" ref="AB615">XLOOKUP(A:A,'Raw Revenue'!M:M,'Raw Revenue'!N:N,0)</f>
        <v>0</v>
      </c>
      <c r="AC615" s="3">
        <v>0.0</v>
      </c>
      <c r="AD615" s="3">
        <v>0.0</v>
      </c>
      <c r="AE615" s="3">
        <v>0.0</v>
      </c>
      <c r="AF615" s="3">
        <v>0.0</v>
      </c>
      <c r="AG615" s="3">
        <v>0.0</v>
      </c>
    </row>
    <row r="616">
      <c r="A616" s="3" t="s">
        <v>424</v>
      </c>
      <c r="B616" s="3" t="s">
        <v>1477</v>
      </c>
      <c r="C616" s="3" t="str">
        <f t="shared" si="1"/>
        <v>PT. Sejahtera Alam Indonesia</v>
      </c>
      <c r="D616" s="3" t="s">
        <v>103</v>
      </c>
      <c r="E616" s="3" t="s">
        <v>215</v>
      </c>
      <c r="F616" s="3" t="s">
        <v>216</v>
      </c>
      <c r="G616" s="3" t="s">
        <v>78</v>
      </c>
      <c r="H616" s="3" t="str">
        <f t="array" ref="H616">XLOOKUP(G:G,'Account Manager Data'!A:A,'Account Manager Data'!B:B,0)</f>
        <v>Ilham Saputra</v>
      </c>
      <c r="I616" s="11" t="str">
        <f t="array" ref="I616">XLOOKUP($G:$G,'Account Manager Data'!$A:$A,'Account Manager Data'!C:C)</f>
        <v>Jawa</v>
      </c>
      <c r="J616" s="17">
        <v>7342786.0</v>
      </c>
      <c r="K616" s="17">
        <v>3487208.0</v>
      </c>
      <c r="L616" s="17">
        <v>5603580.0</v>
      </c>
      <c r="M616" s="17">
        <v>978539.0</v>
      </c>
      <c r="N616" s="17">
        <v>9036190.0</v>
      </c>
      <c r="O616" s="17">
        <v>0.0</v>
      </c>
      <c r="P616" s="17">
        <v>1.2634802E7</v>
      </c>
      <c r="Q616" s="17">
        <v>8475178.0</v>
      </c>
      <c r="R616" s="17">
        <v>180968.0</v>
      </c>
      <c r="S616" s="17">
        <v>1.0455471E7</v>
      </c>
      <c r="T616" s="17">
        <v>1.8942269E7</v>
      </c>
      <c r="U616" s="17">
        <v>1.5223928E7</v>
      </c>
      <c r="V616" s="11">
        <f t="array" ref="V616">XLOOKUP(A:A,'Raw Revenue'!A:A,'Raw Revenue'!B:B,0)
</f>
        <v>1071078.351</v>
      </c>
      <c r="W616" s="11">
        <f t="array" ref="W616">XLOOKUP(A:A,'Raw Revenue'!C:C,'Raw Revenue'!D:D,0)</f>
        <v>535539.1753</v>
      </c>
      <c r="X616" s="11">
        <f t="array" ref="X616">XLOOKUP(A:A,'Raw Revenue'!E:E,'Raw Revenue'!F:F,0)</f>
        <v>321323.5052</v>
      </c>
      <c r="Y616" s="11">
        <f t="array" ref="Y616">XLOOKUP(A:A,'Raw Revenue'!G:G,'Raw Revenue'!H:H,0)</f>
        <v>3748774.227</v>
      </c>
      <c r="Z616" s="11">
        <f t="array" ref="Z616">XLOOKUP(A:A,'Raw Revenue'!I:I,'Raw Revenue'!J:J,0)</f>
        <v>856862.6805</v>
      </c>
      <c r="AA616" s="11">
        <f t="array" ref="AA616">XLOOKUP(A:A,'Raw Revenue'!K:K,'Raw Revenue'!L:L,0)</f>
        <v>24099.26289</v>
      </c>
      <c r="AB616" s="11">
        <f t="array" ref="AB616">XLOOKUP(A:A,'Raw Revenue'!M:M,'Raw Revenue'!N:N,0)</f>
        <v>3229301.227</v>
      </c>
      <c r="AC616" s="3">
        <v>0.0</v>
      </c>
      <c r="AD616" s="3">
        <v>0.0</v>
      </c>
      <c r="AE616" s="3">
        <v>0.0</v>
      </c>
      <c r="AF616" s="3">
        <v>0.0</v>
      </c>
      <c r="AG616" s="3">
        <v>0.0</v>
      </c>
    </row>
    <row r="617">
      <c r="A617" s="3" t="s">
        <v>1478</v>
      </c>
      <c r="B617" s="3" t="s">
        <v>1479</v>
      </c>
      <c r="C617" s="3" t="str">
        <f t="shared" si="1"/>
        <v>PT. Indah Kargo Logistik</v>
      </c>
      <c r="D617" s="3" t="s">
        <v>84</v>
      </c>
      <c r="E617" s="3" t="s">
        <v>196</v>
      </c>
      <c r="F617" s="3" t="s">
        <v>260</v>
      </c>
      <c r="G617" s="3" t="s">
        <v>63</v>
      </c>
      <c r="H617" s="3" t="str">
        <f t="array" ref="H617">XLOOKUP(G:G,'Account Manager Data'!A:A,'Account Manager Data'!B:B,0)</f>
        <v>Hendra Gunawan</v>
      </c>
      <c r="I617" s="11" t="str">
        <f t="array" ref="I617">XLOOKUP($G:$G,'Account Manager Data'!$A:$A,'Account Manager Data'!C:C)</f>
        <v>Kalimantan</v>
      </c>
      <c r="J617" s="17">
        <v>6832695.0</v>
      </c>
      <c r="K617" s="17">
        <v>1815827.0</v>
      </c>
      <c r="L617" s="17">
        <v>1.0404315E7</v>
      </c>
      <c r="M617" s="17">
        <v>7774389.0</v>
      </c>
      <c r="N617" s="17">
        <v>1.2604081E7</v>
      </c>
      <c r="O617" s="17">
        <v>4005288.0</v>
      </c>
      <c r="P617" s="17">
        <v>8286297.0</v>
      </c>
      <c r="Q617" s="17">
        <v>8459279.0</v>
      </c>
      <c r="R617" s="17">
        <v>4292524.0</v>
      </c>
      <c r="S617" s="17">
        <v>2667790.0</v>
      </c>
      <c r="T617" s="17">
        <v>8554880.0</v>
      </c>
      <c r="U617" s="17">
        <v>0.0</v>
      </c>
      <c r="V617" s="11">
        <f t="array" ref="V617">XLOOKUP(A:A,'Raw Revenue'!A:A,'Raw Revenue'!B:B,0)
</f>
        <v>0</v>
      </c>
      <c r="W617" s="11">
        <f t="array" ref="W617">XLOOKUP(A:A,'Raw Revenue'!C:C,'Raw Revenue'!D:D,0)</f>
        <v>0</v>
      </c>
      <c r="X617" s="11">
        <f t="array" ref="X617">XLOOKUP(A:A,'Raw Revenue'!E:E,'Raw Revenue'!F:F,0)</f>
        <v>0</v>
      </c>
      <c r="Y617" s="11">
        <f t="array" ref="Y617">XLOOKUP(A:A,'Raw Revenue'!G:G,'Raw Revenue'!H:H,0)</f>
        <v>0</v>
      </c>
      <c r="Z617" s="11">
        <f t="array" ref="Z617">XLOOKUP(A:A,'Raw Revenue'!I:I,'Raw Revenue'!J:J,0)</f>
        <v>0</v>
      </c>
      <c r="AA617" s="11">
        <f t="array" ref="AA617">XLOOKUP(A:A,'Raw Revenue'!K:K,'Raw Revenue'!L:L,0)</f>
        <v>0</v>
      </c>
      <c r="AB617" s="11">
        <f t="array" ref="AB617">XLOOKUP(A:A,'Raw Revenue'!M:M,'Raw Revenue'!N:N,0)</f>
        <v>0</v>
      </c>
      <c r="AC617" s="3">
        <v>0.0</v>
      </c>
      <c r="AD617" s="3">
        <v>0.0</v>
      </c>
      <c r="AE617" s="3">
        <v>0.0</v>
      </c>
      <c r="AF617" s="3">
        <v>0.0</v>
      </c>
      <c r="AG617" s="3">
        <v>0.0</v>
      </c>
    </row>
    <row r="618">
      <c r="A618" s="3" t="s">
        <v>1480</v>
      </c>
      <c r="B618" s="3" t="s">
        <v>1481</v>
      </c>
      <c r="C618" s="3" t="str">
        <f t="shared" si="1"/>
        <v>PT. Berkah Alam Semesta</v>
      </c>
      <c r="D618" s="3" t="s">
        <v>195</v>
      </c>
      <c r="E618" s="3" t="s">
        <v>196</v>
      </c>
      <c r="F618" s="3" t="s">
        <v>260</v>
      </c>
      <c r="G618" s="3" t="s">
        <v>35</v>
      </c>
      <c r="H618" s="3" t="str">
        <f t="array" ref="H618">XLOOKUP(G:G,'Account Manager Data'!A:A,'Account Manager Data'!B:B,0)</f>
        <v>Ahmad Fauzi</v>
      </c>
      <c r="I618" s="11" t="str">
        <f t="array" ref="I618">XLOOKUP($G:$G,'Account Manager Data'!$A:$A,'Account Manager Data'!C:C)</f>
        <v>Sumatera</v>
      </c>
      <c r="J618" s="17">
        <v>3097407.0</v>
      </c>
      <c r="K618" s="17">
        <v>1801217.0</v>
      </c>
      <c r="L618" s="17">
        <v>8521341.0</v>
      </c>
      <c r="M618" s="17">
        <v>2758162.0</v>
      </c>
      <c r="N618" s="17">
        <v>4546647.0</v>
      </c>
      <c r="O618" s="17">
        <v>8899258.0</v>
      </c>
      <c r="P618" s="17">
        <v>1.3184909E7</v>
      </c>
      <c r="Q618" s="17">
        <v>2454105.0</v>
      </c>
      <c r="R618" s="17">
        <v>4400301.0</v>
      </c>
      <c r="S618" s="17">
        <v>986553.0</v>
      </c>
      <c r="T618" s="17">
        <v>6945441.0</v>
      </c>
      <c r="U618" s="17">
        <v>1659686.0</v>
      </c>
      <c r="V618" s="11">
        <f t="array" ref="V618">XLOOKUP(A:A,'Raw Revenue'!A:A,'Raw Revenue'!B:B,0)
</f>
        <v>0</v>
      </c>
      <c r="W618" s="11">
        <f t="array" ref="W618">XLOOKUP(A:A,'Raw Revenue'!C:C,'Raw Revenue'!D:D,0)</f>
        <v>0</v>
      </c>
      <c r="X618" s="11">
        <f t="array" ref="X618">XLOOKUP(A:A,'Raw Revenue'!E:E,'Raw Revenue'!F:F,0)</f>
        <v>0</v>
      </c>
      <c r="Y618" s="11">
        <f t="array" ref="Y618">XLOOKUP(A:A,'Raw Revenue'!G:G,'Raw Revenue'!H:H,0)</f>
        <v>0</v>
      </c>
      <c r="Z618" s="11">
        <f t="array" ref="Z618">XLOOKUP(A:A,'Raw Revenue'!I:I,'Raw Revenue'!J:J,0)</f>
        <v>0</v>
      </c>
      <c r="AA618" s="11">
        <f t="array" ref="AA618">XLOOKUP(A:A,'Raw Revenue'!K:K,'Raw Revenue'!L:L,0)</f>
        <v>0</v>
      </c>
      <c r="AB618" s="11">
        <f t="array" ref="AB618">XLOOKUP(A:A,'Raw Revenue'!M:M,'Raw Revenue'!N:N,0)</f>
        <v>0</v>
      </c>
      <c r="AC618" s="3">
        <v>0.0</v>
      </c>
      <c r="AD618" s="3">
        <v>0.0</v>
      </c>
      <c r="AE618" s="3">
        <v>0.0</v>
      </c>
      <c r="AF618" s="3">
        <v>0.0</v>
      </c>
      <c r="AG618" s="3">
        <v>0.0</v>
      </c>
    </row>
    <row r="619">
      <c r="A619" s="3" t="s">
        <v>1482</v>
      </c>
      <c r="B619" s="3" t="s">
        <v>1483</v>
      </c>
      <c r="C619" s="3" t="str">
        <f t="shared" si="1"/>
        <v>PT. Cahaya Baru Indonesia</v>
      </c>
      <c r="D619" s="3" t="s">
        <v>84</v>
      </c>
      <c r="E619" s="3" t="s">
        <v>215</v>
      </c>
      <c r="F619" s="3" t="s">
        <v>300</v>
      </c>
      <c r="G619" s="3" t="s">
        <v>43</v>
      </c>
      <c r="H619" s="3" t="str">
        <f t="array" ref="H619">XLOOKUP(G:G,'Account Manager Data'!A:A,'Account Manager Data'!B:B,0)</f>
        <v>Eko Prasetyo</v>
      </c>
      <c r="I619" s="11" t="str">
        <f t="array" ref="I619">XLOOKUP($G:$G,'Account Manager Data'!$A:$A,'Account Manager Data'!C:C)</f>
        <v>Papua</v>
      </c>
      <c r="J619" s="17">
        <v>6390935.0</v>
      </c>
      <c r="K619" s="17">
        <v>177525.0</v>
      </c>
      <c r="L619" s="17">
        <v>9411482.0</v>
      </c>
      <c r="M619" s="17">
        <v>2571966.0</v>
      </c>
      <c r="N619" s="17">
        <v>2995096.0</v>
      </c>
      <c r="O619" s="17">
        <v>3964443.0</v>
      </c>
      <c r="P619" s="17">
        <v>0.0</v>
      </c>
      <c r="Q619" s="17">
        <v>2351297.0</v>
      </c>
      <c r="R619" s="17">
        <v>1.2469615E7</v>
      </c>
      <c r="S619" s="17">
        <v>3452993.0</v>
      </c>
      <c r="T619" s="17">
        <v>3966281.0</v>
      </c>
      <c r="U619" s="17">
        <v>1.8993378E7</v>
      </c>
      <c r="V619" s="11">
        <f t="array" ref="V619">XLOOKUP(A:A,'Raw Revenue'!A:A,'Raw Revenue'!B:B,0)
</f>
        <v>0</v>
      </c>
      <c r="W619" s="11">
        <f t="array" ref="W619">XLOOKUP(A:A,'Raw Revenue'!C:C,'Raw Revenue'!D:D,0)</f>
        <v>0</v>
      </c>
      <c r="X619" s="11">
        <f t="array" ref="X619">XLOOKUP(A:A,'Raw Revenue'!E:E,'Raw Revenue'!F:F,0)</f>
        <v>0</v>
      </c>
      <c r="Y619" s="11">
        <f t="array" ref="Y619">XLOOKUP(A:A,'Raw Revenue'!G:G,'Raw Revenue'!H:H,0)</f>
        <v>0</v>
      </c>
      <c r="Z619" s="11">
        <f t="array" ref="Z619">XLOOKUP(A:A,'Raw Revenue'!I:I,'Raw Revenue'!J:J,0)</f>
        <v>0</v>
      </c>
      <c r="AA619" s="11">
        <f t="array" ref="AA619">XLOOKUP(A:A,'Raw Revenue'!K:K,'Raw Revenue'!L:L,0)</f>
        <v>0</v>
      </c>
      <c r="AB619" s="11">
        <f t="array" ref="AB619">XLOOKUP(A:A,'Raw Revenue'!M:M,'Raw Revenue'!N:N,0)</f>
        <v>0</v>
      </c>
      <c r="AC619" s="3">
        <v>0.0</v>
      </c>
      <c r="AD619" s="3">
        <v>0.0</v>
      </c>
      <c r="AE619" s="3">
        <v>0.0</v>
      </c>
      <c r="AF619" s="3">
        <v>0.0</v>
      </c>
      <c r="AG619" s="3">
        <v>0.0</v>
      </c>
    </row>
    <row r="620">
      <c r="A620" s="3" t="s">
        <v>1484</v>
      </c>
      <c r="B620" s="3" t="s">
        <v>1485</v>
      </c>
      <c r="C620" s="3" t="str">
        <f t="shared" si="1"/>
        <v>PT. Mentari Pagi Sejahtera</v>
      </c>
      <c r="D620" s="3" t="s">
        <v>195</v>
      </c>
      <c r="E620" s="3" t="s">
        <v>187</v>
      </c>
      <c r="F620" s="3" t="s">
        <v>295</v>
      </c>
      <c r="G620" s="3" t="s">
        <v>74</v>
      </c>
      <c r="H620" s="3" t="str">
        <f t="array" ref="H620">XLOOKUP(G:G,'Account Manager Data'!A:A,'Account Manager Data'!B:B,0)</f>
        <v>Budi Santoso</v>
      </c>
      <c r="I620" s="11" t="str">
        <f t="array" ref="I620">XLOOKUP($G:$G,'Account Manager Data'!$A:$A,'Account Manager Data'!C:C)</f>
        <v>Papua</v>
      </c>
      <c r="J620" s="17">
        <v>2120697.0</v>
      </c>
      <c r="K620" s="17">
        <v>3614822.0</v>
      </c>
      <c r="L620" s="17">
        <v>1097240.0</v>
      </c>
      <c r="M620" s="17">
        <v>5567813.0</v>
      </c>
      <c r="N620" s="17">
        <v>1.3037262E7</v>
      </c>
      <c r="O620" s="17">
        <v>9206408.0</v>
      </c>
      <c r="P620" s="17">
        <v>6512195.0</v>
      </c>
      <c r="Q620" s="17">
        <v>1.4975358E7</v>
      </c>
      <c r="R620" s="17">
        <v>1.1146624E7</v>
      </c>
      <c r="S620" s="17">
        <v>50311.0</v>
      </c>
      <c r="T620" s="17">
        <v>7222821.0</v>
      </c>
      <c r="U620" s="17">
        <v>1.7529462E7</v>
      </c>
      <c r="V620" s="11">
        <f t="array" ref="V620">XLOOKUP(A:A,'Raw Revenue'!A:A,'Raw Revenue'!B:B,0)
</f>
        <v>0</v>
      </c>
      <c r="W620" s="11">
        <f t="array" ref="W620">XLOOKUP(A:A,'Raw Revenue'!C:C,'Raw Revenue'!D:D,0)</f>
        <v>0</v>
      </c>
      <c r="X620" s="11">
        <f t="array" ref="X620">XLOOKUP(A:A,'Raw Revenue'!E:E,'Raw Revenue'!F:F,0)</f>
        <v>0</v>
      </c>
      <c r="Y620" s="11">
        <f t="array" ref="Y620">XLOOKUP(A:A,'Raw Revenue'!G:G,'Raw Revenue'!H:H,0)</f>
        <v>0</v>
      </c>
      <c r="Z620" s="11">
        <f t="array" ref="Z620">XLOOKUP(A:A,'Raw Revenue'!I:I,'Raw Revenue'!J:J,0)</f>
        <v>0</v>
      </c>
      <c r="AA620" s="11">
        <f t="array" ref="AA620">XLOOKUP(A:A,'Raw Revenue'!K:K,'Raw Revenue'!L:L,0)</f>
        <v>0</v>
      </c>
      <c r="AB620" s="11">
        <f t="array" ref="AB620">XLOOKUP(A:A,'Raw Revenue'!M:M,'Raw Revenue'!N:N,0)</f>
        <v>0</v>
      </c>
      <c r="AC620" s="3">
        <v>0.0</v>
      </c>
      <c r="AD620" s="3">
        <v>0.0</v>
      </c>
      <c r="AE620" s="3">
        <v>0.0</v>
      </c>
      <c r="AF620" s="3">
        <v>0.0</v>
      </c>
      <c r="AG620" s="3">
        <v>0.0</v>
      </c>
    </row>
    <row r="621">
      <c r="A621" s="3" t="s">
        <v>460</v>
      </c>
      <c r="B621" s="3" t="s">
        <v>1486</v>
      </c>
      <c r="C621" s="3" t="str">
        <f t="shared" si="1"/>
        <v>PT. Bintang Kejora Nusantara</v>
      </c>
      <c r="D621" s="3" t="s">
        <v>103</v>
      </c>
      <c r="E621" s="3" t="s">
        <v>187</v>
      </c>
      <c r="F621" s="3" t="s">
        <v>188</v>
      </c>
      <c r="G621" s="3" t="s">
        <v>76</v>
      </c>
      <c r="H621" s="3" t="str">
        <f t="array" ref="H621">XLOOKUP(G:G,'Account Manager Data'!A:A,'Account Manager Data'!B:B,0)</f>
        <v>Teguh Wijaya</v>
      </c>
      <c r="I621" s="11" t="str">
        <f t="array" ref="I621">XLOOKUP($G:$G,'Account Manager Data'!$A:$A,'Account Manager Data'!C:C)</f>
        <v>Sulawesi</v>
      </c>
      <c r="J621" s="17">
        <v>6553241.0</v>
      </c>
      <c r="K621" s="17">
        <v>8963152.0</v>
      </c>
      <c r="L621" s="17">
        <v>7946109.0</v>
      </c>
      <c r="M621" s="17">
        <v>0.0</v>
      </c>
      <c r="N621" s="17">
        <v>847308.0</v>
      </c>
      <c r="O621" s="17">
        <v>1.1158113E7</v>
      </c>
      <c r="P621" s="17">
        <v>9393570.0</v>
      </c>
      <c r="Q621" s="17">
        <v>1.1561493E7</v>
      </c>
      <c r="R621" s="17">
        <v>0.0</v>
      </c>
      <c r="S621" s="17">
        <v>2814341.0</v>
      </c>
      <c r="T621" s="17">
        <v>1.188E7</v>
      </c>
      <c r="U621" s="17">
        <v>1.5164629E7</v>
      </c>
      <c r="V621" s="11">
        <f t="array" ref="V621">XLOOKUP(A:A,'Raw Revenue'!A:A,'Raw Revenue'!B:B,0)
</f>
        <v>1265819.869</v>
      </c>
      <c r="W621" s="11">
        <f t="array" ref="W621">XLOOKUP(A:A,'Raw Revenue'!C:C,'Raw Revenue'!D:D,0)</f>
        <v>632909.9345</v>
      </c>
      <c r="X621" s="11">
        <f t="array" ref="X621">XLOOKUP(A:A,'Raw Revenue'!E:E,'Raw Revenue'!F:F,0)</f>
        <v>379745.9607</v>
      </c>
      <c r="Y621" s="11">
        <f t="array" ref="Y621">XLOOKUP(A:A,'Raw Revenue'!G:G,'Raw Revenue'!H:H,0)</f>
        <v>4430369.541</v>
      </c>
      <c r="Z621" s="11">
        <f t="array" ref="Z621">XLOOKUP(A:A,'Raw Revenue'!I:I,'Raw Revenue'!J:J,0)</f>
        <v>1012655.895</v>
      </c>
      <c r="AA621" s="11">
        <f t="array" ref="AA621">XLOOKUP(A:A,'Raw Revenue'!K:K,'Raw Revenue'!L:L,0)</f>
        <v>28480.94705</v>
      </c>
      <c r="AB621" s="11">
        <f t="array" ref="AB621">XLOOKUP(A:A,'Raw Revenue'!M:M,'Raw Revenue'!N:N,0)</f>
        <v>3816446.905</v>
      </c>
      <c r="AC621" s="3">
        <v>0.0</v>
      </c>
      <c r="AD621" s="3">
        <v>0.0</v>
      </c>
      <c r="AE621" s="3">
        <v>0.0</v>
      </c>
      <c r="AF621" s="3">
        <v>0.0</v>
      </c>
      <c r="AG621" s="3">
        <v>0.0</v>
      </c>
    </row>
    <row r="622">
      <c r="A622" s="3" t="s">
        <v>1487</v>
      </c>
      <c r="B622" s="3" t="s">
        <v>1488</v>
      </c>
      <c r="C622" s="3" t="str">
        <f t="shared" si="1"/>
        <v>PT. Maju Jaya</v>
      </c>
      <c r="D622" s="3" t="s">
        <v>130</v>
      </c>
      <c r="E622" s="3" t="s">
        <v>187</v>
      </c>
      <c r="F622" s="3" t="s">
        <v>295</v>
      </c>
      <c r="G622" s="3" t="s">
        <v>70</v>
      </c>
      <c r="H622" s="3" t="str">
        <f t="array" ref="H622">XLOOKUP(G:G,'Account Manager Data'!A:A,'Account Manager Data'!B:B,0)</f>
        <v>Yusuf Hidayat</v>
      </c>
      <c r="I622" s="11" t="str">
        <f t="array" ref="I622">XLOOKUP($G:$G,'Account Manager Data'!$A:$A,'Account Manager Data'!C:C)</f>
        <v>Sumatera</v>
      </c>
      <c r="J622" s="17">
        <v>5618620.0</v>
      </c>
      <c r="K622" s="17">
        <v>6061772.0</v>
      </c>
      <c r="L622" s="17">
        <v>6334200.0</v>
      </c>
      <c r="M622" s="17">
        <v>0.0</v>
      </c>
      <c r="N622" s="17">
        <v>769386.0</v>
      </c>
      <c r="O622" s="17">
        <v>3915063.0</v>
      </c>
      <c r="P622" s="17">
        <v>4439685.0</v>
      </c>
      <c r="Q622" s="17">
        <v>725099.0</v>
      </c>
      <c r="R622" s="17">
        <v>0.0</v>
      </c>
      <c r="S622" s="17">
        <v>1747162.0</v>
      </c>
      <c r="T622" s="17">
        <v>8093043.0</v>
      </c>
      <c r="U622" s="17">
        <v>4987669.0</v>
      </c>
      <c r="V622" s="11">
        <f t="array" ref="V622">XLOOKUP(A:A,'Raw Revenue'!A:A,'Raw Revenue'!B:B,0)
</f>
        <v>0</v>
      </c>
      <c r="W622" s="11">
        <f t="array" ref="W622">XLOOKUP(A:A,'Raw Revenue'!C:C,'Raw Revenue'!D:D,0)</f>
        <v>0</v>
      </c>
      <c r="X622" s="11">
        <f t="array" ref="X622">XLOOKUP(A:A,'Raw Revenue'!E:E,'Raw Revenue'!F:F,0)</f>
        <v>0</v>
      </c>
      <c r="Y622" s="11">
        <f t="array" ref="Y622">XLOOKUP(A:A,'Raw Revenue'!G:G,'Raw Revenue'!H:H,0)</f>
        <v>0</v>
      </c>
      <c r="Z622" s="11">
        <f t="array" ref="Z622">XLOOKUP(A:A,'Raw Revenue'!I:I,'Raw Revenue'!J:J,0)</f>
        <v>0</v>
      </c>
      <c r="AA622" s="11">
        <f t="array" ref="AA622">XLOOKUP(A:A,'Raw Revenue'!K:K,'Raw Revenue'!L:L,0)</f>
        <v>0</v>
      </c>
      <c r="AB622" s="11">
        <f t="array" ref="AB622">XLOOKUP(A:A,'Raw Revenue'!M:M,'Raw Revenue'!N:N,0)</f>
        <v>0</v>
      </c>
      <c r="AC622" s="3">
        <v>0.0</v>
      </c>
      <c r="AD622" s="3">
        <v>0.0</v>
      </c>
      <c r="AE622" s="3">
        <v>0.0</v>
      </c>
      <c r="AF622" s="3">
        <v>0.0</v>
      </c>
      <c r="AG622" s="3">
        <v>0.0</v>
      </c>
    </row>
    <row r="623">
      <c r="A623" s="3" t="s">
        <v>1489</v>
      </c>
      <c r="B623" s="3" t="s">
        <v>1490</v>
      </c>
      <c r="C623" s="3" t="str">
        <f t="shared" si="1"/>
        <v>CV. Sumber Makmur</v>
      </c>
      <c r="D623" s="3" t="s">
        <v>130</v>
      </c>
      <c r="E623" s="3" t="s">
        <v>187</v>
      </c>
      <c r="F623" s="3" t="s">
        <v>295</v>
      </c>
      <c r="G623" s="3" t="s">
        <v>15</v>
      </c>
      <c r="H623" s="3" t="str">
        <f t="array" ref="H623">XLOOKUP(G:G,'Account Manager Data'!A:A,'Account Manager Data'!B:B,0)</f>
        <v>Rizky Maulana</v>
      </c>
      <c r="I623" s="11" t="str">
        <f t="array" ref="I623">XLOOKUP($G:$G,'Account Manager Data'!$A:$A,'Account Manager Data'!C:C)</f>
        <v>Jawa</v>
      </c>
      <c r="J623" s="17">
        <v>5616915.0</v>
      </c>
      <c r="K623" s="17">
        <v>454514.0</v>
      </c>
      <c r="L623" s="17">
        <v>6740963.0</v>
      </c>
      <c r="M623" s="17">
        <v>4887538.0</v>
      </c>
      <c r="N623" s="17">
        <v>662064.0</v>
      </c>
      <c r="O623" s="17">
        <v>1.0159327E7</v>
      </c>
      <c r="P623" s="17">
        <v>8059545.0</v>
      </c>
      <c r="Q623" s="17">
        <v>5136405.0</v>
      </c>
      <c r="R623" s="17">
        <v>1.4690107E7</v>
      </c>
      <c r="S623" s="17">
        <v>7300891.0</v>
      </c>
      <c r="T623" s="17">
        <v>894913.0</v>
      </c>
      <c r="U623" s="17">
        <v>1.6946261E7</v>
      </c>
      <c r="V623" s="11">
        <f t="array" ref="V623">XLOOKUP(A:A,'Raw Revenue'!A:A,'Raw Revenue'!B:B,0)
</f>
        <v>0</v>
      </c>
      <c r="W623" s="11">
        <f t="array" ref="W623">XLOOKUP(A:A,'Raw Revenue'!C:C,'Raw Revenue'!D:D,0)</f>
        <v>0</v>
      </c>
      <c r="X623" s="11">
        <f t="array" ref="X623">XLOOKUP(A:A,'Raw Revenue'!E:E,'Raw Revenue'!F:F,0)</f>
        <v>0</v>
      </c>
      <c r="Y623" s="11">
        <f t="array" ref="Y623">XLOOKUP(A:A,'Raw Revenue'!G:G,'Raw Revenue'!H:H,0)</f>
        <v>0</v>
      </c>
      <c r="Z623" s="11">
        <f t="array" ref="Z623">XLOOKUP(A:A,'Raw Revenue'!I:I,'Raw Revenue'!J:J,0)</f>
        <v>0</v>
      </c>
      <c r="AA623" s="11">
        <f t="array" ref="AA623">XLOOKUP(A:A,'Raw Revenue'!K:K,'Raw Revenue'!L:L,0)</f>
        <v>0</v>
      </c>
      <c r="AB623" s="11">
        <f t="array" ref="AB623">XLOOKUP(A:A,'Raw Revenue'!M:M,'Raw Revenue'!N:N,0)</f>
        <v>0</v>
      </c>
      <c r="AC623" s="3">
        <v>0.0</v>
      </c>
      <c r="AD623" s="3">
        <v>0.0</v>
      </c>
      <c r="AE623" s="3">
        <v>0.0</v>
      </c>
      <c r="AF623" s="3">
        <v>0.0</v>
      </c>
      <c r="AG623" s="3">
        <v>0.0</v>
      </c>
    </row>
    <row r="624">
      <c r="A624" s="3" t="s">
        <v>1491</v>
      </c>
      <c r="B624" s="3" t="s">
        <v>1492</v>
      </c>
      <c r="C624" s="3" t="str">
        <f t="shared" si="1"/>
        <v>PT. Teknologi Nusantara</v>
      </c>
      <c r="D624" s="3" t="s">
        <v>186</v>
      </c>
      <c r="E624" s="3" t="s">
        <v>104</v>
      </c>
      <c r="F624" s="3" t="s">
        <v>134</v>
      </c>
      <c r="G624" s="3" t="s">
        <v>27</v>
      </c>
      <c r="H624" s="3" t="str">
        <f t="array" ref="H624">XLOOKUP(G:G,'Account Manager Data'!A:A,'Account Manager Data'!B:B,0)</f>
        <v>Dedi Kurniawan</v>
      </c>
      <c r="I624" s="11" t="str">
        <f t="array" ref="I624">XLOOKUP($G:$G,'Account Manager Data'!$A:$A,'Account Manager Data'!C:C)</f>
        <v>Kalimantan</v>
      </c>
      <c r="J624" s="17">
        <v>2336533.0</v>
      </c>
      <c r="K624" s="17">
        <v>8759661.0</v>
      </c>
      <c r="L624" s="17">
        <v>4841206.0</v>
      </c>
      <c r="M624" s="17">
        <v>1330748.0</v>
      </c>
      <c r="N624" s="17">
        <v>8408775.0</v>
      </c>
      <c r="O624" s="17">
        <v>1.3009923E7</v>
      </c>
      <c r="P624" s="17">
        <v>0.0</v>
      </c>
      <c r="Q624" s="17">
        <v>0.0</v>
      </c>
      <c r="R624" s="17">
        <v>1.1369928E7</v>
      </c>
      <c r="S624" s="17">
        <v>9006208.0</v>
      </c>
      <c r="T624" s="17">
        <v>0.0</v>
      </c>
      <c r="U624" s="17">
        <v>7776829.0</v>
      </c>
      <c r="V624" s="11">
        <f t="array" ref="V624">XLOOKUP(A:A,'Raw Revenue'!A:A,'Raw Revenue'!B:B,0)
</f>
        <v>0</v>
      </c>
      <c r="W624" s="11">
        <f t="array" ref="W624">XLOOKUP(A:A,'Raw Revenue'!C:C,'Raw Revenue'!D:D,0)</f>
        <v>0</v>
      </c>
      <c r="X624" s="11">
        <f t="array" ref="X624">XLOOKUP(A:A,'Raw Revenue'!E:E,'Raw Revenue'!F:F,0)</f>
        <v>0</v>
      </c>
      <c r="Y624" s="11">
        <f t="array" ref="Y624">XLOOKUP(A:A,'Raw Revenue'!G:G,'Raw Revenue'!H:H,0)</f>
        <v>0</v>
      </c>
      <c r="Z624" s="11">
        <f t="array" ref="Z624">XLOOKUP(A:A,'Raw Revenue'!I:I,'Raw Revenue'!J:J,0)</f>
        <v>0</v>
      </c>
      <c r="AA624" s="11">
        <f t="array" ref="AA624">XLOOKUP(A:A,'Raw Revenue'!K:K,'Raw Revenue'!L:L,0)</f>
        <v>0</v>
      </c>
      <c r="AB624" s="11">
        <f t="array" ref="AB624">XLOOKUP(A:A,'Raw Revenue'!M:M,'Raw Revenue'!N:N,0)</f>
        <v>0</v>
      </c>
      <c r="AC624" s="3">
        <v>0.0</v>
      </c>
      <c r="AD624" s="3">
        <v>0.0</v>
      </c>
      <c r="AE624" s="3">
        <v>0.0</v>
      </c>
      <c r="AF624" s="3">
        <v>0.0</v>
      </c>
      <c r="AG624" s="3">
        <v>0.0</v>
      </c>
    </row>
    <row r="625">
      <c r="A625" s="3" t="s">
        <v>1493</v>
      </c>
      <c r="B625" s="3" t="s">
        <v>1494</v>
      </c>
      <c r="C625" s="3" t="str">
        <f t="shared" si="1"/>
        <v>PT. Bakti Indonesia</v>
      </c>
      <c r="D625" s="3" t="s">
        <v>130</v>
      </c>
      <c r="E625" s="3" t="s">
        <v>85</v>
      </c>
      <c r="F625" s="3" t="s">
        <v>86</v>
      </c>
      <c r="G625" s="3" t="s">
        <v>78</v>
      </c>
      <c r="H625" s="3" t="str">
        <f t="array" ref="H625">XLOOKUP(G:G,'Account Manager Data'!A:A,'Account Manager Data'!B:B,0)</f>
        <v>Ilham Saputra</v>
      </c>
      <c r="I625" s="11" t="str">
        <f t="array" ref="I625">XLOOKUP($G:$G,'Account Manager Data'!$A:$A,'Account Manager Data'!C:C)</f>
        <v>Jawa</v>
      </c>
      <c r="J625" s="17">
        <v>7155205.0</v>
      </c>
      <c r="K625" s="17">
        <v>2080373.0</v>
      </c>
      <c r="L625" s="17">
        <v>3451520.0</v>
      </c>
      <c r="M625" s="17">
        <v>713393.0</v>
      </c>
      <c r="N625" s="17">
        <v>1545485.0</v>
      </c>
      <c r="O625" s="17">
        <v>2431657.0</v>
      </c>
      <c r="P625" s="17">
        <v>1148797.0</v>
      </c>
      <c r="Q625" s="17">
        <v>3599595.0</v>
      </c>
      <c r="R625" s="17">
        <v>1.2748515E7</v>
      </c>
      <c r="S625" s="17">
        <v>1892922.0</v>
      </c>
      <c r="T625" s="17">
        <v>188412.0</v>
      </c>
      <c r="U625" s="17">
        <v>3084801.0</v>
      </c>
      <c r="V625" s="11">
        <f t="array" ref="V625">XLOOKUP(A:A,'Raw Revenue'!A:A,'Raw Revenue'!B:B,0)
</f>
        <v>0</v>
      </c>
      <c r="W625" s="11">
        <f t="array" ref="W625">XLOOKUP(A:A,'Raw Revenue'!C:C,'Raw Revenue'!D:D,0)</f>
        <v>0</v>
      </c>
      <c r="X625" s="11">
        <f t="array" ref="X625">XLOOKUP(A:A,'Raw Revenue'!E:E,'Raw Revenue'!F:F,0)</f>
        <v>0</v>
      </c>
      <c r="Y625" s="11">
        <f t="array" ref="Y625">XLOOKUP(A:A,'Raw Revenue'!G:G,'Raw Revenue'!H:H,0)</f>
        <v>0</v>
      </c>
      <c r="Z625" s="11">
        <f t="array" ref="Z625">XLOOKUP(A:A,'Raw Revenue'!I:I,'Raw Revenue'!J:J,0)</f>
        <v>0</v>
      </c>
      <c r="AA625" s="11">
        <f t="array" ref="AA625">XLOOKUP(A:A,'Raw Revenue'!K:K,'Raw Revenue'!L:L,0)</f>
        <v>0</v>
      </c>
      <c r="AB625" s="11">
        <f t="array" ref="AB625">XLOOKUP(A:A,'Raw Revenue'!M:M,'Raw Revenue'!N:N,0)</f>
        <v>0</v>
      </c>
      <c r="AC625" s="3">
        <v>0.0</v>
      </c>
      <c r="AD625" s="3">
        <v>0.0</v>
      </c>
      <c r="AE625" s="3">
        <v>0.0</v>
      </c>
      <c r="AF625" s="3">
        <v>0.0</v>
      </c>
      <c r="AG625" s="3">
        <v>0.0</v>
      </c>
    </row>
    <row r="626">
      <c r="A626" s="3" t="s">
        <v>1495</v>
      </c>
      <c r="B626" s="3" t="s">
        <v>1496</v>
      </c>
      <c r="C626" s="3" t="str">
        <f t="shared" si="1"/>
        <v>CV. Amanah Sejahtera</v>
      </c>
      <c r="D626" s="3" t="s">
        <v>130</v>
      </c>
      <c r="E626" s="3" t="s">
        <v>85</v>
      </c>
      <c r="F626" s="3" t="s">
        <v>248</v>
      </c>
      <c r="G626" s="3" t="s">
        <v>53</v>
      </c>
      <c r="H626" s="3" t="str">
        <f t="array" ref="H626">XLOOKUP(G:G,'Account Manager Data'!A:A,'Account Manager Data'!B:B,0)</f>
        <v>Fajar Ramadhan</v>
      </c>
      <c r="I626" s="11" t="str">
        <f t="array" ref="I626">XLOOKUP($G:$G,'Account Manager Data'!$A:$A,'Account Manager Data'!C:C)</f>
        <v>Sulawesi</v>
      </c>
      <c r="J626" s="17">
        <v>3747890.0</v>
      </c>
      <c r="K626" s="17">
        <v>5531679.0</v>
      </c>
      <c r="L626" s="17">
        <v>3357366.0</v>
      </c>
      <c r="M626" s="17">
        <v>1.1373015E7</v>
      </c>
      <c r="N626" s="17">
        <v>9523377.0</v>
      </c>
      <c r="O626" s="17">
        <v>0.0</v>
      </c>
      <c r="P626" s="17">
        <v>5873422.0</v>
      </c>
      <c r="Q626" s="17">
        <v>6841183.0</v>
      </c>
      <c r="R626" s="17">
        <v>1.270001E7</v>
      </c>
      <c r="S626" s="17">
        <v>4529275.0</v>
      </c>
      <c r="T626" s="17">
        <v>1.8715682E7</v>
      </c>
      <c r="U626" s="17">
        <v>9523839.0</v>
      </c>
      <c r="V626" s="11">
        <f t="array" ref="V626">XLOOKUP(A:A,'Raw Revenue'!A:A,'Raw Revenue'!B:B,0)
</f>
        <v>0</v>
      </c>
      <c r="W626" s="11">
        <f t="array" ref="W626">XLOOKUP(A:A,'Raw Revenue'!C:C,'Raw Revenue'!D:D,0)</f>
        <v>0</v>
      </c>
      <c r="X626" s="11">
        <f t="array" ref="X626">XLOOKUP(A:A,'Raw Revenue'!E:E,'Raw Revenue'!F:F,0)</f>
        <v>0</v>
      </c>
      <c r="Y626" s="11">
        <f t="array" ref="Y626">XLOOKUP(A:A,'Raw Revenue'!G:G,'Raw Revenue'!H:H,0)</f>
        <v>0</v>
      </c>
      <c r="Z626" s="11">
        <f t="array" ref="Z626">XLOOKUP(A:A,'Raw Revenue'!I:I,'Raw Revenue'!J:J,0)</f>
        <v>0</v>
      </c>
      <c r="AA626" s="11">
        <f t="array" ref="AA626">XLOOKUP(A:A,'Raw Revenue'!K:K,'Raw Revenue'!L:L,0)</f>
        <v>0</v>
      </c>
      <c r="AB626" s="11">
        <f t="array" ref="AB626">XLOOKUP(A:A,'Raw Revenue'!M:M,'Raw Revenue'!N:N,0)</f>
        <v>0</v>
      </c>
      <c r="AC626" s="3">
        <v>0.0</v>
      </c>
      <c r="AD626" s="3">
        <v>0.0</v>
      </c>
      <c r="AE626" s="3">
        <v>0.0</v>
      </c>
      <c r="AF626" s="3">
        <v>0.0</v>
      </c>
      <c r="AG626" s="3">
        <v>0.0</v>
      </c>
    </row>
    <row r="627">
      <c r="A627" s="3" t="s">
        <v>1497</v>
      </c>
      <c r="B627" s="3" t="s">
        <v>1498</v>
      </c>
      <c r="C627" s="3" t="str">
        <f t="shared" si="1"/>
        <v>PT. Digital Solusi Pratama</v>
      </c>
      <c r="D627" s="3" t="s">
        <v>186</v>
      </c>
      <c r="E627" s="3" t="s">
        <v>187</v>
      </c>
      <c r="F627" s="3" t="s">
        <v>295</v>
      </c>
      <c r="G627" s="3" t="s">
        <v>63</v>
      </c>
      <c r="H627" s="3" t="str">
        <f t="array" ref="H627">XLOOKUP(G:G,'Account Manager Data'!A:A,'Account Manager Data'!B:B,0)</f>
        <v>Hendra Gunawan</v>
      </c>
      <c r="I627" s="11" t="str">
        <f t="array" ref="I627">XLOOKUP($G:$G,'Account Manager Data'!$A:$A,'Account Manager Data'!C:C)</f>
        <v>Kalimantan</v>
      </c>
      <c r="J627" s="17">
        <v>0.0</v>
      </c>
      <c r="K627" s="17">
        <v>4874997.0</v>
      </c>
      <c r="L627" s="17">
        <v>6005463.0</v>
      </c>
      <c r="M627" s="17">
        <v>8894267.0</v>
      </c>
      <c r="N627" s="17">
        <v>399489.0</v>
      </c>
      <c r="O627" s="17">
        <v>9791428.0</v>
      </c>
      <c r="P627" s="17">
        <v>5767682.0</v>
      </c>
      <c r="Q627" s="17">
        <v>6316046.0</v>
      </c>
      <c r="R627" s="17">
        <v>421480.0</v>
      </c>
      <c r="S627" s="17">
        <v>1.514742E7</v>
      </c>
      <c r="T627" s="17">
        <v>9947295.0</v>
      </c>
      <c r="U627" s="17">
        <v>1350087.0</v>
      </c>
      <c r="V627" s="11">
        <f t="array" ref="V627">XLOOKUP(A:A,'Raw Revenue'!A:A,'Raw Revenue'!B:B,0)
</f>
        <v>0</v>
      </c>
      <c r="W627" s="11">
        <f t="array" ref="W627">XLOOKUP(A:A,'Raw Revenue'!C:C,'Raw Revenue'!D:D,0)</f>
        <v>0</v>
      </c>
      <c r="X627" s="11">
        <f t="array" ref="X627">XLOOKUP(A:A,'Raw Revenue'!E:E,'Raw Revenue'!F:F,0)</f>
        <v>0</v>
      </c>
      <c r="Y627" s="11">
        <f t="array" ref="Y627">XLOOKUP(A:A,'Raw Revenue'!G:G,'Raw Revenue'!H:H,0)</f>
        <v>0</v>
      </c>
      <c r="Z627" s="11">
        <f t="array" ref="Z627">XLOOKUP(A:A,'Raw Revenue'!I:I,'Raw Revenue'!J:J,0)</f>
        <v>0</v>
      </c>
      <c r="AA627" s="11">
        <f t="array" ref="AA627">XLOOKUP(A:A,'Raw Revenue'!K:K,'Raw Revenue'!L:L,0)</f>
        <v>0</v>
      </c>
      <c r="AB627" s="11">
        <f t="array" ref="AB627">XLOOKUP(A:A,'Raw Revenue'!M:M,'Raw Revenue'!N:N,0)</f>
        <v>0</v>
      </c>
      <c r="AC627" s="3">
        <v>0.0</v>
      </c>
      <c r="AD627" s="3">
        <v>0.0</v>
      </c>
      <c r="AE627" s="3">
        <v>0.0</v>
      </c>
      <c r="AF627" s="3">
        <v>0.0</v>
      </c>
      <c r="AG627" s="3">
        <v>0.0</v>
      </c>
    </row>
    <row r="628">
      <c r="A628" s="3" t="s">
        <v>1499</v>
      </c>
      <c r="B628" s="3" t="s">
        <v>1500</v>
      </c>
      <c r="C628" s="3" t="str">
        <f t="shared" si="1"/>
        <v>PT. Global Niaga Abadi</v>
      </c>
      <c r="D628" s="3" t="s">
        <v>214</v>
      </c>
      <c r="E628" s="3" t="s">
        <v>196</v>
      </c>
      <c r="F628" s="3" t="s">
        <v>260</v>
      </c>
      <c r="G628" s="3" t="s">
        <v>35</v>
      </c>
      <c r="H628" s="3" t="str">
        <f t="array" ref="H628">XLOOKUP(G:G,'Account Manager Data'!A:A,'Account Manager Data'!B:B,0)</f>
        <v>Ahmad Fauzi</v>
      </c>
      <c r="I628" s="11" t="str">
        <f t="array" ref="I628">XLOOKUP($G:$G,'Account Manager Data'!$A:$A,'Account Manager Data'!C:C)</f>
        <v>Sumatera</v>
      </c>
      <c r="J628" s="17">
        <v>6153776.0</v>
      </c>
      <c r="K628" s="17">
        <v>2780629.0</v>
      </c>
      <c r="L628" s="17">
        <v>9441078.0</v>
      </c>
      <c r="M628" s="17">
        <v>3152585.0</v>
      </c>
      <c r="N628" s="17">
        <v>7440046.0</v>
      </c>
      <c r="O628" s="17">
        <v>1017061.0</v>
      </c>
      <c r="P628" s="17">
        <v>9982077.0</v>
      </c>
      <c r="Q628" s="17">
        <v>1.3226546E7</v>
      </c>
      <c r="R628" s="17">
        <v>3453773.0</v>
      </c>
      <c r="S628" s="17">
        <v>1.0373933E7</v>
      </c>
      <c r="T628" s="17">
        <v>7507429.0</v>
      </c>
      <c r="U628" s="17">
        <v>5177829.0</v>
      </c>
      <c r="V628" s="11">
        <f t="array" ref="V628">XLOOKUP(A:A,'Raw Revenue'!A:A,'Raw Revenue'!B:B,0)
</f>
        <v>0</v>
      </c>
      <c r="W628" s="11">
        <f t="array" ref="W628">XLOOKUP(A:A,'Raw Revenue'!C:C,'Raw Revenue'!D:D,0)</f>
        <v>0</v>
      </c>
      <c r="X628" s="11">
        <f t="array" ref="X628">XLOOKUP(A:A,'Raw Revenue'!E:E,'Raw Revenue'!F:F,0)</f>
        <v>0</v>
      </c>
      <c r="Y628" s="11">
        <f t="array" ref="Y628">XLOOKUP(A:A,'Raw Revenue'!G:G,'Raw Revenue'!H:H,0)</f>
        <v>0</v>
      </c>
      <c r="Z628" s="11">
        <f t="array" ref="Z628">XLOOKUP(A:A,'Raw Revenue'!I:I,'Raw Revenue'!J:J,0)</f>
        <v>0</v>
      </c>
      <c r="AA628" s="11">
        <f t="array" ref="AA628">XLOOKUP(A:A,'Raw Revenue'!K:K,'Raw Revenue'!L:L,0)</f>
        <v>0</v>
      </c>
      <c r="AB628" s="11">
        <f t="array" ref="AB628">XLOOKUP(A:A,'Raw Revenue'!M:M,'Raw Revenue'!N:N,0)</f>
        <v>0</v>
      </c>
      <c r="AC628" s="3">
        <v>0.0</v>
      </c>
      <c r="AD628" s="3">
        <v>0.0</v>
      </c>
      <c r="AE628" s="3">
        <v>0.0</v>
      </c>
      <c r="AF628" s="3">
        <v>0.0</v>
      </c>
      <c r="AG628" s="3">
        <v>0.0</v>
      </c>
    </row>
    <row r="629">
      <c r="A629" s="3" t="s">
        <v>1501</v>
      </c>
      <c r="B629" s="3" t="s">
        <v>1502</v>
      </c>
      <c r="C629" s="3" t="str">
        <f t="shared" si="1"/>
        <v>PT. Indo Makmur Sentosa</v>
      </c>
      <c r="D629" s="3" t="s">
        <v>214</v>
      </c>
      <c r="E629" s="3" t="s">
        <v>85</v>
      </c>
      <c r="F629" s="3" t="s">
        <v>86</v>
      </c>
      <c r="G629" s="3" t="s">
        <v>74</v>
      </c>
      <c r="H629" s="3" t="str">
        <f t="array" ref="H629">XLOOKUP(G:G,'Account Manager Data'!A:A,'Account Manager Data'!B:B,0)</f>
        <v>Budi Santoso</v>
      </c>
      <c r="I629" s="11" t="str">
        <f t="array" ref="I629">XLOOKUP($G:$G,'Account Manager Data'!$A:$A,'Account Manager Data'!C:C)</f>
        <v>Papua</v>
      </c>
      <c r="J629" s="17">
        <v>5665113.0</v>
      </c>
      <c r="K629" s="17">
        <v>0.0</v>
      </c>
      <c r="L629" s="17">
        <v>4841935.0</v>
      </c>
      <c r="M629" s="17">
        <v>8533606.0</v>
      </c>
      <c r="N629" s="17">
        <v>1079941.0</v>
      </c>
      <c r="O629" s="17">
        <v>1.3543883E7</v>
      </c>
      <c r="P629" s="17">
        <v>1.1082908E7</v>
      </c>
      <c r="Q629" s="17">
        <v>1.2258579E7</v>
      </c>
      <c r="R629" s="17">
        <v>1060832.0</v>
      </c>
      <c r="S629" s="17">
        <v>1.5711892E7</v>
      </c>
      <c r="T629" s="17">
        <v>1.7450461E7</v>
      </c>
      <c r="U629" s="17">
        <v>1.8499243E7</v>
      </c>
      <c r="V629" s="11">
        <f t="array" ref="V629">XLOOKUP(A:A,'Raw Revenue'!A:A,'Raw Revenue'!B:B,0)
</f>
        <v>0</v>
      </c>
      <c r="W629" s="11">
        <f t="array" ref="W629">XLOOKUP(A:A,'Raw Revenue'!C:C,'Raw Revenue'!D:D,0)</f>
        <v>0</v>
      </c>
      <c r="X629" s="11">
        <f t="array" ref="X629">XLOOKUP(A:A,'Raw Revenue'!E:E,'Raw Revenue'!F:F,0)</f>
        <v>0</v>
      </c>
      <c r="Y629" s="11">
        <f t="array" ref="Y629">XLOOKUP(A:A,'Raw Revenue'!G:G,'Raw Revenue'!H:H,0)</f>
        <v>0</v>
      </c>
      <c r="Z629" s="11">
        <f t="array" ref="Z629">XLOOKUP(A:A,'Raw Revenue'!I:I,'Raw Revenue'!J:J,0)</f>
        <v>0</v>
      </c>
      <c r="AA629" s="11">
        <f t="array" ref="AA629">XLOOKUP(A:A,'Raw Revenue'!K:K,'Raw Revenue'!L:L,0)</f>
        <v>0</v>
      </c>
      <c r="AB629" s="11">
        <f t="array" ref="AB629">XLOOKUP(A:A,'Raw Revenue'!M:M,'Raw Revenue'!N:N,0)</f>
        <v>0</v>
      </c>
      <c r="AC629" s="3">
        <v>0.0</v>
      </c>
      <c r="AD629" s="3">
        <v>0.0</v>
      </c>
      <c r="AE629" s="3">
        <v>0.0</v>
      </c>
      <c r="AF629" s="3">
        <v>0.0</v>
      </c>
      <c r="AG629" s="3">
        <v>0.0</v>
      </c>
    </row>
    <row r="630">
      <c r="A630" s="3" t="s">
        <v>1503</v>
      </c>
      <c r="B630" s="3" t="s">
        <v>1504</v>
      </c>
      <c r="C630" s="3" t="str">
        <f t="shared" si="1"/>
        <v>PT. Citra Mandiri Utama</v>
      </c>
      <c r="D630" s="3" t="s">
        <v>195</v>
      </c>
      <c r="E630" s="3" t="s">
        <v>215</v>
      </c>
      <c r="F630" s="3" t="s">
        <v>300</v>
      </c>
      <c r="G630" s="3" t="s">
        <v>43</v>
      </c>
      <c r="H630" s="3" t="str">
        <f t="array" ref="H630">XLOOKUP(G:G,'Account Manager Data'!A:A,'Account Manager Data'!B:B,0)</f>
        <v>Eko Prasetyo</v>
      </c>
      <c r="I630" s="11" t="str">
        <f t="array" ref="I630">XLOOKUP($G:$G,'Account Manager Data'!$A:$A,'Account Manager Data'!C:C)</f>
        <v>Papua</v>
      </c>
      <c r="J630" s="17">
        <v>6639989.0</v>
      </c>
      <c r="K630" s="17">
        <v>4499683.0</v>
      </c>
      <c r="L630" s="17">
        <v>345894.0</v>
      </c>
      <c r="M630" s="17">
        <v>4317762.0</v>
      </c>
      <c r="N630" s="17">
        <v>1.2737079E7</v>
      </c>
      <c r="O630" s="17">
        <v>0.0</v>
      </c>
      <c r="P630" s="17">
        <v>9273094.0</v>
      </c>
      <c r="Q630" s="17">
        <v>3995576.0</v>
      </c>
      <c r="R630" s="17">
        <v>750775.0</v>
      </c>
      <c r="S630" s="17">
        <v>7128278.0</v>
      </c>
      <c r="T630" s="17">
        <v>1.850766E7</v>
      </c>
      <c r="U630" s="17">
        <v>1.6261199E7</v>
      </c>
      <c r="V630" s="11">
        <f t="array" ref="V630">XLOOKUP(A:A,'Raw Revenue'!A:A,'Raw Revenue'!B:B,0)
</f>
        <v>0</v>
      </c>
      <c r="W630" s="11">
        <f t="array" ref="W630">XLOOKUP(A:A,'Raw Revenue'!C:C,'Raw Revenue'!D:D,0)</f>
        <v>0</v>
      </c>
      <c r="X630" s="11">
        <f t="array" ref="X630">XLOOKUP(A:A,'Raw Revenue'!E:E,'Raw Revenue'!F:F,0)</f>
        <v>0</v>
      </c>
      <c r="Y630" s="11">
        <f t="array" ref="Y630">XLOOKUP(A:A,'Raw Revenue'!G:G,'Raw Revenue'!H:H,0)</f>
        <v>0</v>
      </c>
      <c r="Z630" s="11">
        <f t="array" ref="Z630">XLOOKUP(A:A,'Raw Revenue'!I:I,'Raw Revenue'!J:J,0)</f>
        <v>0</v>
      </c>
      <c r="AA630" s="11">
        <f t="array" ref="AA630">XLOOKUP(A:A,'Raw Revenue'!K:K,'Raw Revenue'!L:L,0)</f>
        <v>0</v>
      </c>
      <c r="AB630" s="11">
        <f t="array" ref="AB630">XLOOKUP(A:A,'Raw Revenue'!M:M,'Raw Revenue'!N:N,0)</f>
        <v>0</v>
      </c>
      <c r="AC630" s="3">
        <v>0.0</v>
      </c>
      <c r="AD630" s="3">
        <v>0.0</v>
      </c>
      <c r="AE630" s="3">
        <v>0.0</v>
      </c>
      <c r="AF630" s="3">
        <v>0.0</v>
      </c>
      <c r="AG630" s="3">
        <v>0.0</v>
      </c>
    </row>
    <row r="631">
      <c r="A631" s="3" t="s">
        <v>1505</v>
      </c>
      <c r="B631" s="3" t="s">
        <v>1506</v>
      </c>
      <c r="C631" s="3" t="str">
        <f t="shared" si="1"/>
        <v>PT. Sinar Dunia Baru</v>
      </c>
      <c r="D631" s="3" t="s">
        <v>214</v>
      </c>
      <c r="E631" s="3" t="s">
        <v>187</v>
      </c>
      <c r="F631" s="3" t="s">
        <v>295</v>
      </c>
      <c r="G631" s="3" t="s">
        <v>76</v>
      </c>
      <c r="H631" s="3" t="str">
        <f t="array" ref="H631">XLOOKUP(G:G,'Account Manager Data'!A:A,'Account Manager Data'!B:B,0)</f>
        <v>Teguh Wijaya</v>
      </c>
      <c r="I631" s="11" t="str">
        <f t="array" ref="I631">XLOOKUP($G:$G,'Account Manager Data'!$A:$A,'Account Manager Data'!C:C)</f>
        <v>Sulawesi</v>
      </c>
      <c r="J631" s="17">
        <v>4640796.0</v>
      </c>
      <c r="K631" s="17">
        <v>7723834.0</v>
      </c>
      <c r="L631" s="17">
        <v>1.0120613E7</v>
      </c>
      <c r="M631" s="17">
        <v>1.126866E7</v>
      </c>
      <c r="N631" s="17">
        <v>1.0049868E7</v>
      </c>
      <c r="O631" s="17">
        <v>5476238.0</v>
      </c>
      <c r="P631" s="17">
        <v>0.0</v>
      </c>
      <c r="Q631" s="17">
        <v>7151367.0</v>
      </c>
      <c r="R631" s="17">
        <v>9725727.0</v>
      </c>
      <c r="S631" s="17">
        <v>1.2755591E7</v>
      </c>
      <c r="T631" s="17">
        <v>1.3107999E7</v>
      </c>
      <c r="U631" s="17">
        <v>2114618.0</v>
      </c>
      <c r="V631" s="11">
        <f t="array" ref="V631">XLOOKUP(A:A,'Raw Revenue'!A:A,'Raw Revenue'!B:B,0)
</f>
        <v>0</v>
      </c>
      <c r="W631" s="11">
        <f t="array" ref="W631">XLOOKUP(A:A,'Raw Revenue'!C:C,'Raw Revenue'!D:D,0)</f>
        <v>0</v>
      </c>
      <c r="X631" s="11">
        <f t="array" ref="X631">XLOOKUP(A:A,'Raw Revenue'!E:E,'Raw Revenue'!F:F,0)</f>
        <v>0</v>
      </c>
      <c r="Y631" s="11">
        <f t="array" ref="Y631">XLOOKUP(A:A,'Raw Revenue'!G:G,'Raw Revenue'!H:H,0)</f>
        <v>0</v>
      </c>
      <c r="Z631" s="11">
        <f t="array" ref="Z631">XLOOKUP(A:A,'Raw Revenue'!I:I,'Raw Revenue'!J:J,0)</f>
        <v>0</v>
      </c>
      <c r="AA631" s="11">
        <f t="array" ref="AA631">XLOOKUP(A:A,'Raw Revenue'!K:K,'Raw Revenue'!L:L,0)</f>
        <v>0</v>
      </c>
      <c r="AB631" s="11">
        <f t="array" ref="AB631">XLOOKUP(A:A,'Raw Revenue'!M:M,'Raw Revenue'!N:N,0)</f>
        <v>0</v>
      </c>
      <c r="AC631" s="3">
        <v>0.0</v>
      </c>
      <c r="AD631" s="3">
        <v>0.0</v>
      </c>
      <c r="AE631" s="3">
        <v>0.0</v>
      </c>
      <c r="AF631" s="3">
        <v>0.0</v>
      </c>
      <c r="AG631" s="3">
        <v>0.0</v>
      </c>
    </row>
    <row r="632">
      <c r="A632" s="3" t="s">
        <v>1507</v>
      </c>
      <c r="B632" s="3" t="s">
        <v>1508</v>
      </c>
      <c r="C632" s="3" t="str">
        <f t="shared" si="1"/>
        <v>CV. Karya Utama Mandiri</v>
      </c>
      <c r="D632" s="3" t="s">
        <v>186</v>
      </c>
      <c r="E632" s="3" t="s">
        <v>196</v>
      </c>
      <c r="F632" s="3" t="s">
        <v>260</v>
      </c>
      <c r="G632" s="3" t="s">
        <v>70</v>
      </c>
      <c r="H632" s="3" t="str">
        <f t="array" ref="H632">XLOOKUP(G:G,'Account Manager Data'!A:A,'Account Manager Data'!B:B,0)</f>
        <v>Yusuf Hidayat</v>
      </c>
      <c r="I632" s="11" t="str">
        <f t="array" ref="I632">XLOOKUP($G:$G,'Account Manager Data'!$A:$A,'Account Manager Data'!C:C)</f>
        <v>Sumatera</v>
      </c>
      <c r="J632" s="17">
        <v>8136209.0</v>
      </c>
      <c r="K632" s="17">
        <v>6591980.0</v>
      </c>
      <c r="L632" s="17">
        <v>508822.0</v>
      </c>
      <c r="M632" s="17">
        <v>5179122.0</v>
      </c>
      <c r="N632" s="17">
        <v>6276573.0</v>
      </c>
      <c r="O632" s="17">
        <v>7985514.0</v>
      </c>
      <c r="P632" s="17">
        <v>8745889.0</v>
      </c>
      <c r="Q632" s="17">
        <v>1.4810681E7</v>
      </c>
      <c r="R632" s="17">
        <v>1.1161121E7</v>
      </c>
      <c r="S632" s="17">
        <v>9660709.0</v>
      </c>
      <c r="T632" s="17">
        <v>5986045.0</v>
      </c>
      <c r="U632" s="17">
        <v>7958351.0</v>
      </c>
      <c r="V632" s="11">
        <f t="array" ref="V632">XLOOKUP(A:A,'Raw Revenue'!A:A,'Raw Revenue'!B:B,0)
</f>
        <v>0</v>
      </c>
      <c r="W632" s="11">
        <f t="array" ref="W632">XLOOKUP(A:A,'Raw Revenue'!C:C,'Raw Revenue'!D:D,0)</f>
        <v>0</v>
      </c>
      <c r="X632" s="11">
        <f t="array" ref="X632">XLOOKUP(A:A,'Raw Revenue'!E:E,'Raw Revenue'!F:F,0)</f>
        <v>0</v>
      </c>
      <c r="Y632" s="11">
        <f t="array" ref="Y632">XLOOKUP(A:A,'Raw Revenue'!G:G,'Raw Revenue'!H:H,0)</f>
        <v>0</v>
      </c>
      <c r="Z632" s="11">
        <f t="array" ref="Z632">XLOOKUP(A:A,'Raw Revenue'!I:I,'Raw Revenue'!J:J,0)</f>
        <v>0</v>
      </c>
      <c r="AA632" s="11">
        <f t="array" ref="AA632">XLOOKUP(A:A,'Raw Revenue'!K:K,'Raw Revenue'!L:L,0)</f>
        <v>0</v>
      </c>
      <c r="AB632" s="11">
        <f t="array" ref="AB632">XLOOKUP(A:A,'Raw Revenue'!M:M,'Raw Revenue'!N:N,0)</f>
        <v>0</v>
      </c>
      <c r="AC632" s="3">
        <v>0.0</v>
      </c>
      <c r="AD632" s="3">
        <v>0.0</v>
      </c>
      <c r="AE632" s="3">
        <v>0.0</v>
      </c>
      <c r="AF632" s="3">
        <v>0.0</v>
      </c>
      <c r="AG632" s="3">
        <v>0.0</v>
      </c>
    </row>
    <row r="633">
      <c r="A633" s="3" t="s">
        <v>1509</v>
      </c>
      <c r="B633" s="3" t="s">
        <v>1510</v>
      </c>
      <c r="C633" s="3" t="str">
        <f t="shared" si="1"/>
        <v>PT. Pratama Jaya Sentosa</v>
      </c>
      <c r="D633" s="3" t="s">
        <v>84</v>
      </c>
      <c r="E633" s="3" t="s">
        <v>85</v>
      </c>
      <c r="F633" s="3" t="s">
        <v>407</v>
      </c>
      <c r="G633" s="3" t="s">
        <v>15</v>
      </c>
      <c r="H633" s="3" t="str">
        <f t="array" ref="H633">XLOOKUP(G:G,'Account Manager Data'!A:A,'Account Manager Data'!B:B,0)</f>
        <v>Rizky Maulana</v>
      </c>
      <c r="I633" s="11" t="str">
        <f t="array" ref="I633">XLOOKUP($G:$G,'Account Manager Data'!$A:$A,'Account Manager Data'!C:C)</f>
        <v>Jawa</v>
      </c>
      <c r="J633" s="17">
        <v>1319485.0</v>
      </c>
      <c r="K633" s="17">
        <v>6529524.0</v>
      </c>
      <c r="L633" s="17">
        <v>3445653.0</v>
      </c>
      <c r="M633" s="17">
        <v>806390.0</v>
      </c>
      <c r="N633" s="17">
        <v>1500372.0</v>
      </c>
      <c r="O633" s="17">
        <v>1.4115132E7</v>
      </c>
      <c r="P633" s="17">
        <v>4192111.0</v>
      </c>
      <c r="Q633" s="17">
        <v>2819788.0</v>
      </c>
      <c r="R633" s="17">
        <v>1.1982829E7</v>
      </c>
      <c r="S633" s="17">
        <v>1870636.0</v>
      </c>
      <c r="T633" s="17">
        <v>5656067.0</v>
      </c>
      <c r="U633" s="17">
        <v>1.5107287E7</v>
      </c>
      <c r="V633" s="11">
        <f t="array" ref="V633">XLOOKUP(A:A,'Raw Revenue'!A:A,'Raw Revenue'!B:B,0)
</f>
        <v>0</v>
      </c>
      <c r="W633" s="11">
        <f t="array" ref="W633">XLOOKUP(A:A,'Raw Revenue'!C:C,'Raw Revenue'!D:D,0)</f>
        <v>0</v>
      </c>
      <c r="X633" s="11">
        <f t="array" ref="X633">XLOOKUP(A:A,'Raw Revenue'!E:E,'Raw Revenue'!F:F,0)</f>
        <v>0</v>
      </c>
      <c r="Y633" s="11">
        <f t="array" ref="Y633">XLOOKUP(A:A,'Raw Revenue'!G:G,'Raw Revenue'!H:H,0)</f>
        <v>0</v>
      </c>
      <c r="Z633" s="11">
        <f t="array" ref="Z633">XLOOKUP(A:A,'Raw Revenue'!I:I,'Raw Revenue'!J:J,0)</f>
        <v>0</v>
      </c>
      <c r="AA633" s="11">
        <f t="array" ref="AA633">XLOOKUP(A:A,'Raw Revenue'!K:K,'Raw Revenue'!L:L,0)</f>
        <v>0</v>
      </c>
      <c r="AB633" s="11">
        <f t="array" ref="AB633">XLOOKUP(A:A,'Raw Revenue'!M:M,'Raw Revenue'!N:N,0)</f>
        <v>0</v>
      </c>
      <c r="AC633" s="3">
        <v>0.0</v>
      </c>
      <c r="AD633" s="3">
        <v>0.0</v>
      </c>
      <c r="AE633" s="3">
        <v>0.0</v>
      </c>
      <c r="AF633" s="3">
        <v>0.0</v>
      </c>
      <c r="AG633" s="3">
        <v>0.0</v>
      </c>
    </row>
    <row r="634">
      <c r="A634" s="3" t="s">
        <v>1511</v>
      </c>
      <c r="B634" s="3" t="s">
        <v>1512</v>
      </c>
      <c r="C634" s="3" t="str">
        <f t="shared" si="1"/>
        <v>PT. Abadi Selamanya Jaya</v>
      </c>
      <c r="D634" s="3" t="s">
        <v>130</v>
      </c>
      <c r="E634" s="3" t="s">
        <v>215</v>
      </c>
      <c r="F634" s="3" t="s">
        <v>216</v>
      </c>
      <c r="G634" s="3" t="s">
        <v>53</v>
      </c>
      <c r="H634" s="3" t="str">
        <f t="array" ref="H634">XLOOKUP(G:G,'Account Manager Data'!A:A,'Account Manager Data'!B:B,0)</f>
        <v>Fajar Ramadhan</v>
      </c>
      <c r="I634" s="11" t="str">
        <f t="array" ref="I634">XLOOKUP($G:$G,'Account Manager Data'!$A:$A,'Account Manager Data'!C:C)</f>
        <v>Sulawesi</v>
      </c>
      <c r="J634" s="17">
        <v>8053282.0</v>
      </c>
      <c r="K634" s="17">
        <v>3420658.0</v>
      </c>
      <c r="L634" s="17">
        <v>7467445.0</v>
      </c>
      <c r="M634" s="17">
        <v>925702.0</v>
      </c>
      <c r="N634" s="17">
        <v>888770.0</v>
      </c>
      <c r="O634" s="17">
        <v>2832408.0</v>
      </c>
      <c r="P634" s="17">
        <v>1416277.0</v>
      </c>
      <c r="Q634" s="17">
        <v>5181858.0</v>
      </c>
      <c r="R634" s="17">
        <v>802997.0</v>
      </c>
      <c r="S634" s="17">
        <v>1.3809657E7</v>
      </c>
      <c r="T634" s="17">
        <v>0.0</v>
      </c>
      <c r="U634" s="17">
        <v>5333953.0</v>
      </c>
      <c r="V634" s="11">
        <f t="array" ref="V634">XLOOKUP(A:A,'Raw Revenue'!A:A,'Raw Revenue'!B:B,0)
</f>
        <v>0</v>
      </c>
      <c r="W634" s="11">
        <f t="array" ref="W634">XLOOKUP(A:A,'Raw Revenue'!C:C,'Raw Revenue'!D:D,0)</f>
        <v>0</v>
      </c>
      <c r="X634" s="11">
        <f t="array" ref="X634">XLOOKUP(A:A,'Raw Revenue'!E:E,'Raw Revenue'!F:F,0)</f>
        <v>0</v>
      </c>
      <c r="Y634" s="11">
        <f t="array" ref="Y634">XLOOKUP(A:A,'Raw Revenue'!G:G,'Raw Revenue'!H:H,0)</f>
        <v>0</v>
      </c>
      <c r="Z634" s="11">
        <f t="array" ref="Z634">XLOOKUP(A:A,'Raw Revenue'!I:I,'Raw Revenue'!J:J,0)</f>
        <v>0</v>
      </c>
      <c r="AA634" s="11">
        <f t="array" ref="AA634">XLOOKUP(A:A,'Raw Revenue'!K:K,'Raw Revenue'!L:L,0)</f>
        <v>0</v>
      </c>
      <c r="AB634" s="11">
        <f t="array" ref="AB634">XLOOKUP(A:A,'Raw Revenue'!M:M,'Raw Revenue'!N:N,0)</f>
        <v>0</v>
      </c>
      <c r="AC634" s="3">
        <v>0.0</v>
      </c>
      <c r="AD634" s="3">
        <v>0.0</v>
      </c>
      <c r="AE634" s="3">
        <v>0.0</v>
      </c>
      <c r="AF634" s="3">
        <v>0.0</v>
      </c>
      <c r="AG634" s="3">
        <v>0.0</v>
      </c>
    </row>
    <row r="635">
      <c r="A635" s="3" t="s">
        <v>198</v>
      </c>
      <c r="B635" s="3" t="s">
        <v>1513</v>
      </c>
      <c r="C635" s="3" t="str">
        <f t="shared" si="1"/>
        <v>PT. Mandiri Sejahtera Bersama</v>
      </c>
      <c r="D635" s="3" t="s">
        <v>103</v>
      </c>
      <c r="E635" s="3" t="s">
        <v>196</v>
      </c>
      <c r="F635" s="3" t="s">
        <v>260</v>
      </c>
      <c r="G635" s="3" t="s">
        <v>27</v>
      </c>
      <c r="H635" s="3" t="str">
        <f t="array" ref="H635">XLOOKUP(G:G,'Account Manager Data'!A:A,'Account Manager Data'!B:B,0)</f>
        <v>Dedi Kurniawan</v>
      </c>
      <c r="I635" s="11" t="str">
        <f t="array" ref="I635">XLOOKUP($G:$G,'Account Manager Data'!$A:$A,'Account Manager Data'!C:C)</f>
        <v>Kalimantan</v>
      </c>
      <c r="J635" s="17">
        <v>5077934.0</v>
      </c>
      <c r="K635" s="17">
        <v>6491759.0</v>
      </c>
      <c r="L635" s="17">
        <v>6911805.0</v>
      </c>
      <c r="M635" s="17">
        <v>925196.0</v>
      </c>
      <c r="N635" s="17">
        <v>1.3694349E7</v>
      </c>
      <c r="O635" s="17">
        <v>2319787.0</v>
      </c>
      <c r="P635" s="17">
        <v>3669280.0</v>
      </c>
      <c r="Q635" s="17">
        <v>1.175646E7</v>
      </c>
      <c r="R635" s="17">
        <v>7382722.0</v>
      </c>
      <c r="S635" s="17">
        <v>5917780.0</v>
      </c>
      <c r="T635" s="17">
        <v>1.2376646E7</v>
      </c>
      <c r="U635" s="17">
        <v>8519352.0</v>
      </c>
      <c r="V635" s="11">
        <f t="array" ref="V635">XLOOKUP(A:A,'Raw Revenue'!A:A,'Raw Revenue'!B:B,0)
</f>
        <v>0</v>
      </c>
      <c r="W635" s="11">
        <f t="array" ref="W635">XLOOKUP(A:A,'Raw Revenue'!C:C,'Raw Revenue'!D:D,0)</f>
        <v>0</v>
      </c>
      <c r="X635" s="11">
        <f t="array" ref="X635">XLOOKUP(A:A,'Raw Revenue'!E:E,'Raw Revenue'!F:F,0)</f>
        <v>0</v>
      </c>
      <c r="Y635" s="11">
        <f t="array" ref="Y635">XLOOKUP(A:A,'Raw Revenue'!G:G,'Raw Revenue'!H:H,0)</f>
        <v>0</v>
      </c>
      <c r="Z635" s="11">
        <f t="array" ref="Z635">XLOOKUP(A:A,'Raw Revenue'!I:I,'Raw Revenue'!J:J,0)</f>
        <v>0</v>
      </c>
      <c r="AA635" s="11">
        <f t="array" ref="AA635">XLOOKUP(A:A,'Raw Revenue'!K:K,'Raw Revenue'!L:L,0)</f>
        <v>0</v>
      </c>
      <c r="AB635" s="11">
        <f t="array" ref="AB635">XLOOKUP(A:A,'Raw Revenue'!M:M,'Raw Revenue'!N:N,0)</f>
        <v>0</v>
      </c>
      <c r="AC635" s="3">
        <v>0.0</v>
      </c>
      <c r="AD635" s="3">
        <v>0.0</v>
      </c>
      <c r="AE635" s="3">
        <v>0.0</v>
      </c>
      <c r="AF635" s="3">
        <v>0.0</v>
      </c>
      <c r="AG635" s="3">
        <v>0.0</v>
      </c>
    </row>
    <row r="636">
      <c r="A636" s="3" t="s">
        <v>1514</v>
      </c>
      <c r="B636" s="3" t="s">
        <v>1515</v>
      </c>
      <c r="C636" s="3" t="str">
        <f t="shared" si="1"/>
        <v>PT. Sejahtera Alam Indonesia</v>
      </c>
      <c r="D636" s="3" t="s">
        <v>186</v>
      </c>
      <c r="E636" s="3" t="s">
        <v>104</v>
      </c>
      <c r="F636" s="3" t="s">
        <v>105</v>
      </c>
      <c r="G636" s="3" t="s">
        <v>78</v>
      </c>
      <c r="H636" s="3" t="str">
        <f t="array" ref="H636">XLOOKUP(G:G,'Account Manager Data'!A:A,'Account Manager Data'!B:B,0)</f>
        <v>Ilham Saputra</v>
      </c>
      <c r="I636" s="11" t="str">
        <f t="array" ref="I636">XLOOKUP($G:$G,'Account Manager Data'!$A:$A,'Account Manager Data'!C:C)</f>
        <v>Jawa</v>
      </c>
      <c r="J636" s="17">
        <v>2573259.0</v>
      </c>
      <c r="K636" s="17">
        <v>8782353.0</v>
      </c>
      <c r="L636" s="17">
        <v>6074990.0</v>
      </c>
      <c r="M636" s="17">
        <v>6295059.0</v>
      </c>
      <c r="N636" s="17">
        <v>1.1312572E7</v>
      </c>
      <c r="O636" s="17">
        <v>7940585.0</v>
      </c>
      <c r="P636" s="17">
        <v>0.0</v>
      </c>
      <c r="Q636" s="17">
        <v>1062655.0</v>
      </c>
      <c r="R636" s="17">
        <v>6063705.0</v>
      </c>
      <c r="S636" s="17">
        <v>1.6570818E7</v>
      </c>
      <c r="T636" s="17">
        <v>8981882.0</v>
      </c>
      <c r="U636" s="17">
        <v>7199290.0</v>
      </c>
      <c r="V636" s="11">
        <f t="array" ref="V636">XLOOKUP(A:A,'Raw Revenue'!A:A,'Raw Revenue'!B:B,0)
</f>
        <v>0</v>
      </c>
      <c r="W636" s="11">
        <f t="array" ref="W636">XLOOKUP(A:A,'Raw Revenue'!C:C,'Raw Revenue'!D:D,0)</f>
        <v>0</v>
      </c>
      <c r="X636" s="11">
        <f t="array" ref="X636">XLOOKUP(A:A,'Raw Revenue'!E:E,'Raw Revenue'!F:F,0)</f>
        <v>0</v>
      </c>
      <c r="Y636" s="11">
        <f t="array" ref="Y636">XLOOKUP(A:A,'Raw Revenue'!G:G,'Raw Revenue'!H:H,0)</f>
        <v>0</v>
      </c>
      <c r="Z636" s="11">
        <f t="array" ref="Z636">XLOOKUP(A:A,'Raw Revenue'!I:I,'Raw Revenue'!J:J,0)</f>
        <v>0</v>
      </c>
      <c r="AA636" s="11">
        <f t="array" ref="AA636">XLOOKUP(A:A,'Raw Revenue'!K:K,'Raw Revenue'!L:L,0)</f>
        <v>0</v>
      </c>
      <c r="AB636" s="11">
        <f t="array" ref="AB636">XLOOKUP(A:A,'Raw Revenue'!M:M,'Raw Revenue'!N:N,0)</f>
        <v>0</v>
      </c>
      <c r="AC636" s="3">
        <v>0.0</v>
      </c>
      <c r="AD636" s="3">
        <v>0.0</v>
      </c>
      <c r="AE636" s="3">
        <v>0.0</v>
      </c>
      <c r="AF636" s="3">
        <v>0.0</v>
      </c>
      <c r="AG636" s="3">
        <v>0.0</v>
      </c>
    </row>
    <row r="637">
      <c r="A637" s="3" t="s">
        <v>1516</v>
      </c>
      <c r="B637" s="3" t="s">
        <v>1517</v>
      </c>
      <c r="C637" s="3" t="str">
        <f t="shared" si="1"/>
        <v>PT. Indah Kargo Logistik</v>
      </c>
      <c r="D637" s="3" t="s">
        <v>195</v>
      </c>
      <c r="E637" s="3" t="s">
        <v>104</v>
      </c>
      <c r="F637" s="3" t="s">
        <v>105</v>
      </c>
      <c r="G637" s="3" t="s">
        <v>63</v>
      </c>
      <c r="H637" s="3" t="str">
        <f t="array" ref="H637">XLOOKUP(G:G,'Account Manager Data'!A:A,'Account Manager Data'!B:B,0)</f>
        <v>Hendra Gunawan</v>
      </c>
      <c r="I637" s="11" t="str">
        <f t="array" ref="I637">XLOOKUP($G:$G,'Account Manager Data'!$A:$A,'Account Manager Data'!C:C)</f>
        <v>Kalimantan</v>
      </c>
      <c r="J637" s="17">
        <v>1305110.0</v>
      </c>
      <c r="K637" s="17">
        <v>6597779.0</v>
      </c>
      <c r="L637" s="17">
        <v>8312476.0</v>
      </c>
      <c r="M637" s="17">
        <v>0.0</v>
      </c>
      <c r="N637" s="17">
        <v>1.2922045E7</v>
      </c>
      <c r="O637" s="17">
        <v>1.2773808E7</v>
      </c>
      <c r="P637" s="17">
        <v>1.1475308E7</v>
      </c>
      <c r="Q637" s="17">
        <v>0.0</v>
      </c>
      <c r="R637" s="17">
        <v>8649823.0</v>
      </c>
      <c r="S637" s="17">
        <v>2808503.0</v>
      </c>
      <c r="T637" s="17">
        <v>1.7687406E7</v>
      </c>
      <c r="U637" s="17">
        <v>4518878.0</v>
      </c>
      <c r="V637" s="11">
        <f t="array" ref="V637">XLOOKUP(A:A,'Raw Revenue'!A:A,'Raw Revenue'!B:B,0)
</f>
        <v>0</v>
      </c>
      <c r="W637" s="11">
        <f t="array" ref="W637">XLOOKUP(A:A,'Raw Revenue'!C:C,'Raw Revenue'!D:D,0)</f>
        <v>0</v>
      </c>
      <c r="X637" s="11">
        <f t="array" ref="X637">XLOOKUP(A:A,'Raw Revenue'!E:E,'Raw Revenue'!F:F,0)</f>
        <v>0</v>
      </c>
      <c r="Y637" s="11">
        <f t="array" ref="Y637">XLOOKUP(A:A,'Raw Revenue'!G:G,'Raw Revenue'!H:H,0)</f>
        <v>0</v>
      </c>
      <c r="Z637" s="11">
        <f t="array" ref="Z637">XLOOKUP(A:A,'Raw Revenue'!I:I,'Raw Revenue'!J:J,0)</f>
        <v>0</v>
      </c>
      <c r="AA637" s="11">
        <f t="array" ref="AA637">XLOOKUP(A:A,'Raw Revenue'!K:K,'Raw Revenue'!L:L,0)</f>
        <v>0</v>
      </c>
      <c r="AB637" s="11">
        <f t="array" ref="AB637">XLOOKUP(A:A,'Raw Revenue'!M:M,'Raw Revenue'!N:N,0)</f>
        <v>0</v>
      </c>
      <c r="AC637" s="3">
        <v>0.0</v>
      </c>
      <c r="AD637" s="3">
        <v>0.0</v>
      </c>
      <c r="AE637" s="3">
        <v>0.0</v>
      </c>
      <c r="AF637" s="3">
        <v>0.0</v>
      </c>
      <c r="AG637" s="3">
        <v>0.0</v>
      </c>
    </row>
    <row r="638">
      <c r="A638" s="3" t="s">
        <v>1518</v>
      </c>
      <c r="B638" s="3" t="s">
        <v>1519</v>
      </c>
      <c r="C638" s="3" t="str">
        <f t="shared" si="1"/>
        <v>PT. Berkah Alam Semesta</v>
      </c>
      <c r="D638" s="3" t="s">
        <v>84</v>
      </c>
      <c r="E638" s="3" t="s">
        <v>215</v>
      </c>
      <c r="F638" s="3" t="s">
        <v>300</v>
      </c>
      <c r="G638" s="3" t="s">
        <v>35</v>
      </c>
      <c r="H638" s="3" t="str">
        <f t="array" ref="H638">XLOOKUP(G:G,'Account Manager Data'!A:A,'Account Manager Data'!B:B,0)</f>
        <v>Ahmad Fauzi</v>
      </c>
      <c r="I638" s="11" t="str">
        <f t="array" ref="I638">XLOOKUP($G:$G,'Account Manager Data'!$A:$A,'Account Manager Data'!C:C)</f>
        <v>Sumatera</v>
      </c>
      <c r="J638" s="17">
        <v>5673550.0</v>
      </c>
      <c r="K638" s="17">
        <v>6586881.0</v>
      </c>
      <c r="L638" s="17">
        <v>9921805.0</v>
      </c>
      <c r="M638" s="17">
        <v>1.0543804E7</v>
      </c>
      <c r="N638" s="17">
        <v>1.1528897E7</v>
      </c>
      <c r="O638" s="17">
        <v>9765296.0</v>
      </c>
      <c r="P638" s="17">
        <v>1.3924336E7</v>
      </c>
      <c r="Q638" s="17">
        <v>4927748.0</v>
      </c>
      <c r="R638" s="17">
        <v>3253407.0</v>
      </c>
      <c r="S638" s="17">
        <v>3234677.0</v>
      </c>
      <c r="T638" s="17">
        <v>0.0</v>
      </c>
      <c r="U638" s="17">
        <v>1.1223471E7</v>
      </c>
      <c r="V638" s="11">
        <f t="array" ref="V638">XLOOKUP(A:A,'Raw Revenue'!A:A,'Raw Revenue'!B:B,0)
</f>
        <v>0</v>
      </c>
      <c r="W638" s="11">
        <f t="array" ref="W638">XLOOKUP(A:A,'Raw Revenue'!C:C,'Raw Revenue'!D:D,0)</f>
        <v>0</v>
      </c>
      <c r="X638" s="11">
        <f t="array" ref="X638">XLOOKUP(A:A,'Raw Revenue'!E:E,'Raw Revenue'!F:F,0)</f>
        <v>0</v>
      </c>
      <c r="Y638" s="11">
        <f t="array" ref="Y638">XLOOKUP(A:A,'Raw Revenue'!G:G,'Raw Revenue'!H:H,0)</f>
        <v>0</v>
      </c>
      <c r="Z638" s="11">
        <f t="array" ref="Z638">XLOOKUP(A:A,'Raw Revenue'!I:I,'Raw Revenue'!J:J,0)</f>
        <v>0</v>
      </c>
      <c r="AA638" s="11">
        <f t="array" ref="AA638">XLOOKUP(A:A,'Raw Revenue'!K:K,'Raw Revenue'!L:L,0)</f>
        <v>0</v>
      </c>
      <c r="AB638" s="11">
        <f t="array" ref="AB638">XLOOKUP(A:A,'Raw Revenue'!M:M,'Raw Revenue'!N:N,0)</f>
        <v>0</v>
      </c>
      <c r="AC638" s="3">
        <v>0.0</v>
      </c>
      <c r="AD638" s="3">
        <v>0.0</v>
      </c>
      <c r="AE638" s="3">
        <v>0.0</v>
      </c>
      <c r="AF638" s="3">
        <v>0.0</v>
      </c>
      <c r="AG638" s="3">
        <v>0.0</v>
      </c>
    </row>
    <row r="639">
      <c r="A639" s="3" t="s">
        <v>1520</v>
      </c>
      <c r="B639" s="3" t="s">
        <v>1521</v>
      </c>
      <c r="C639" s="3" t="str">
        <f t="shared" si="1"/>
        <v>PT. Cahaya Baru Indonesia</v>
      </c>
      <c r="D639" s="3" t="s">
        <v>84</v>
      </c>
      <c r="E639" s="3" t="s">
        <v>215</v>
      </c>
      <c r="F639" s="3" t="s">
        <v>300</v>
      </c>
      <c r="G639" s="3" t="s">
        <v>43</v>
      </c>
      <c r="H639" s="3" t="str">
        <f t="array" ref="H639">XLOOKUP(G:G,'Account Manager Data'!A:A,'Account Manager Data'!B:B,0)</f>
        <v>Eko Prasetyo</v>
      </c>
      <c r="I639" s="11" t="str">
        <f t="array" ref="I639">XLOOKUP($G:$G,'Account Manager Data'!$A:$A,'Account Manager Data'!C:C)</f>
        <v>Papua</v>
      </c>
      <c r="J639" s="17">
        <v>4914522.0</v>
      </c>
      <c r="K639" s="17">
        <v>2412251.0</v>
      </c>
      <c r="L639" s="17">
        <v>5557761.0</v>
      </c>
      <c r="M639" s="17">
        <v>9926852.0</v>
      </c>
      <c r="N639" s="17">
        <v>1131831.0</v>
      </c>
      <c r="O639" s="17">
        <v>1.39139E7</v>
      </c>
      <c r="P639" s="17">
        <v>8508229.0</v>
      </c>
      <c r="Q639" s="17">
        <v>48787.0</v>
      </c>
      <c r="R639" s="17">
        <v>1.0410229E7</v>
      </c>
      <c r="S639" s="17">
        <v>1.5813042E7</v>
      </c>
      <c r="T639" s="17">
        <v>1.884975E7</v>
      </c>
      <c r="U639" s="17">
        <v>1.1863423E7</v>
      </c>
      <c r="V639" s="11">
        <f t="array" ref="V639">XLOOKUP(A:A,'Raw Revenue'!A:A,'Raw Revenue'!B:B,0)
</f>
        <v>0</v>
      </c>
      <c r="W639" s="11">
        <f t="array" ref="W639">XLOOKUP(A:A,'Raw Revenue'!C:C,'Raw Revenue'!D:D,0)</f>
        <v>0</v>
      </c>
      <c r="X639" s="11">
        <f t="array" ref="X639">XLOOKUP(A:A,'Raw Revenue'!E:E,'Raw Revenue'!F:F,0)</f>
        <v>0</v>
      </c>
      <c r="Y639" s="11">
        <f t="array" ref="Y639">XLOOKUP(A:A,'Raw Revenue'!G:G,'Raw Revenue'!H:H,0)</f>
        <v>0</v>
      </c>
      <c r="Z639" s="11">
        <f t="array" ref="Z639">XLOOKUP(A:A,'Raw Revenue'!I:I,'Raw Revenue'!J:J,0)</f>
        <v>0</v>
      </c>
      <c r="AA639" s="11">
        <f t="array" ref="AA639">XLOOKUP(A:A,'Raw Revenue'!K:K,'Raw Revenue'!L:L,0)</f>
        <v>0</v>
      </c>
      <c r="AB639" s="11">
        <f t="array" ref="AB639">XLOOKUP(A:A,'Raw Revenue'!M:M,'Raw Revenue'!N:N,0)</f>
        <v>0</v>
      </c>
      <c r="AC639" s="3">
        <v>0.0</v>
      </c>
      <c r="AD639" s="3">
        <v>0.0</v>
      </c>
      <c r="AE639" s="3">
        <v>0.0</v>
      </c>
      <c r="AF639" s="3">
        <v>0.0</v>
      </c>
      <c r="AG639" s="3">
        <v>0.0</v>
      </c>
    </row>
    <row r="640">
      <c r="A640" s="3" t="s">
        <v>1522</v>
      </c>
      <c r="B640" s="3" t="s">
        <v>1523</v>
      </c>
      <c r="C640" s="3" t="str">
        <f t="shared" si="1"/>
        <v>PT. Mentari Pagi Sejahtera</v>
      </c>
      <c r="D640" s="3" t="s">
        <v>195</v>
      </c>
      <c r="E640" s="3" t="s">
        <v>215</v>
      </c>
      <c r="F640" s="3" t="s">
        <v>216</v>
      </c>
      <c r="G640" s="3" t="s">
        <v>74</v>
      </c>
      <c r="H640" s="3" t="str">
        <f t="array" ref="H640">XLOOKUP(G:G,'Account Manager Data'!A:A,'Account Manager Data'!B:B,0)</f>
        <v>Budi Santoso</v>
      </c>
      <c r="I640" s="11" t="str">
        <f t="array" ref="I640">XLOOKUP($G:$G,'Account Manager Data'!$A:$A,'Account Manager Data'!C:C)</f>
        <v>Papua</v>
      </c>
      <c r="J640" s="17">
        <v>3809042.0</v>
      </c>
      <c r="K640" s="17">
        <v>6131349.0</v>
      </c>
      <c r="L640" s="17">
        <v>4735229.0</v>
      </c>
      <c r="M640" s="17">
        <v>5319353.0</v>
      </c>
      <c r="N640" s="17">
        <v>2061470.0</v>
      </c>
      <c r="O640" s="17">
        <v>1.0496987E7</v>
      </c>
      <c r="P640" s="17">
        <v>7806048.0</v>
      </c>
      <c r="Q640" s="17">
        <v>0.0</v>
      </c>
      <c r="R640" s="17">
        <v>5585308.0</v>
      </c>
      <c r="S640" s="17">
        <v>3119730.0</v>
      </c>
      <c r="T640" s="17">
        <v>2182025.0</v>
      </c>
      <c r="U640" s="17">
        <v>4707536.0</v>
      </c>
      <c r="V640" s="11">
        <f t="array" ref="V640">XLOOKUP(A:A,'Raw Revenue'!A:A,'Raw Revenue'!B:B,0)
</f>
        <v>0</v>
      </c>
      <c r="W640" s="11">
        <f t="array" ref="W640">XLOOKUP(A:A,'Raw Revenue'!C:C,'Raw Revenue'!D:D,0)</f>
        <v>0</v>
      </c>
      <c r="X640" s="11">
        <f t="array" ref="X640">XLOOKUP(A:A,'Raw Revenue'!E:E,'Raw Revenue'!F:F,0)</f>
        <v>0</v>
      </c>
      <c r="Y640" s="11">
        <f t="array" ref="Y640">XLOOKUP(A:A,'Raw Revenue'!G:G,'Raw Revenue'!H:H,0)</f>
        <v>0</v>
      </c>
      <c r="Z640" s="11">
        <f t="array" ref="Z640">XLOOKUP(A:A,'Raw Revenue'!I:I,'Raw Revenue'!J:J,0)</f>
        <v>0</v>
      </c>
      <c r="AA640" s="11">
        <f t="array" ref="AA640">XLOOKUP(A:A,'Raw Revenue'!K:K,'Raw Revenue'!L:L,0)</f>
        <v>0</v>
      </c>
      <c r="AB640" s="11">
        <f t="array" ref="AB640">XLOOKUP(A:A,'Raw Revenue'!M:M,'Raw Revenue'!N:N,0)</f>
        <v>0</v>
      </c>
      <c r="AC640" s="3">
        <v>0.0</v>
      </c>
      <c r="AD640" s="3">
        <v>0.0</v>
      </c>
      <c r="AE640" s="3">
        <v>0.0</v>
      </c>
      <c r="AF640" s="3">
        <v>0.0</v>
      </c>
      <c r="AG640" s="3">
        <v>0.0</v>
      </c>
    </row>
    <row r="641">
      <c r="A641" s="3" t="s">
        <v>1524</v>
      </c>
      <c r="B641" s="3" t="s">
        <v>1525</v>
      </c>
      <c r="C641" s="3" t="str">
        <f t="shared" si="1"/>
        <v>PT. Bintang Kejora Nusantara</v>
      </c>
      <c r="D641" s="3" t="s">
        <v>195</v>
      </c>
      <c r="E641" s="3" t="s">
        <v>196</v>
      </c>
      <c r="F641" s="3" t="s">
        <v>197</v>
      </c>
      <c r="G641" s="3" t="s">
        <v>76</v>
      </c>
      <c r="H641" s="3" t="str">
        <f t="array" ref="H641">XLOOKUP(G:G,'Account Manager Data'!A:A,'Account Manager Data'!B:B,0)</f>
        <v>Teguh Wijaya</v>
      </c>
      <c r="I641" s="11" t="str">
        <f t="array" ref="I641">XLOOKUP($G:$G,'Account Manager Data'!$A:$A,'Account Manager Data'!C:C)</f>
        <v>Sulawesi</v>
      </c>
      <c r="J641" s="17">
        <v>7356546.0</v>
      </c>
      <c r="K641" s="17">
        <v>6113945.0</v>
      </c>
      <c r="L641" s="17">
        <v>1.0599169E7</v>
      </c>
      <c r="M641" s="17">
        <v>7778210.0</v>
      </c>
      <c r="N641" s="17">
        <v>0.0</v>
      </c>
      <c r="O641" s="17">
        <v>1.3003555E7</v>
      </c>
      <c r="P641" s="17">
        <v>5172664.0</v>
      </c>
      <c r="Q641" s="17">
        <v>70035.0</v>
      </c>
      <c r="R641" s="17">
        <v>1.1636646E7</v>
      </c>
      <c r="S641" s="17">
        <v>8284690.0</v>
      </c>
      <c r="T641" s="17">
        <v>8716977.0</v>
      </c>
      <c r="U641" s="17">
        <v>341678.0</v>
      </c>
      <c r="V641" s="11">
        <f t="array" ref="V641">XLOOKUP(A:A,'Raw Revenue'!A:A,'Raw Revenue'!B:B,0)
</f>
        <v>0</v>
      </c>
      <c r="W641" s="11">
        <f t="array" ref="W641">XLOOKUP(A:A,'Raw Revenue'!C:C,'Raw Revenue'!D:D,0)</f>
        <v>0</v>
      </c>
      <c r="X641" s="11">
        <f t="array" ref="X641">XLOOKUP(A:A,'Raw Revenue'!E:E,'Raw Revenue'!F:F,0)</f>
        <v>0</v>
      </c>
      <c r="Y641" s="11">
        <f t="array" ref="Y641">XLOOKUP(A:A,'Raw Revenue'!G:G,'Raw Revenue'!H:H,0)</f>
        <v>0</v>
      </c>
      <c r="Z641" s="11">
        <f t="array" ref="Z641">XLOOKUP(A:A,'Raw Revenue'!I:I,'Raw Revenue'!J:J,0)</f>
        <v>0</v>
      </c>
      <c r="AA641" s="11">
        <f t="array" ref="AA641">XLOOKUP(A:A,'Raw Revenue'!K:K,'Raw Revenue'!L:L,0)</f>
        <v>0</v>
      </c>
      <c r="AB641" s="11">
        <f t="array" ref="AB641">XLOOKUP(A:A,'Raw Revenue'!M:M,'Raw Revenue'!N:N,0)</f>
        <v>0</v>
      </c>
      <c r="AC641" s="3">
        <v>0.0</v>
      </c>
      <c r="AD641" s="3">
        <v>0.0</v>
      </c>
      <c r="AE641" s="3">
        <v>0.0</v>
      </c>
      <c r="AF641" s="3">
        <v>0.0</v>
      </c>
      <c r="AG641" s="3">
        <v>0.0</v>
      </c>
    </row>
    <row r="642">
      <c r="A642" s="3" t="s">
        <v>1526</v>
      </c>
      <c r="B642" s="3" t="s">
        <v>1527</v>
      </c>
      <c r="C642" s="3" t="str">
        <f t="shared" si="1"/>
        <v>PT. Maju Jaya</v>
      </c>
      <c r="D642" s="3" t="s">
        <v>84</v>
      </c>
      <c r="E642" s="3" t="s">
        <v>215</v>
      </c>
      <c r="F642" s="3" t="s">
        <v>300</v>
      </c>
      <c r="G642" s="3" t="s">
        <v>70</v>
      </c>
      <c r="H642" s="3" t="str">
        <f t="array" ref="H642">XLOOKUP(G:G,'Account Manager Data'!A:A,'Account Manager Data'!B:B,0)</f>
        <v>Yusuf Hidayat</v>
      </c>
      <c r="I642" s="11" t="str">
        <f t="array" ref="I642">XLOOKUP($G:$G,'Account Manager Data'!$A:$A,'Account Manager Data'!C:C)</f>
        <v>Sumatera</v>
      </c>
      <c r="J642" s="17">
        <v>1279721.0</v>
      </c>
      <c r="K642" s="17">
        <v>3873312.0</v>
      </c>
      <c r="L642" s="17">
        <v>3380011.0</v>
      </c>
      <c r="M642" s="17">
        <v>2723973.0</v>
      </c>
      <c r="N642" s="17">
        <v>1.0153903E7</v>
      </c>
      <c r="O642" s="17">
        <v>1.117871E7</v>
      </c>
      <c r="P642" s="17">
        <v>0.0</v>
      </c>
      <c r="Q642" s="17">
        <v>1.1550845E7</v>
      </c>
      <c r="R642" s="17">
        <v>0.0</v>
      </c>
      <c r="S642" s="17">
        <v>3198770.0</v>
      </c>
      <c r="T642" s="17">
        <v>1.8230971E7</v>
      </c>
      <c r="U642" s="17">
        <v>1.0112295E7</v>
      </c>
      <c r="V642" s="11">
        <f t="array" ref="V642">XLOOKUP(A:A,'Raw Revenue'!A:A,'Raw Revenue'!B:B,0)
</f>
        <v>0</v>
      </c>
      <c r="W642" s="11">
        <f t="array" ref="W642">XLOOKUP(A:A,'Raw Revenue'!C:C,'Raw Revenue'!D:D,0)</f>
        <v>0</v>
      </c>
      <c r="X642" s="11">
        <f t="array" ref="X642">XLOOKUP(A:A,'Raw Revenue'!E:E,'Raw Revenue'!F:F,0)</f>
        <v>0</v>
      </c>
      <c r="Y642" s="11">
        <f t="array" ref="Y642">XLOOKUP(A:A,'Raw Revenue'!G:G,'Raw Revenue'!H:H,0)</f>
        <v>0</v>
      </c>
      <c r="Z642" s="11">
        <f t="array" ref="Z642">XLOOKUP(A:A,'Raw Revenue'!I:I,'Raw Revenue'!J:J,0)</f>
        <v>0</v>
      </c>
      <c r="AA642" s="11">
        <f t="array" ref="AA642">XLOOKUP(A:A,'Raw Revenue'!K:K,'Raw Revenue'!L:L,0)</f>
        <v>0</v>
      </c>
      <c r="AB642" s="11">
        <f t="array" ref="AB642">XLOOKUP(A:A,'Raw Revenue'!M:M,'Raw Revenue'!N:N,0)</f>
        <v>0</v>
      </c>
      <c r="AC642" s="3">
        <v>0.0</v>
      </c>
      <c r="AD642" s="3">
        <v>0.0</v>
      </c>
      <c r="AE642" s="3">
        <v>0.0</v>
      </c>
      <c r="AF642" s="3">
        <v>0.0</v>
      </c>
      <c r="AG642" s="3">
        <v>0.0</v>
      </c>
    </row>
    <row r="643">
      <c r="A643" s="3" t="s">
        <v>1528</v>
      </c>
      <c r="B643" s="3" t="s">
        <v>1529</v>
      </c>
      <c r="C643" s="3" t="str">
        <f t="shared" si="1"/>
        <v>CV. Sumber Makmur</v>
      </c>
      <c r="D643" s="3" t="s">
        <v>130</v>
      </c>
      <c r="E643" s="3" t="s">
        <v>187</v>
      </c>
      <c r="F643" s="3" t="s">
        <v>188</v>
      </c>
      <c r="G643" s="3" t="s">
        <v>15</v>
      </c>
      <c r="H643" s="3" t="str">
        <f t="array" ref="H643">XLOOKUP(G:G,'Account Manager Data'!A:A,'Account Manager Data'!B:B,0)</f>
        <v>Rizky Maulana</v>
      </c>
      <c r="I643" s="11" t="str">
        <f t="array" ref="I643">XLOOKUP($G:$G,'Account Manager Data'!$A:$A,'Account Manager Data'!C:C)</f>
        <v>Jawa</v>
      </c>
      <c r="J643" s="17">
        <v>4321062.0</v>
      </c>
      <c r="K643" s="17">
        <v>6750093.0</v>
      </c>
      <c r="L643" s="17">
        <v>7771348.0</v>
      </c>
      <c r="M643" s="17">
        <v>1.1383821E7</v>
      </c>
      <c r="N643" s="17">
        <v>1.2963598E7</v>
      </c>
      <c r="O643" s="17">
        <v>5024681.0</v>
      </c>
      <c r="P643" s="17">
        <v>2054013.0</v>
      </c>
      <c r="Q643" s="17">
        <v>47292.0</v>
      </c>
      <c r="R643" s="17">
        <v>0.0</v>
      </c>
      <c r="S643" s="17">
        <v>1.6396734E7</v>
      </c>
      <c r="T643" s="17">
        <v>1.7435555E7</v>
      </c>
      <c r="U643" s="17">
        <v>3111957.0</v>
      </c>
      <c r="V643" s="11">
        <f t="array" ref="V643">XLOOKUP(A:A,'Raw Revenue'!A:A,'Raw Revenue'!B:B,0)
</f>
        <v>0</v>
      </c>
      <c r="W643" s="11">
        <f t="array" ref="W643">XLOOKUP(A:A,'Raw Revenue'!C:C,'Raw Revenue'!D:D,0)</f>
        <v>0</v>
      </c>
      <c r="X643" s="11">
        <f t="array" ref="X643">XLOOKUP(A:A,'Raw Revenue'!E:E,'Raw Revenue'!F:F,0)</f>
        <v>0</v>
      </c>
      <c r="Y643" s="11">
        <f t="array" ref="Y643">XLOOKUP(A:A,'Raw Revenue'!G:G,'Raw Revenue'!H:H,0)</f>
        <v>0</v>
      </c>
      <c r="Z643" s="11">
        <f t="array" ref="Z643">XLOOKUP(A:A,'Raw Revenue'!I:I,'Raw Revenue'!J:J,0)</f>
        <v>0</v>
      </c>
      <c r="AA643" s="11">
        <f t="array" ref="AA643">XLOOKUP(A:A,'Raw Revenue'!K:K,'Raw Revenue'!L:L,0)</f>
        <v>0</v>
      </c>
      <c r="AB643" s="11">
        <f t="array" ref="AB643">XLOOKUP(A:A,'Raw Revenue'!M:M,'Raw Revenue'!N:N,0)</f>
        <v>0</v>
      </c>
      <c r="AC643" s="3">
        <v>0.0</v>
      </c>
      <c r="AD643" s="3">
        <v>0.0</v>
      </c>
      <c r="AE643" s="3">
        <v>0.0</v>
      </c>
      <c r="AF643" s="3">
        <v>0.0</v>
      </c>
      <c r="AG643" s="3">
        <v>0.0</v>
      </c>
    </row>
    <row r="644">
      <c r="A644" s="3" t="s">
        <v>1530</v>
      </c>
      <c r="B644" s="3" t="s">
        <v>1531</v>
      </c>
      <c r="C644" s="3" t="str">
        <f t="shared" si="1"/>
        <v>PT. Teknologi Nusantara</v>
      </c>
      <c r="D644" s="3" t="s">
        <v>186</v>
      </c>
      <c r="E644" s="3" t="s">
        <v>104</v>
      </c>
      <c r="F644" s="3" t="s">
        <v>105</v>
      </c>
      <c r="G644" s="3" t="s">
        <v>27</v>
      </c>
      <c r="H644" s="3" t="str">
        <f t="array" ref="H644">XLOOKUP(G:G,'Account Manager Data'!A:A,'Account Manager Data'!B:B,0)</f>
        <v>Dedi Kurniawan</v>
      </c>
      <c r="I644" s="11" t="str">
        <f t="array" ref="I644">XLOOKUP($G:$G,'Account Manager Data'!$A:$A,'Account Manager Data'!C:C)</f>
        <v>Kalimantan</v>
      </c>
      <c r="J644" s="17">
        <v>3506842.0</v>
      </c>
      <c r="K644" s="17">
        <v>8172084.0</v>
      </c>
      <c r="L644" s="17">
        <v>9971970.0</v>
      </c>
      <c r="M644" s="17">
        <v>2372862.0</v>
      </c>
      <c r="N644" s="17">
        <v>3032668.0</v>
      </c>
      <c r="O644" s="17">
        <v>1.3406039E7</v>
      </c>
      <c r="P644" s="17">
        <v>7859292.0</v>
      </c>
      <c r="Q644" s="17">
        <v>9824875.0</v>
      </c>
      <c r="R644" s="17">
        <v>5263227.0</v>
      </c>
      <c r="S644" s="17">
        <v>7919053.0</v>
      </c>
      <c r="T644" s="17">
        <v>1.6603413E7</v>
      </c>
      <c r="U644" s="17">
        <v>1.5927743E7</v>
      </c>
      <c r="V644" s="11">
        <f t="array" ref="V644">XLOOKUP(A:A,'Raw Revenue'!A:A,'Raw Revenue'!B:B,0)
</f>
        <v>0</v>
      </c>
      <c r="W644" s="11">
        <f t="array" ref="W644">XLOOKUP(A:A,'Raw Revenue'!C:C,'Raw Revenue'!D:D,0)</f>
        <v>0</v>
      </c>
      <c r="X644" s="11">
        <f t="array" ref="X644">XLOOKUP(A:A,'Raw Revenue'!E:E,'Raw Revenue'!F:F,0)</f>
        <v>0</v>
      </c>
      <c r="Y644" s="11">
        <f t="array" ref="Y644">XLOOKUP(A:A,'Raw Revenue'!G:G,'Raw Revenue'!H:H,0)</f>
        <v>0</v>
      </c>
      <c r="Z644" s="11">
        <f t="array" ref="Z644">XLOOKUP(A:A,'Raw Revenue'!I:I,'Raw Revenue'!J:J,0)</f>
        <v>0</v>
      </c>
      <c r="AA644" s="11">
        <f t="array" ref="AA644">XLOOKUP(A:A,'Raw Revenue'!K:K,'Raw Revenue'!L:L,0)</f>
        <v>0</v>
      </c>
      <c r="AB644" s="11">
        <f t="array" ref="AB644">XLOOKUP(A:A,'Raw Revenue'!M:M,'Raw Revenue'!N:N,0)</f>
        <v>0</v>
      </c>
      <c r="AC644" s="3">
        <v>0.0</v>
      </c>
      <c r="AD644" s="3">
        <v>0.0</v>
      </c>
      <c r="AE644" s="3">
        <v>0.0</v>
      </c>
      <c r="AF644" s="3">
        <v>0.0</v>
      </c>
      <c r="AG644" s="3">
        <v>0.0</v>
      </c>
    </row>
    <row r="645">
      <c r="A645" s="3" t="s">
        <v>1532</v>
      </c>
      <c r="B645" s="3" t="s">
        <v>1533</v>
      </c>
      <c r="C645" s="3" t="str">
        <f t="shared" si="1"/>
        <v>PT. Bakti Indonesia</v>
      </c>
      <c r="D645" s="3" t="s">
        <v>130</v>
      </c>
      <c r="E645" s="3" t="s">
        <v>104</v>
      </c>
      <c r="F645" s="3" t="s">
        <v>252</v>
      </c>
      <c r="G645" s="3" t="s">
        <v>78</v>
      </c>
      <c r="H645" s="3" t="str">
        <f t="array" ref="H645">XLOOKUP(G:G,'Account Manager Data'!A:A,'Account Manager Data'!B:B,0)</f>
        <v>Ilham Saputra</v>
      </c>
      <c r="I645" s="11" t="str">
        <f t="array" ref="I645">XLOOKUP($G:$G,'Account Manager Data'!$A:$A,'Account Manager Data'!C:C)</f>
        <v>Jawa</v>
      </c>
      <c r="J645" s="17">
        <v>3541738.0</v>
      </c>
      <c r="K645" s="17">
        <v>5962722.0</v>
      </c>
      <c r="L645" s="17">
        <v>9655859.0</v>
      </c>
      <c r="M645" s="17">
        <v>2394023.0</v>
      </c>
      <c r="N645" s="17">
        <v>1.3915229E7</v>
      </c>
      <c r="O645" s="17">
        <v>1.3205053E7</v>
      </c>
      <c r="P645" s="17">
        <v>978598.0</v>
      </c>
      <c r="Q645" s="17">
        <v>0.0</v>
      </c>
      <c r="R645" s="17">
        <v>1.4659755E7</v>
      </c>
      <c r="S645" s="17">
        <v>5194503.0</v>
      </c>
      <c r="T645" s="17">
        <v>5916528.0</v>
      </c>
      <c r="U645" s="17">
        <v>5630312.0</v>
      </c>
      <c r="V645" s="11">
        <f t="array" ref="V645">XLOOKUP(A:A,'Raw Revenue'!A:A,'Raw Revenue'!B:B,0)
</f>
        <v>0</v>
      </c>
      <c r="W645" s="11">
        <f t="array" ref="W645">XLOOKUP(A:A,'Raw Revenue'!C:C,'Raw Revenue'!D:D,0)</f>
        <v>0</v>
      </c>
      <c r="X645" s="11">
        <f t="array" ref="X645">XLOOKUP(A:A,'Raw Revenue'!E:E,'Raw Revenue'!F:F,0)</f>
        <v>0</v>
      </c>
      <c r="Y645" s="11">
        <f t="array" ref="Y645">XLOOKUP(A:A,'Raw Revenue'!G:G,'Raw Revenue'!H:H,0)</f>
        <v>0</v>
      </c>
      <c r="Z645" s="11">
        <f t="array" ref="Z645">XLOOKUP(A:A,'Raw Revenue'!I:I,'Raw Revenue'!J:J,0)</f>
        <v>0</v>
      </c>
      <c r="AA645" s="11">
        <f t="array" ref="AA645">XLOOKUP(A:A,'Raw Revenue'!K:K,'Raw Revenue'!L:L,0)</f>
        <v>0</v>
      </c>
      <c r="AB645" s="11">
        <f t="array" ref="AB645">XLOOKUP(A:A,'Raw Revenue'!M:M,'Raw Revenue'!N:N,0)</f>
        <v>0</v>
      </c>
      <c r="AC645" s="3">
        <v>0.0</v>
      </c>
      <c r="AD645" s="3">
        <v>0.0</v>
      </c>
      <c r="AE645" s="3">
        <v>0.0</v>
      </c>
      <c r="AF645" s="3">
        <v>0.0</v>
      </c>
      <c r="AG645" s="3">
        <v>0.0</v>
      </c>
    </row>
    <row r="646">
      <c r="A646" s="3" t="s">
        <v>1534</v>
      </c>
      <c r="B646" s="3" t="s">
        <v>1535</v>
      </c>
      <c r="C646" s="3" t="str">
        <f t="shared" si="1"/>
        <v>CV. Amanah Sejahtera</v>
      </c>
      <c r="D646" s="3" t="s">
        <v>130</v>
      </c>
      <c r="E646" s="3" t="s">
        <v>104</v>
      </c>
      <c r="F646" s="3" t="s">
        <v>134</v>
      </c>
      <c r="G646" s="3" t="s">
        <v>53</v>
      </c>
      <c r="H646" s="3" t="str">
        <f t="array" ref="H646">XLOOKUP(G:G,'Account Manager Data'!A:A,'Account Manager Data'!B:B,0)</f>
        <v>Fajar Ramadhan</v>
      </c>
      <c r="I646" s="11" t="str">
        <f t="array" ref="I646">XLOOKUP($G:$G,'Account Manager Data'!$A:$A,'Account Manager Data'!C:C)</f>
        <v>Sulawesi</v>
      </c>
      <c r="J646" s="17">
        <v>1360620.0</v>
      </c>
      <c r="K646" s="17">
        <v>6064826.0</v>
      </c>
      <c r="L646" s="17">
        <v>1819093.0</v>
      </c>
      <c r="M646" s="17">
        <v>9617747.0</v>
      </c>
      <c r="N646" s="17">
        <v>1.159568E7</v>
      </c>
      <c r="O646" s="17">
        <v>1.1030196E7</v>
      </c>
      <c r="P646" s="17">
        <v>4534638.0</v>
      </c>
      <c r="Q646" s="17">
        <v>1.015869E7</v>
      </c>
      <c r="R646" s="17">
        <v>4723791.0</v>
      </c>
      <c r="S646" s="17">
        <v>1.0358314E7</v>
      </c>
      <c r="T646" s="17">
        <v>1.3659765E7</v>
      </c>
      <c r="U646" s="17">
        <v>0.0</v>
      </c>
      <c r="V646" s="11">
        <f t="array" ref="V646">XLOOKUP(A:A,'Raw Revenue'!A:A,'Raw Revenue'!B:B,0)
</f>
        <v>0</v>
      </c>
      <c r="W646" s="11">
        <f t="array" ref="W646">XLOOKUP(A:A,'Raw Revenue'!C:C,'Raw Revenue'!D:D,0)</f>
        <v>0</v>
      </c>
      <c r="X646" s="11">
        <f t="array" ref="X646">XLOOKUP(A:A,'Raw Revenue'!E:E,'Raw Revenue'!F:F,0)</f>
        <v>0</v>
      </c>
      <c r="Y646" s="11">
        <f t="array" ref="Y646">XLOOKUP(A:A,'Raw Revenue'!G:G,'Raw Revenue'!H:H,0)</f>
        <v>0</v>
      </c>
      <c r="Z646" s="11">
        <f t="array" ref="Z646">XLOOKUP(A:A,'Raw Revenue'!I:I,'Raw Revenue'!J:J,0)</f>
        <v>0</v>
      </c>
      <c r="AA646" s="11">
        <f t="array" ref="AA646">XLOOKUP(A:A,'Raw Revenue'!K:K,'Raw Revenue'!L:L,0)</f>
        <v>0</v>
      </c>
      <c r="AB646" s="11">
        <f t="array" ref="AB646">XLOOKUP(A:A,'Raw Revenue'!M:M,'Raw Revenue'!N:N,0)</f>
        <v>0</v>
      </c>
      <c r="AC646" s="3">
        <v>0.0</v>
      </c>
      <c r="AD646" s="3">
        <v>0.0</v>
      </c>
      <c r="AE646" s="3">
        <v>0.0</v>
      </c>
      <c r="AF646" s="3">
        <v>0.0</v>
      </c>
      <c r="AG646" s="3">
        <v>0.0</v>
      </c>
    </row>
    <row r="647">
      <c r="A647" s="3" t="s">
        <v>455</v>
      </c>
      <c r="B647" s="3" t="s">
        <v>1536</v>
      </c>
      <c r="C647" s="3" t="str">
        <f t="shared" si="1"/>
        <v>PT. Digital Solusi Pratama</v>
      </c>
      <c r="D647" s="3" t="s">
        <v>103</v>
      </c>
      <c r="E647" s="3" t="s">
        <v>187</v>
      </c>
      <c r="F647" s="3" t="s">
        <v>188</v>
      </c>
      <c r="G647" s="3" t="s">
        <v>63</v>
      </c>
      <c r="H647" s="3" t="str">
        <f t="array" ref="H647">XLOOKUP(G:G,'Account Manager Data'!A:A,'Account Manager Data'!B:B,0)</f>
        <v>Hendra Gunawan</v>
      </c>
      <c r="I647" s="11" t="str">
        <f t="array" ref="I647">XLOOKUP($G:$G,'Account Manager Data'!$A:$A,'Account Manager Data'!C:C)</f>
        <v>Kalimantan</v>
      </c>
      <c r="J647" s="17">
        <v>5201610.0</v>
      </c>
      <c r="K647" s="17">
        <v>383774.0</v>
      </c>
      <c r="L647" s="17">
        <v>8861230.0</v>
      </c>
      <c r="M647" s="17">
        <v>1.1323736E7</v>
      </c>
      <c r="N647" s="17">
        <v>7631180.0</v>
      </c>
      <c r="O647" s="17">
        <v>1.0012524E7</v>
      </c>
      <c r="P647" s="17">
        <v>3199439.0</v>
      </c>
      <c r="Q647" s="17">
        <v>1.3114695E7</v>
      </c>
      <c r="R647" s="17">
        <v>1.0592021E7</v>
      </c>
      <c r="S647" s="17">
        <v>1.578191E7</v>
      </c>
      <c r="T647" s="17">
        <v>5020874.0</v>
      </c>
      <c r="U647" s="17">
        <v>0.0</v>
      </c>
      <c r="V647" s="11">
        <f t="array" ref="V647">XLOOKUP(A:A,'Raw Revenue'!A:A,'Raw Revenue'!B:B,0)
</f>
        <v>9282679.039</v>
      </c>
      <c r="W647" s="11">
        <f t="array" ref="W647">XLOOKUP(A:A,'Raw Revenue'!C:C,'Raw Revenue'!D:D,0)</f>
        <v>9282679.039</v>
      </c>
      <c r="X647" s="11">
        <f t="array" ref="X647">XLOOKUP(A:A,'Raw Revenue'!E:E,'Raw Revenue'!F:F,0)</f>
        <v>18565358.08</v>
      </c>
      <c r="Y647" s="11">
        <f t="array" ref="Y647">XLOOKUP(A:A,'Raw Revenue'!G:G,'Raw Revenue'!H:H,0)</f>
        <v>15161709.1</v>
      </c>
      <c r="Z647" s="11">
        <f t="array" ref="Z647">XLOOKUP(A:A,'Raw Revenue'!I:I,'Raw Revenue'!J:J,0)</f>
        <v>13614595.92</v>
      </c>
      <c r="AA647" s="11">
        <f t="array" ref="AA647">XLOOKUP(A:A,'Raw Revenue'!K:K,'Raw Revenue'!L:L,0)</f>
        <v>34810046.4</v>
      </c>
      <c r="AB647" s="11">
        <f t="array" ref="AB647">XLOOKUP(A:A,'Raw Revenue'!M:M,'Raw Revenue'!N:N,0)</f>
        <v>32025242.69</v>
      </c>
      <c r="AC647" s="3">
        <v>0.0</v>
      </c>
      <c r="AD647" s="3">
        <v>0.0</v>
      </c>
      <c r="AE647" s="3">
        <v>0.0</v>
      </c>
      <c r="AF647" s="3">
        <v>0.0</v>
      </c>
      <c r="AG647" s="3">
        <v>0.0</v>
      </c>
    </row>
    <row r="648">
      <c r="A648" s="3" t="s">
        <v>1537</v>
      </c>
      <c r="B648" s="3" t="s">
        <v>1538</v>
      </c>
      <c r="C648" s="3" t="str">
        <f t="shared" si="1"/>
        <v>PT. Global Niaga Abadi</v>
      </c>
      <c r="D648" s="3" t="s">
        <v>84</v>
      </c>
      <c r="E648" s="3" t="s">
        <v>187</v>
      </c>
      <c r="F648" s="3" t="s">
        <v>269</v>
      </c>
      <c r="G648" s="3" t="s">
        <v>35</v>
      </c>
      <c r="H648" s="3" t="str">
        <f t="array" ref="H648">XLOOKUP(G:G,'Account Manager Data'!A:A,'Account Manager Data'!B:B,0)</f>
        <v>Ahmad Fauzi</v>
      </c>
      <c r="I648" s="11" t="str">
        <f t="array" ref="I648">XLOOKUP($G:$G,'Account Manager Data'!$A:$A,'Account Manager Data'!C:C)</f>
        <v>Sumatera</v>
      </c>
      <c r="J648" s="17">
        <v>143206.0</v>
      </c>
      <c r="K648" s="17">
        <v>7829441.0</v>
      </c>
      <c r="L648" s="17">
        <v>2146220.0</v>
      </c>
      <c r="M648" s="17">
        <v>7014300.0</v>
      </c>
      <c r="N648" s="17">
        <v>7255760.0</v>
      </c>
      <c r="O648" s="17">
        <v>7210336.0</v>
      </c>
      <c r="P648" s="17">
        <v>8335751.0</v>
      </c>
      <c r="Q648" s="17">
        <v>2293934.0</v>
      </c>
      <c r="R648" s="17">
        <v>3197303.0</v>
      </c>
      <c r="S648" s="17">
        <v>1.4537704E7</v>
      </c>
      <c r="T648" s="17">
        <v>1.0792017E7</v>
      </c>
      <c r="U648" s="17">
        <v>1324323.0</v>
      </c>
      <c r="V648" s="11">
        <f t="array" ref="V648">XLOOKUP(A:A,'Raw Revenue'!A:A,'Raw Revenue'!B:B,0)
</f>
        <v>0</v>
      </c>
      <c r="W648" s="11">
        <f t="array" ref="W648">XLOOKUP(A:A,'Raw Revenue'!C:C,'Raw Revenue'!D:D,0)</f>
        <v>0</v>
      </c>
      <c r="X648" s="11">
        <f t="array" ref="X648">XLOOKUP(A:A,'Raw Revenue'!E:E,'Raw Revenue'!F:F,0)</f>
        <v>0</v>
      </c>
      <c r="Y648" s="11">
        <f t="array" ref="Y648">XLOOKUP(A:A,'Raw Revenue'!G:G,'Raw Revenue'!H:H,0)</f>
        <v>0</v>
      </c>
      <c r="Z648" s="11">
        <f t="array" ref="Z648">XLOOKUP(A:A,'Raw Revenue'!I:I,'Raw Revenue'!J:J,0)</f>
        <v>0</v>
      </c>
      <c r="AA648" s="11">
        <f t="array" ref="AA648">XLOOKUP(A:A,'Raw Revenue'!K:K,'Raw Revenue'!L:L,0)</f>
        <v>0</v>
      </c>
      <c r="AB648" s="11">
        <f t="array" ref="AB648">XLOOKUP(A:A,'Raw Revenue'!M:M,'Raw Revenue'!N:N,0)</f>
        <v>0</v>
      </c>
      <c r="AC648" s="3">
        <v>0.0</v>
      </c>
      <c r="AD648" s="3">
        <v>0.0</v>
      </c>
      <c r="AE648" s="3">
        <v>0.0</v>
      </c>
      <c r="AF648" s="3">
        <v>0.0</v>
      </c>
      <c r="AG648" s="3">
        <v>0.0</v>
      </c>
    </row>
    <row r="649">
      <c r="A649" s="3" t="s">
        <v>1539</v>
      </c>
      <c r="B649" s="3" t="s">
        <v>1540</v>
      </c>
      <c r="C649" s="3" t="str">
        <f t="shared" si="1"/>
        <v>PT. Indo Makmur Sentosa</v>
      </c>
      <c r="D649" s="3" t="s">
        <v>214</v>
      </c>
      <c r="E649" s="3" t="s">
        <v>215</v>
      </c>
      <c r="F649" s="3" t="s">
        <v>300</v>
      </c>
      <c r="G649" s="3" t="s">
        <v>74</v>
      </c>
      <c r="H649" s="3" t="str">
        <f t="array" ref="H649">XLOOKUP(G:G,'Account Manager Data'!A:A,'Account Manager Data'!B:B,0)</f>
        <v>Budi Santoso</v>
      </c>
      <c r="I649" s="11" t="str">
        <f t="array" ref="I649">XLOOKUP($G:$G,'Account Manager Data'!$A:$A,'Account Manager Data'!C:C)</f>
        <v>Papua</v>
      </c>
      <c r="J649" s="17">
        <v>5068754.0</v>
      </c>
      <c r="K649" s="17">
        <v>1416078.0</v>
      </c>
      <c r="L649" s="17">
        <v>8119105.0</v>
      </c>
      <c r="M649" s="17">
        <v>0.0</v>
      </c>
      <c r="N649" s="17">
        <v>5143848.0</v>
      </c>
      <c r="O649" s="17">
        <v>0.0</v>
      </c>
      <c r="P649" s="17">
        <v>8927528.0</v>
      </c>
      <c r="Q649" s="17">
        <v>2691859.0</v>
      </c>
      <c r="R649" s="17">
        <v>9961756.0</v>
      </c>
      <c r="S649" s="17">
        <v>1.2357093E7</v>
      </c>
      <c r="T649" s="17">
        <v>7276502.0</v>
      </c>
      <c r="U649" s="17">
        <v>3545209.0</v>
      </c>
      <c r="V649" s="11">
        <f t="array" ref="V649">XLOOKUP(A:A,'Raw Revenue'!A:A,'Raw Revenue'!B:B,0)
</f>
        <v>0</v>
      </c>
      <c r="W649" s="11">
        <f t="array" ref="W649">XLOOKUP(A:A,'Raw Revenue'!C:C,'Raw Revenue'!D:D,0)</f>
        <v>0</v>
      </c>
      <c r="X649" s="11">
        <f t="array" ref="X649">XLOOKUP(A:A,'Raw Revenue'!E:E,'Raw Revenue'!F:F,0)</f>
        <v>0</v>
      </c>
      <c r="Y649" s="11">
        <f t="array" ref="Y649">XLOOKUP(A:A,'Raw Revenue'!G:G,'Raw Revenue'!H:H,0)</f>
        <v>0</v>
      </c>
      <c r="Z649" s="11">
        <f t="array" ref="Z649">XLOOKUP(A:A,'Raw Revenue'!I:I,'Raw Revenue'!J:J,0)</f>
        <v>0</v>
      </c>
      <c r="AA649" s="11">
        <f t="array" ref="AA649">XLOOKUP(A:A,'Raw Revenue'!K:K,'Raw Revenue'!L:L,0)</f>
        <v>0</v>
      </c>
      <c r="AB649" s="11">
        <f t="array" ref="AB649">XLOOKUP(A:A,'Raw Revenue'!M:M,'Raw Revenue'!N:N,0)</f>
        <v>0</v>
      </c>
      <c r="AC649" s="3">
        <v>0.0</v>
      </c>
      <c r="AD649" s="3">
        <v>0.0</v>
      </c>
      <c r="AE649" s="3">
        <v>0.0</v>
      </c>
      <c r="AF649" s="3">
        <v>0.0</v>
      </c>
      <c r="AG649" s="3">
        <v>0.0</v>
      </c>
    </row>
    <row r="650">
      <c r="A650" s="3" t="s">
        <v>1541</v>
      </c>
      <c r="B650" s="3" t="s">
        <v>1542</v>
      </c>
      <c r="C650" s="3" t="str">
        <f t="shared" si="1"/>
        <v>PT. Citra Mandiri Utama</v>
      </c>
      <c r="D650" s="3" t="s">
        <v>130</v>
      </c>
      <c r="E650" s="3" t="s">
        <v>104</v>
      </c>
      <c r="F650" s="3" t="s">
        <v>134</v>
      </c>
      <c r="G650" s="3" t="s">
        <v>43</v>
      </c>
      <c r="H650" s="3" t="str">
        <f t="array" ref="H650">XLOOKUP(G:G,'Account Manager Data'!A:A,'Account Manager Data'!B:B,0)</f>
        <v>Eko Prasetyo</v>
      </c>
      <c r="I650" s="11" t="str">
        <f t="array" ref="I650">XLOOKUP($G:$G,'Account Manager Data'!$A:$A,'Account Manager Data'!C:C)</f>
        <v>Papua</v>
      </c>
      <c r="J650" s="17">
        <v>0.0</v>
      </c>
      <c r="K650" s="17">
        <v>3002694.0</v>
      </c>
      <c r="L650" s="17">
        <v>9517626.0</v>
      </c>
      <c r="M650" s="17">
        <v>2980492.0</v>
      </c>
      <c r="N650" s="17">
        <v>6009072.0</v>
      </c>
      <c r="O650" s="17">
        <v>0.0</v>
      </c>
      <c r="P650" s="17">
        <v>1.4204304E7</v>
      </c>
      <c r="Q650" s="17">
        <v>8281884.0</v>
      </c>
      <c r="R650" s="17">
        <v>888451.0</v>
      </c>
      <c r="S650" s="17">
        <v>1.6364714E7</v>
      </c>
      <c r="T650" s="17">
        <v>9394022.0</v>
      </c>
      <c r="U650" s="17">
        <v>1.4888653E7</v>
      </c>
      <c r="V650" s="11">
        <f t="array" ref="V650">XLOOKUP(A:A,'Raw Revenue'!A:A,'Raw Revenue'!B:B,0)
</f>
        <v>0</v>
      </c>
      <c r="W650" s="11">
        <f t="array" ref="W650">XLOOKUP(A:A,'Raw Revenue'!C:C,'Raw Revenue'!D:D,0)</f>
        <v>0</v>
      </c>
      <c r="X650" s="11">
        <f t="array" ref="X650">XLOOKUP(A:A,'Raw Revenue'!E:E,'Raw Revenue'!F:F,0)</f>
        <v>0</v>
      </c>
      <c r="Y650" s="11">
        <f t="array" ref="Y650">XLOOKUP(A:A,'Raw Revenue'!G:G,'Raw Revenue'!H:H,0)</f>
        <v>0</v>
      </c>
      <c r="Z650" s="11">
        <f t="array" ref="Z650">XLOOKUP(A:A,'Raw Revenue'!I:I,'Raw Revenue'!J:J,0)</f>
        <v>0</v>
      </c>
      <c r="AA650" s="11">
        <f t="array" ref="AA650">XLOOKUP(A:A,'Raw Revenue'!K:K,'Raw Revenue'!L:L,0)</f>
        <v>0</v>
      </c>
      <c r="AB650" s="11">
        <f t="array" ref="AB650">XLOOKUP(A:A,'Raw Revenue'!M:M,'Raw Revenue'!N:N,0)</f>
        <v>0</v>
      </c>
      <c r="AC650" s="3">
        <v>0.0</v>
      </c>
      <c r="AD650" s="3">
        <v>0.0</v>
      </c>
      <c r="AE650" s="3">
        <v>0.0</v>
      </c>
      <c r="AF650" s="3">
        <v>0.0</v>
      </c>
      <c r="AG650" s="3">
        <v>0.0</v>
      </c>
    </row>
    <row r="651">
      <c r="A651" s="3" t="s">
        <v>1543</v>
      </c>
      <c r="B651" s="3" t="s">
        <v>1544</v>
      </c>
      <c r="C651" s="3" t="str">
        <f t="shared" si="1"/>
        <v>PT. Sinar Dunia Baru</v>
      </c>
      <c r="D651" s="3" t="s">
        <v>84</v>
      </c>
      <c r="E651" s="3" t="s">
        <v>187</v>
      </c>
      <c r="F651" s="3" t="s">
        <v>188</v>
      </c>
      <c r="G651" s="3" t="s">
        <v>76</v>
      </c>
      <c r="H651" s="3" t="str">
        <f t="array" ref="H651">XLOOKUP(G:G,'Account Manager Data'!A:A,'Account Manager Data'!B:B,0)</f>
        <v>Teguh Wijaya</v>
      </c>
      <c r="I651" s="11" t="str">
        <f t="array" ref="I651">XLOOKUP($G:$G,'Account Manager Data'!$A:$A,'Account Manager Data'!C:C)</f>
        <v>Sulawesi</v>
      </c>
      <c r="J651" s="17">
        <v>4287818.0</v>
      </c>
      <c r="K651" s="17">
        <v>4582712.0</v>
      </c>
      <c r="L651" s="17">
        <v>7601716.0</v>
      </c>
      <c r="M651" s="17">
        <v>5509672.0</v>
      </c>
      <c r="N651" s="17">
        <v>4610134.0</v>
      </c>
      <c r="O651" s="17">
        <v>3315931.0</v>
      </c>
      <c r="P651" s="17">
        <v>0.0</v>
      </c>
      <c r="Q651" s="17">
        <v>7512254.0</v>
      </c>
      <c r="R651" s="17">
        <v>7391842.0</v>
      </c>
      <c r="S651" s="17">
        <v>3571937.0</v>
      </c>
      <c r="T651" s="17">
        <v>1.6264151E7</v>
      </c>
      <c r="U651" s="17">
        <v>973368.0</v>
      </c>
      <c r="V651" s="11">
        <f t="array" ref="V651">XLOOKUP(A:A,'Raw Revenue'!A:A,'Raw Revenue'!B:B,0)
</f>
        <v>0</v>
      </c>
      <c r="W651" s="11">
        <f t="array" ref="W651">XLOOKUP(A:A,'Raw Revenue'!C:C,'Raw Revenue'!D:D,0)</f>
        <v>0</v>
      </c>
      <c r="X651" s="11">
        <f t="array" ref="X651">XLOOKUP(A:A,'Raw Revenue'!E:E,'Raw Revenue'!F:F,0)</f>
        <v>0</v>
      </c>
      <c r="Y651" s="11">
        <f t="array" ref="Y651">XLOOKUP(A:A,'Raw Revenue'!G:G,'Raw Revenue'!H:H,0)</f>
        <v>0</v>
      </c>
      <c r="Z651" s="11">
        <f t="array" ref="Z651">XLOOKUP(A:A,'Raw Revenue'!I:I,'Raw Revenue'!J:J,0)</f>
        <v>0</v>
      </c>
      <c r="AA651" s="11">
        <f t="array" ref="AA651">XLOOKUP(A:A,'Raw Revenue'!K:K,'Raw Revenue'!L:L,0)</f>
        <v>0</v>
      </c>
      <c r="AB651" s="11">
        <f t="array" ref="AB651">XLOOKUP(A:A,'Raw Revenue'!M:M,'Raw Revenue'!N:N,0)</f>
        <v>0</v>
      </c>
      <c r="AC651" s="3">
        <v>0.0</v>
      </c>
      <c r="AD651" s="3">
        <v>0.0</v>
      </c>
      <c r="AE651" s="3">
        <v>0.0</v>
      </c>
      <c r="AF651" s="3">
        <v>0.0</v>
      </c>
      <c r="AG651" s="3">
        <v>0.0</v>
      </c>
    </row>
    <row r="652">
      <c r="A652" s="3" t="s">
        <v>1545</v>
      </c>
      <c r="B652" s="3" t="s">
        <v>1546</v>
      </c>
      <c r="C652" s="3" t="str">
        <f t="shared" si="1"/>
        <v>CV. Karya Utama Mandiri</v>
      </c>
      <c r="D652" s="3" t="s">
        <v>195</v>
      </c>
      <c r="E652" s="3" t="s">
        <v>196</v>
      </c>
      <c r="F652" s="3" t="s">
        <v>197</v>
      </c>
      <c r="G652" s="3" t="s">
        <v>70</v>
      </c>
      <c r="H652" s="3" t="str">
        <f t="array" ref="H652">XLOOKUP(G:G,'Account Manager Data'!A:A,'Account Manager Data'!B:B,0)</f>
        <v>Yusuf Hidayat</v>
      </c>
      <c r="I652" s="11" t="str">
        <f t="array" ref="I652">XLOOKUP($G:$G,'Account Manager Data'!$A:$A,'Account Manager Data'!C:C)</f>
        <v>Sumatera</v>
      </c>
      <c r="J652" s="17">
        <v>6175753.0</v>
      </c>
      <c r="K652" s="17">
        <v>3730352.0</v>
      </c>
      <c r="L652" s="17">
        <v>9384128.0</v>
      </c>
      <c r="M652" s="17">
        <v>1043154.0</v>
      </c>
      <c r="N652" s="17">
        <v>9672896.0</v>
      </c>
      <c r="O652" s="17">
        <v>1362665.0</v>
      </c>
      <c r="P652" s="17">
        <v>1.5338995E7</v>
      </c>
      <c r="Q652" s="17">
        <v>4879228.0</v>
      </c>
      <c r="R652" s="17">
        <v>6566370.0</v>
      </c>
      <c r="S652" s="17">
        <v>1.4547415E7</v>
      </c>
      <c r="T652" s="17">
        <v>1.7543286E7</v>
      </c>
      <c r="U652" s="17">
        <v>1.8379503E7</v>
      </c>
      <c r="V652" s="11">
        <f t="array" ref="V652">XLOOKUP(A:A,'Raw Revenue'!A:A,'Raw Revenue'!B:B,0)
</f>
        <v>0</v>
      </c>
      <c r="W652" s="11">
        <f t="array" ref="W652">XLOOKUP(A:A,'Raw Revenue'!C:C,'Raw Revenue'!D:D,0)</f>
        <v>0</v>
      </c>
      <c r="X652" s="11">
        <f t="array" ref="X652">XLOOKUP(A:A,'Raw Revenue'!E:E,'Raw Revenue'!F:F,0)</f>
        <v>0</v>
      </c>
      <c r="Y652" s="11">
        <f t="array" ref="Y652">XLOOKUP(A:A,'Raw Revenue'!G:G,'Raw Revenue'!H:H,0)</f>
        <v>0</v>
      </c>
      <c r="Z652" s="11">
        <f t="array" ref="Z652">XLOOKUP(A:A,'Raw Revenue'!I:I,'Raw Revenue'!J:J,0)</f>
        <v>0</v>
      </c>
      <c r="AA652" s="11">
        <f t="array" ref="AA652">XLOOKUP(A:A,'Raw Revenue'!K:K,'Raw Revenue'!L:L,0)</f>
        <v>0</v>
      </c>
      <c r="AB652" s="11">
        <f t="array" ref="AB652">XLOOKUP(A:A,'Raw Revenue'!M:M,'Raw Revenue'!N:N,0)</f>
        <v>0</v>
      </c>
      <c r="AC652" s="3">
        <v>0.0</v>
      </c>
      <c r="AD652" s="3">
        <v>0.0</v>
      </c>
      <c r="AE652" s="3">
        <v>0.0</v>
      </c>
      <c r="AF652" s="3">
        <v>0.0</v>
      </c>
      <c r="AG652" s="3">
        <v>0.0</v>
      </c>
    </row>
    <row r="653">
      <c r="A653" s="3" t="s">
        <v>1547</v>
      </c>
      <c r="B653" s="3" t="s">
        <v>1548</v>
      </c>
      <c r="C653" s="3" t="str">
        <f t="shared" si="1"/>
        <v>PT. Pratama Jaya Sentosa</v>
      </c>
      <c r="D653" s="3" t="s">
        <v>195</v>
      </c>
      <c r="E653" s="3" t="s">
        <v>85</v>
      </c>
      <c r="F653" s="3" t="s">
        <v>407</v>
      </c>
      <c r="G653" s="3" t="s">
        <v>15</v>
      </c>
      <c r="H653" s="3" t="str">
        <f t="array" ref="H653">XLOOKUP(G:G,'Account Manager Data'!A:A,'Account Manager Data'!B:B,0)</f>
        <v>Rizky Maulana</v>
      </c>
      <c r="I653" s="11" t="str">
        <f t="array" ref="I653">XLOOKUP($G:$G,'Account Manager Data'!$A:$A,'Account Manager Data'!C:C)</f>
        <v>Jawa</v>
      </c>
      <c r="J653" s="17">
        <v>430938.0</v>
      </c>
      <c r="K653" s="17">
        <v>6282756.0</v>
      </c>
      <c r="L653" s="17">
        <v>4939012.0</v>
      </c>
      <c r="M653" s="17">
        <v>2284343.0</v>
      </c>
      <c r="N653" s="17">
        <v>752685.0</v>
      </c>
      <c r="O653" s="17">
        <v>1.2673006E7</v>
      </c>
      <c r="P653" s="17">
        <v>1.5532322E7</v>
      </c>
      <c r="Q653" s="17">
        <v>10774.0</v>
      </c>
      <c r="R653" s="17">
        <v>1.2994379E7</v>
      </c>
      <c r="S653" s="17">
        <v>6017949.0</v>
      </c>
      <c r="T653" s="17">
        <v>1.2883337E7</v>
      </c>
      <c r="U653" s="17">
        <v>3646431.0</v>
      </c>
      <c r="V653" s="11">
        <f t="array" ref="V653">XLOOKUP(A:A,'Raw Revenue'!A:A,'Raw Revenue'!B:B,0)
</f>
        <v>0</v>
      </c>
      <c r="W653" s="11">
        <f t="array" ref="W653">XLOOKUP(A:A,'Raw Revenue'!C:C,'Raw Revenue'!D:D,0)</f>
        <v>0</v>
      </c>
      <c r="X653" s="11">
        <f t="array" ref="X653">XLOOKUP(A:A,'Raw Revenue'!E:E,'Raw Revenue'!F:F,0)</f>
        <v>0</v>
      </c>
      <c r="Y653" s="11">
        <f t="array" ref="Y653">XLOOKUP(A:A,'Raw Revenue'!G:G,'Raw Revenue'!H:H,0)</f>
        <v>0</v>
      </c>
      <c r="Z653" s="11">
        <f t="array" ref="Z653">XLOOKUP(A:A,'Raw Revenue'!I:I,'Raw Revenue'!J:J,0)</f>
        <v>0</v>
      </c>
      <c r="AA653" s="11">
        <f t="array" ref="AA653">XLOOKUP(A:A,'Raw Revenue'!K:K,'Raw Revenue'!L:L,0)</f>
        <v>0</v>
      </c>
      <c r="AB653" s="11">
        <f t="array" ref="AB653">XLOOKUP(A:A,'Raw Revenue'!M:M,'Raw Revenue'!N:N,0)</f>
        <v>0</v>
      </c>
      <c r="AC653" s="3">
        <v>0.0</v>
      </c>
      <c r="AD653" s="3">
        <v>0.0</v>
      </c>
      <c r="AE653" s="3">
        <v>0.0</v>
      </c>
      <c r="AF653" s="3">
        <v>0.0</v>
      </c>
      <c r="AG653" s="3">
        <v>0.0</v>
      </c>
    </row>
    <row r="654">
      <c r="A654" s="3" t="s">
        <v>1549</v>
      </c>
      <c r="B654" s="3" t="s">
        <v>1550</v>
      </c>
      <c r="C654" s="3" t="str">
        <f t="shared" si="1"/>
        <v>PT. Abadi Selamanya Jaya</v>
      </c>
      <c r="D654" s="3" t="s">
        <v>195</v>
      </c>
      <c r="E654" s="3" t="s">
        <v>215</v>
      </c>
      <c r="F654" s="3" t="s">
        <v>300</v>
      </c>
      <c r="G654" s="3" t="s">
        <v>53</v>
      </c>
      <c r="H654" s="3" t="str">
        <f t="array" ref="H654">XLOOKUP(G:G,'Account Manager Data'!A:A,'Account Manager Data'!B:B,0)</f>
        <v>Fajar Ramadhan</v>
      </c>
      <c r="I654" s="11" t="str">
        <f t="array" ref="I654">XLOOKUP($G:$G,'Account Manager Data'!$A:$A,'Account Manager Data'!C:C)</f>
        <v>Sulawesi</v>
      </c>
      <c r="J654" s="17">
        <v>5171575.0</v>
      </c>
      <c r="K654" s="17">
        <v>6194060.0</v>
      </c>
      <c r="L654" s="17">
        <v>5734058.0</v>
      </c>
      <c r="M654" s="17">
        <v>9999142.0</v>
      </c>
      <c r="N654" s="17">
        <v>6384854.0</v>
      </c>
      <c r="O654" s="17">
        <v>1.3267306E7</v>
      </c>
      <c r="P654" s="17">
        <v>1.3328473E7</v>
      </c>
      <c r="Q654" s="17">
        <v>5405073.0</v>
      </c>
      <c r="R654" s="17">
        <v>209606.0</v>
      </c>
      <c r="S654" s="17">
        <v>8311196.0</v>
      </c>
      <c r="T654" s="17">
        <v>1.1521166E7</v>
      </c>
      <c r="U654" s="17">
        <v>6680861.0</v>
      </c>
      <c r="V654" s="11">
        <f t="array" ref="V654">XLOOKUP(A:A,'Raw Revenue'!A:A,'Raw Revenue'!B:B,0)
</f>
        <v>0</v>
      </c>
      <c r="W654" s="11">
        <f t="array" ref="W654">XLOOKUP(A:A,'Raw Revenue'!C:C,'Raw Revenue'!D:D,0)</f>
        <v>0</v>
      </c>
      <c r="X654" s="11">
        <f t="array" ref="X654">XLOOKUP(A:A,'Raw Revenue'!E:E,'Raw Revenue'!F:F,0)</f>
        <v>0</v>
      </c>
      <c r="Y654" s="11">
        <f t="array" ref="Y654">XLOOKUP(A:A,'Raw Revenue'!G:G,'Raw Revenue'!H:H,0)</f>
        <v>0</v>
      </c>
      <c r="Z654" s="11">
        <f t="array" ref="Z654">XLOOKUP(A:A,'Raw Revenue'!I:I,'Raw Revenue'!J:J,0)</f>
        <v>0</v>
      </c>
      <c r="AA654" s="11">
        <f t="array" ref="AA654">XLOOKUP(A:A,'Raw Revenue'!K:K,'Raw Revenue'!L:L,0)</f>
        <v>0</v>
      </c>
      <c r="AB654" s="11">
        <f t="array" ref="AB654">XLOOKUP(A:A,'Raw Revenue'!M:M,'Raw Revenue'!N:N,0)</f>
        <v>0</v>
      </c>
      <c r="AC654" s="3">
        <v>0.0</v>
      </c>
      <c r="AD654" s="3">
        <v>0.0</v>
      </c>
      <c r="AE654" s="3">
        <v>0.0</v>
      </c>
      <c r="AF654" s="3">
        <v>0.0</v>
      </c>
      <c r="AG654" s="3">
        <v>0.0</v>
      </c>
    </row>
    <row r="655">
      <c r="A655" s="3" t="s">
        <v>1551</v>
      </c>
      <c r="B655" s="3" t="s">
        <v>1552</v>
      </c>
      <c r="C655" s="3" t="str">
        <f t="shared" si="1"/>
        <v>PT. Mandiri Sejahtera Bersama</v>
      </c>
      <c r="D655" s="3" t="s">
        <v>84</v>
      </c>
      <c r="E655" s="3" t="s">
        <v>85</v>
      </c>
      <c r="F655" s="3" t="s">
        <v>86</v>
      </c>
      <c r="G655" s="3" t="s">
        <v>27</v>
      </c>
      <c r="H655" s="3" t="str">
        <f t="array" ref="H655">XLOOKUP(G:G,'Account Manager Data'!A:A,'Account Manager Data'!B:B,0)</f>
        <v>Dedi Kurniawan</v>
      </c>
      <c r="I655" s="11" t="str">
        <f t="array" ref="I655">XLOOKUP($G:$G,'Account Manager Data'!$A:$A,'Account Manager Data'!C:C)</f>
        <v>Kalimantan</v>
      </c>
      <c r="J655" s="17">
        <v>1358841.0</v>
      </c>
      <c r="K655" s="17">
        <v>8494164.0</v>
      </c>
      <c r="L655" s="17">
        <v>6540874.0</v>
      </c>
      <c r="M655" s="17">
        <v>8634652.0</v>
      </c>
      <c r="N655" s="17">
        <v>0.0</v>
      </c>
      <c r="O655" s="17">
        <v>1.5059728E7</v>
      </c>
      <c r="P655" s="17">
        <v>3360961.0</v>
      </c>
      <c r="Q655" s="17">
        <v>3802166.0</v>
      </c>
      <c r="R655" s="17">
        <v>6537353.0</v>
      </c>
      <c r="S655" s="17">
        <v>9347032.0</v>
      </c>
      <c r="T655" s="17">
        <v>6301174.0</v>
      </c>
      <c r="U655" s="17">
        <v>6865707.0</v>
      </c>
      <c r="V655" s="11">
        <f t="array" ref="V655">XLOOKUP(A:A,'Raw Revenue'!A:A,'Raw Revenue'!B:B,0)
</f>
        <v>0</v>
      </c>
      <c r="W655" s="11">
        <f t="array" ref="W655">XLOOKUP(A:A,'Raw Revenue'!C:C,'Raw Revenue'!D:D,0)</f>
        <v>0</v>
      </c>
      <c r="X655" s="11">
        <f t="array" ref="X655">XLOOKUP(A:A,'Raw Revenue'!E:E,'Raw Revenue'!F:F,0)</f>
        <v>0</v>
      </c>
      <c r="Y655" s="11">
        <f t="array" ref="Y655">XLOOKUP(A:A,'Raw Revenue'!G:G,'Raw Revenue'!H:H,0)</f>
        <v>0</v>
      </c>
      <c r="Z655" s="11">
        <f t="array" ref="Z655">XLOOKUP(A:A,'Raw Revenue'!I:I,'Raw Revenue'!J:J,0)</f>
        <v>0</v>
      </c>
      <c r="AA655" s="11">
        <f t="array" ref="AA655">XLOOKUP(A:A,'Raw Revenue'!K:K,'Raw Revenue'!L:L,0)</f>
        <v>0</v>
      </c>
      <c r="AB655" s="11">
        <f t="array" ref="AB655">XLOOKUP(A:A,'Raw Revenue'!M:M,'Raw Revenue'!N:N,0)</f>
        <v>0</v>
      </c>
      <c r="AC655" s="3">
        <v>0.0</v>
      </c>
      <c r="AD655" s="3">
        <v>0.0</v>
      </c>
      <c r="AE655" s="3">
        <v>0.0</v>
      </c>
      <c r="AF655" s="3">
        <v>0.0</v>
      </c>
      <c r="AG655" s="3">
        <v>0.0</v>
      </c>
    </row>
    <row r="656">
      <c r="A656" s="3" t="s">
        <v>1553</v>
      </c>
      <c r="B656" s="3" t="s">
        <v>1554</v>
      </c>
      <c r="C656" s="3" t="str">
        <f t="shared" si="1"/>
        <v>PT. Sejahtera Alam Indonesia</v>
      </c>
      <c r="D656" s="3" t="s">
        <v>84</v>
      </c>
      <c r="E656" s="3" t="s">
        <v>104</v>
      </c>
      <c r="F656" s="3" t="s">
        <v>105</v>
      </c>
      <c r="G656" s="3" t="s">
        <v>78</v>
      </c>
      <c r="H656" s="3" t="str">
        <f t="array" ref="H656">XLOOKUP(G:G,'Account Manager Data'!A:A,'Account Manager Data'!B:B,0)</f>
        <v>Ilham Saputra</v>
      </c>
      <c r="I656" s="11" t="str">
        <f t="array" ref="I656">XLOOKUP($G:$G,'Account Manager Data'!$A:$A,'Account Manager Data'!C:C)</f>
        <v>Jawa</v>
      </c>
      <c r="J656" s="17">
        <v>3066099.0</v>
      </c>
      <c r="K656" s="17">
        <v>19562.0</v>
      </c>
      <c r="L656" s="17">
        <v>3447841.0</v>
      </c>
      <c r="M656" s="17">
        <v>6821124.0</v>
      </c>
      <c r="N656" s="17">
        <v>7657877.0</v>
      </c>
      <c r="O656" s="17">
        <v>1.3980508E7</v>
      </c>
      <c r="P656" s="17">
        <v>3682191.0</v>
      </c>
      <c r="Q656" s="17">
        <v>6702127.0</v>
      </c>
      <c r="R656" s="17">
        <v>0.0</v>
      </c>
      <c r="S656" s="17">
        <v>0.0</v>
      </c>
      <c r="T656" s="17">
        <v>4058963.0</v>
      </c>
      <c r="U656" s="17">
        <v>6594853.0</v>
      </c>
      <c r="V656" s="11">
        <f t="array" ref="V656">XLOOKUP(A:A,'Raw Revenue'!A:A,'Raw Revenue'!B:B,0)
</f>
        <v>0</v>
      </c>
      <c r="W656" s="11">
        <f t="array" ref="W656">XLOOKUP(A:A,'Raw Revenue'!C:C,'Raw Revenue'!D:D,0)</f>
        <v>0</v>
      </c>
      <c r="X656" s="11">
        <f t="array" ref="X656">XLOOKUP(A:A,'Raw Revenue'!E:E,'Raw Revenue'!F:F,0)</f>
        <v>0</v>
      </c>
      <c r="Y656" s="11">
        <f t="array" ref="Y656">XLOOKUP(A:A,'Raw Revenue'!G:G,'Raw Revenue'!H:H,0)</f>
        <v>0</v>
      </c>
      <c r="Z656" s="11">
        <f t="array" ref="Z656">XLOOKUP(A:A,'Raw Revenue'!I:I,'Raw Revenue'!J:J,0)</f>
        <v>0</v>
      </c>
      <c r="AA656" s="11">
        <f t="array" ref="AA656">XLOOKUP(A:A,'Raw Revenue'!K:K,'Raw Revenue'!L:L,0)</f>
        <v>0</v>
      </c>
      <c r="AB656" s="11">
        <f t="array" ref="AB656">XLOOKUP(A:A,'Raw Revenue'!M:M,'Raw Revenue'!N:N,0)</f>
        <v>0</v>
      </c>
      <c r="AC656" s="3">
        <v>0.0</v>
      </c>
      <c r="AD656" s="3">
        <v>0.0</v>
      </c>
      <c r="AE656" s="3">
        <v>0.0</v>
      </c>
      <c r="AF656" s="3">
        <v>0.0</v>
      </c>
      <c r="AG656" s="3">
        <v>0.0</v>
      </c>
    </row>
    <row r="657">
      <c r="A657" s="3" t="s">
        <v>1555</v>
      </c>
      <c r="B657" s="3" t="s">
        <v>1556</v>
      </c>
      <c r="C657" s="3" t="str">
        <f t="shared" si="1"/>
        <v>PT. Indah Kargo Logistik</v>
      </c>
      <c r="D657" s="3" t="s">
        <v>195</v>
      </c>
      <c r="E657" s="3" t="s">
        <v>187</v>
      </c>
      <c r="F657" s="3" t="s">
        <v>188</v>
      </c>
      <c r="G657" s="3" t="s">
        <v>63</v>
      </c>
      <c r="H657" s="3" t="str">
        <f t="array" ref="H657">XLOOKUP(G:G,'Account Manager Data'!A:A,'Account Manager Data'!B:B,0)</f>
        <v>Hendra Gunawan</v>
      </c>
      <c r="I657" s="11" t="str">
        <f t="array" ref="I657">XLOOKUP($G:$G,'Account Manager Data'!$A:$A,'Account Manager Data'!C:C)</f>
        <v>Kalimantan</v>
      </c>
      <c r="J657" s="17">
        <v>317065.0</v>
      </c>
      <c r="K657" s="17">
        <v>2734710.0</v>
      </c>
      <c r="L657" s="17">
        <v>7159647.0</v>
      </c>
      <c r="M657" s="17">
        <v>5015119.0</v>
      </c>
      <c r="N657" s="17">
        <v>1.2455943E7</v>
      </c>
      <c r="O657" s="17">
        <v>0.0</v>
      </c>
      <c r="P657" s="17">
        <v>3355830.0</v>
      </c>
      <c r="Q657" s="17">
        <v>8488814.0</v>
      </c>
      <c r="R657" s="17">
        <v>1.465017E7</v>
      </c>
      <c r="S657" s="17">
        <v>1.1299733E7</v>
      </c>
      <c r="T657" s="17">
        <v>1.9289287E7</v>
      </c>
      <c r="U657" s="17">
        <v>1.0628203E7</v>
      </c>
      <c r="V657" s="11">
        <f t="array" ref="V657">XLOOKUP(A:A,'Raw Revenue'!A:A,'Raw Revenue'!B:B,0)
</f>
        <v>0</v>
      </c>
      <c r="W657" s="11">
        <f t="array" ref="W657">XLOOKUP(A:A,'Raw Revenue'!C:C,'Raw Revenue'!D:D,0)</f>
        <v>0</v>
      </c>
      <c r="X657" s="11">
        <f t="array" ref="X657">XLOOKUP(A:A,'Raw Revenue'!E:E,'Raw Revenue'!F:F,0)</f>
        <v>0</v>
      </c>
      <c r="Y657" s="11">
        <f t="array" ref="Y657">XLOOKUP(A:A,'Raw Revenue'!G:G,'Raw Revenue'!H:H,0)</f>
        <v>0</v>
      </c>
      <c r="Z657" s="11">
        <f t="array" ref="Z657">XLOOKUP(A:A,'Raw Revenue'!I:I,'Raw Revenue'!J:J,0)</f>
        <v>0</v>
      </c>
      <c r="AA657" s="11">
        <f t="array" ref="AA657">XLOOKUP(A:A,'Raw Revenue'!K:K,'Raw Revenue'!L:L,0)</f>
        <v>0</v>
      </c>
      <c r="AB657" s="11">
        <f t="array" ref="AB657">XLOOKUP(A:A,'Raw Revenue'!M:M,'Raw Revenue'!N:N,0)</f>
        <v>0</v>
      </c>
      <c r="AC657" s="3">
        <v>0.0</v>
      </c>
      <c r="AD657" s="3">
        <v>0.0</v>
      </c>
      <c r="AE657" s="3">
        <v>0.0</v>
      </c>
      <c r="AF657" s="3">
        <v>0.0</v>
      </c>
      <c r="AG657" s="3">
        <v>0.0</v>
      </c>
    </row>
    <row r="658">
      <c r="A658" s="3" t="s">
        <v>1557</v>
      </c>
      <c r="B658" s="3" t="s">
        <v>1558</v>
      </c>
      <c r="C658" s="3" t="str">
        <f t="shared" si="1"/>
        <v>PT. Berkah Alam Semesta</v>
      </c>
      <c r="D658" s="3" t="s">
        <v>214</v>
      </c>
      <c r="E658" s="3" t="s">
        <v>187</v>
      </c>
      <c r="F658" s="3" t="s">
        <v>269</v>
      </c>
      <c r="G658" s="3" t="s">
        <v>35</v>
      </c>
      <c r="H658" s="3" t="str">
        <f t="array" ref="H658">XLOOKUP(G:G,'Account Manager Data'!A:A,'Account Manager Data'!B:B,0)</f>
        <v>Ahmad Fauzi</v>
      </c>
      <c r="I658" s="11" t="str">
        <f t="array" ref="I658">XLOOKUP($G:$G,'Account Manager Data'!$A:$A,'Account Manager Data'!C:C)</f>
        <v>Sumatera</v>
      </c>
      <c r="J658" s="17">
        <v>4626555.0</v>
      </c>
      <c r="K658" s="17">
        <v>6165837.0</v>
      </c>
      <c r="L658" s="17">
        <v>4103294.0</v>
      </c>
      <c r="M658" s="17">
        <v>2350467.0</v>
      </c>
      <c r="N658" s="17">
        <v>4503926.0</v>
      </c>
      <c r="O658" s="17">
        <v>1.4800809E7</v>
      </c>
      <c r="P658" s="17">
        <v>2765617.0</v>
      </c>
      <c r="Q658" s="17">
        <v>1.151799E7</v>
      </c>
      <c r="R658" s="17">
        <v>486046.0</v>
      </c>
      <c r="S658" s="17">
        <v>1.4850438E7</v>
      </c>
      <c r="T658" s="17">
        <v>1.8133602E7</v>
      </c>
      <c r="U658" s="17">
        <v>5069105.0</v>
      </c>
      <c r="V658" s="11">
        <f t="array" ref="V658">XLOOKUP(A:A,'Raw Revenue'!A:A,'Raw Revenue'!B:B,0)
</f>
        <v>0</v>
      </c>
      <c r="W658" s="11">
        <f t="array" ref="W658">XLOOKUP(A:A,'Raw Revenue'!C:C,'Raw Revenue'!D:D,0)</f>
        <v>0</v>
      </c>
      <c r="X658" s="11">
        <f t="array" ref="X658">XLOOKUP(A:A,'Raw Revenue'!E:E,'Raw Revenue'!F:F,0)</f>
        <v>0</v>
      </c>
      <c r="Y658" s="11">
        <f t="array" ref="Y658">XLOOKUP(A:A,'Raw Revenue'!G:G,'Raw Revenue'!H:H,0)</f>
        <v>0</v>
      </c>
      <c r="Z658" s="11">
        <f t="array" ref="Z658">XLOOKUP(A:A,'Raw Revenue'!I:I,'Raw Revenue'!J:J,0)</f>
        <v>0</v>
      </c>
      <c r="AA658" s="11">
        <f t="array" ref="AA658">XLOOKUP(A:A,'Raw Revenue'!K:K,'Raw Revenue'!L:L,0)</f>
        <v>0</v>
      </c>
      <c r="AB658" s="11">
        <f t="array" ref="AB658">XLOOKUP(A:A,'Raw Revenue'!M:M,'Raw Revenue'!N:N,0)</f>
        <v>0</v>
      </c>
      <c r="AC658" s="3">
        <v>0.0</v>
      </c>
      <c r="AD658" s="3">
        <v>0.0</v>
      </c>
      <c r="AE658" s="3">
        <v>0.0</v>
      </c>
      <c r="AF658" s="3">
        <v>0.0</v>
      </c>
      <c r="AG658" s="3">
        <v>0.0</v>
      </c>
    </row>
    <row r="659">
      <c r="A659" s="3" t="s">
        <v>1559</v>
      </c>
      <c r="B659" s="3" t="s">
        <v>1560</v>
      </c>
      <c r="C659" s="3" t="str">
        <f t="shared" si="1"/>
        <v>PT. Cahaya Baru Indonesia</v>
      </c>
      <c r="D659" s="3" t="s">
        <v>130</v>
      </c>
      <c r="E659" s="3" t="s">
        <v>196</v>
      </c>
      <c r="F659" s="3" t="s">
        <v>260</v>
      </c>
      <c r="G659" s="3" t="s">
        <v>43</v>
      </c>
      <c r="H659" s="3" t="str">
        <f t="array" ref="H659">XLOOKUP(G:G,'Account Manager Data'!A:A,'Account Manager Data'!B:B,0)</f>
        <v>Eko Prasetyo</v>
      </c>
      <c r="I659" s="11" t="str">
        <f t="array" ref="I659">XLOOKUP($G:$G,'Account Manager Data'!$A:$A,'Account Manager Data'!C:C)</f>
        <v>Papua</v>
      </c>
      <c r="J659" s="17">
        <v>7791048.0</v>
      </c>
      <c r="K659" s="17">
        <v>8940130.0</v>
      </c>
      <c r="L659" s="17">
        <v>0.0</v>
      </c>
      <c r="M659" s="17">
        <v>1207540.0</v>
      </c>
      <c r="N659" s="17">
        <v>1.2245972E7</v>
      </c>
      <c r="O659" s="17">
        <v>8194259.0</v>
      </c>
      <c r="P659" s="17">
        <v>5695422.0</v>
      </c>
      <c r="Q659" s="17">
        <v>1.1976926E7</v>
      </c>
      <c r="R659" s="17">
        <v>8066070.0</v>
      </c>
      <c r="S659" s="17">
        <v>1.6261137E7</v>
      </c>
      <c r="T659" s="17">
        <v>1.9353838E7</v>
      </c>
      <c r="U659" s="17">
        <v>7531018.0</v>
      </c>
      <c r="V659" s="11">
        <f t="array" ref="V659">XLOOKUP(A:A,'Raw Revenue'!A:A,'Raw Revenue'!B:B,0)
</f>
        <v>0</v>
      </c>
      <c r="W659" s="11">
        <f t="array" ref="W659">XLOOKUP(A:A,'Raw Revenue'!C:C,'Raw Revenue'!D:D,0)</f>
        <v>0</v>
      </c>
      <c r="X659" s="11">
        <f t="array" ref="X659">XLOOKUP(A:A,'Raw Revenue'!E:E,'Raw Revenue'!F:F,0)</f>
        <v>0</v>
      </c>
      <c r="Y659" s="11">
        <f t="array" ref="Y659">XLOOKUP(A:A,'Raw Revenue'!G:G,'Raw Revenue'!H:H,0)</f>
        <v>0</v>
      </c>
      <c r="Z659" s="11">
        <f t="array" ref="Z659">XLOOKUP(A:A,'Raw Revenue'!I:I,'Raw Revenue'!J:J,0)</f>
        <v>0</v>
      </c>
      <c r="AA659" s="11">
        <f t="array" ref="AA659">XLOOKUP(A:A,'Raw Revenue'!K:K,'Raw Revenue'!L:L,0)</f>
        <v>0</v>
      </c>
      <c r="AB659" s="11">
        <f t="array" ref="AB659">XLOOKUP(A:A,'Raw Revenue'!M:M,'Raw Revenue'!N:N,0)</f>
        <v>0</v>
      </c>
      <c r="AC659" s="3">
        <v>0.0</v>
      </c>
      <c r="AD659" s="3">
        <v>0.0</v>
      </c>
      <c r="AE659" s="3">
        <v>0.0</v>
      </c>
      <c r="AF659" s="3">
        <v>0.0</v>
      </c>
      <c r="AG659" s="3">
        <v>0.0</v>
      </c>
    </row>
    <row r="660">
      <c r="A660" s="3" t="s">
        <v>1561</v>
      </c>
      <c r="B660" s="3" t="s">
        <v>1562</v>
      </c>
      <c r="C660" s="3" t="str">
        <f t="shared" si="1"/>
        <v>PT. Mentari Pagi Sejahtera</v>
      </c>
      <c r="D660" s="3" t="s">
        <v>195</v>
      </c>
      <c r="E660" s="3" t="s">
        <v>85</v>
      </c>
      <c r="F660" s="3" t="s">
        <v>86</v>
      </c>
      <c r="G660" s="3" t="s">
        <v>74</v>
      </c>
      <c r="H660" s="3" t="str">
        <f t="array" ref="H660">XLOOKUP(G:G,'Account Manager Data'!A:A,'Account Manager Data'!B:B,0)</f>
        <v>Budi Santoso</v>
      </c>
      <c r="I660" s="11" t="str">
        <f t="array" ref="I660">XLOOKUP($G:$G,'Account Manager Data'!$A:$A,'Account Manager Data'!C:C)</f>
        <v>Papua</v>
      </c>
      <c r="J660" s="17">
        <v>2513539.0</v>
      </c>
      <c r="K660" s="17">
        <v>3375570.0</v>
      </c>
      <c r="L660" s="17">
        <v>9787283.0</v>
      </c>
      <c r="M660" s="17">
        <v>7812471.0</v>
      </c>
      <c r="N660" s="17">
        <v>1534103.0</v>
      </c>
      <c r="O660" s="17">
        <v>6347959.0</v>
      </c>
      <c r="P660" s="17">
        <v>3942669.0</v>
      </c>
      <c r="Q660" s="17">
        <v>2937510.0</v>
      </c>
      <c r="R660" s="17">
        <v>1399562.0</v>
      </c>
      <c r="S660" s="17">
        <v>5670197.0</v>
      </c>
      <c r="T660" s="17">
        <v>1.8356622E7</v>
      </c>
      <c r="U660" s="17">
        <v>1.5834557E7</v>
      </c>
      <c r="V660" s="11">
        <f t="array" ref="V660">XLOOKUP(A:A,'Raw Revenue'!A:A,'Raw Revenue'!B:B,0)
</f>
        <v>0</v>
      </c>
      <c r="W660" s="11">
        <f t="array" ref="W660">XLOOKUP(A:A,'Raw Revenue'!C:C,'Raw Revenue'!D:D,0)</f>
        <v>0</v>
      </c>
      <c r="X660" s="11">
        <f t="array" ref="X660">XLOOKUP(A:A,'Raw Revenue'!E:E,'Raw Revenue'!F:F,0)</f>
        <v>0</v>
      </c>
      <c r="Y660" s="11">
        <f t="array" ref="Y660">XLOOKUP(A:A,'Raw Revenue'!G:G,'Raw Revenue'!H:H,0)</f>
        <v>0</v>
      </c>
      <c r="Z660" s="11">
        <f t="array" ref="Z660">XLOOKUP(A:A,'Raw Revenue'!I:I,'Raw Revenue'!J:J,0)</f>
        <v>0</v>
      </c>
      <c r="AA660" s="11">
        <f t="array" ref="AA660">XLOOKUP(A:A,'Raw Revenue'!K:K,'Raw Revenue'!L:L,0)</f>
        <v>0</v>
      </c>
      <c r="AB660" s="11">
        <f t="array" ref="AB660">XLOOKUP(A:A,'Raw Revenue'!M:M,'Raw Revenue'!N:N,0)</f>
        <v>0</v>
      </c>
      <c r="AC660" s="3">
        <v>0.0</v>
      </c>
      <c r="AD660" s="3">
        <v>0.0</v>
      </c>
      <c r="AE660" s="3">
        <v>0.0</v>
      </c>
      <c r="AF660" s="3">
        <v>0.0</v>
      </c>
      <c r="AG660" s="3">
        <v>0.0</v>
      </c>
    </row>
    <row r="661">
      <c r="A661" s="3" t="s">
        <v>1563</v>
      </c>
      <c r="B661" s="3" t="s">
        <v>1564</v>
      </c>
      <c r="C661" s="3" t="str">
        <f t="shared" si="1"/>
        <v>PT. Bintang Kejora Nusantara</v>
      </c>
      <c r="D661" s="3" t="s">
        <v>130</v>
      </c>
      <c r="E661" s="3" t="s">
        <v>85</v>
      </c>
      <c r="F661" s="3" t="s">
        <v>248</v>
      </c>
      <c r="G661" s="3" t="s">
        <v>76</v>
      </c>
      <c r="H661" s="3" t="str">
        <f t="array" ref="H661">XLOOKUP(G:G,'Account Manager Data'!A:A,'Account Manager Data'!B:B,0)</f>
        <v>Teguh Wijaya</v>
      </c>
      <c r="I661" s="11" t="str">
        <f t="array" ref="I661">XLOOKUP($G:$G,'Account Manager Data'!$A:$A,'Account Manager Data'!C:C)</f>
        <v>Sulawesi</v>
      </c>
      <c r="J661" s="17">
        <v>5959204.0</v>
      </c>
      <c r="K661" s="17">
        <v>4681164.0</v>
      </c>
      <c r="L661" s="17">
        <v>4848934.0</v>
      </c>
      <c r="M661" s="17">
        <v>1095360.0</v>
      </c>
      <c r="N661" s="17">
        <v>1.2196239E7</v>
      </c>
      <c r="O661" s="17">
        <v>1739340.0</v>
      </c>
      <c r="P661" s="17">
        <v>9931347.0</v>
      </c>
      <c r="Q661" s="17">
        <v>1.1988593E7</v>
      </c>
      <c r="R661" s="17">
        <v>8758209.0</v>
      </c>
      <c r="S661" s="17">
        <v>5557979.0</v>
      </c>
      <c r="T661" s="17">
        <v>993128.0</v>
      </c>
      <c r="U661" s="17">
        <v>9208308.0</v>
      </c>
      <c r="V661" s="11">
        <f t="array" ref="V661">XLOOKUP(A:A,'Raw Revenue'!A:A,'Raw Revenue'!B:B,0)
</f>
        <v>0</v>
      </c>
      <c r="W661" s="11">
        <f t="array" ref="W661">XLOOKUP(A:A,'Raw Revenue'!C:C,'Raw Revenue'!D:D,0)</f>
        <v>0</v>
      </c>
      <c r="X661" s="11">
        <f t="array" ref="X661">XLOOKUP(A:A,'Raw Revenue'!E:E,'Raw Revenue'!F:F,0)</f>
        <v>0</v>
      </c>
      <c r="Y661" s="11">
        <f t="array" ref="Y661">XLOOKUP(A:A,'Raw Revenue'!G:G,'Raw Revenue'!H:H,0)</f>
        <v>0</v>
      </c>
      <c r="Z661" s="11">
        <f t="array" ref="Z661">XLOOKUP(A:A,'Raw Revenue'!I:I,'Raw Revenue'!J:J,0)</f>
        <v>0</v>
      </c>
      <c r="AA661" s="11">
        <f t="array" ref="AA661">XLOOKUP(A:A,'Raw Revenue'!K:K,'Raw Revenue'!L:L,0)</f>
        <v>0</v>
      </c>
      <c r="AB661" s="11">
        <f t="array" ref="AB661">XLOOKUP(A:A,'Raw Revenue'!M:M,'Raw Revenue'!N:N,0)</f>
        <v>0</v>
      </c>
      <c r="AC661" s="3">
        <v>0.0</v>
      </c>
      <c r="AD661" s="3">
        <v>0.0</v>
      </c>
      <c r="AE661" s="3">
        <v>0.0</v>
      </c>
      <c r="AF661" s="3">
        <v>0.0</v>
      </c>
      <c r="AG661" s="3">
        <v>0.0</v>
      </c>
    </row>
    <row r="662">
      <c r="A662" s="3" t="s">
        <v>1565</v>
      </c>
      <c r="B662" s="3" t="s">
        <v>1566</v>
      </c>
      <c r="C662" s="3" t="str">
        <f t="shared" si="1"/>
        <v>PT. Maju Jaya</v>
      </c>
      <c r="D662" s="3" t="s">
        <v>84</v>
      </c>
      <c r="E662" s="3" t="s">
        <v>104</v>
      </c>
      <c r="F662" s="3" t="s">
        <v>134</v>
      </c>
      <c r="G662" s="3" t="s">
        <v>70</v>
      </c>
      <c r="H662" s="3" t="str">
        <f t="array" ref="H662">XLOOKUP(G:G,'Account Manager Data'!A:A,'Account Manager Data'!B:B,0)</f>
        <v>Yusuf Hidayat</v>
      </c>
      <c r="I662" s="11" t="str">
        <f t="array" ref="I662">XLOOKUP($G:$G,'Account Manager Data'!$A:$A,'Account Manager Data'!C:C)</f>
        <v>Sumatera</v>
      </c>
      <c r="J662" s="17">
        <v>385412.0</v>
      </c>
      <c r="K662" s="17">
        <v>7752581.0</v>
      </c>
      <c r="L662" s="17">
        <v>9397284.0</v>
      </c>
      <c r="M662" s="17">
        <v>1623162.0</v>
      </c>
      <c r="N662" s="17">
        <v>1191481.0</v>
      </c>
      <c r="O662" s="17">
        <v>2146375.0</v>
      </c>
      <c r="P662" s="17">
        <v>1.0419134E7</v>
      </c>
      <c r="Q662" s="17">
        <v>1.324357E7</v>
      </c>
      <c r="R662" s="17">
        <v>1.358295E7</v>
      </c>
      <c r="S662" s="17">
        <v>0.0</v>
      </c>
      <c r="T662" s="17">
        <v>1.0963462E7</v>
      </c>
      <c r="U662" s="17">
        <v>1068830.0</v>
      </c>
      <c r="V662" s="11">
        <f t="array" ref="V662">XLOOKUP(A:A,'Raw Revenue'!A:A,'Raw Revenue'!B:B,0)
</f>
        <v>0</v>
      </c>
      <c r="W662" s="11">
        <f t="array" ref="W662">XLOOKUP(A:A,'Raw Revenue'!C:C,'Raw Revenue'!D:D,0)</f>
        <v>0</v>
      </c>
      <c r="X662" s="11">
        <f t="array" ref="X662">XLOOKUP(A:A,'Raw Revenue'!E:E,'Raw Revenue'!F:F,0)</f>
        <v>0</v>
      </c>
      <c r="Y662" s="11">
        <f t="array" ref="Y662">XLOOKUP(A:A,'Raw Revenue'!G:G,'Raw Revenue'!H:H,0)</f>
        <v>0</v>
      </c>
      <c r="Z662" s="11">
        <f t="array" ref="Z662">XLOOKUP(A:A,'Raw Revenue'!I:I,'Raw Revenue'!J:J,0)</f>
        <v>0</v>
      </c>
      <c r="AA662" s="11">
        <f t="array" ref="AA662">XLOOKUP(A:A,'Raw Revenue'!K:K,'Raw Revenue'!L:L,0)</f>
        <v>0</v>
      </c>
      <c r="AB662" s="11">
        <f t="array" ref="AB662">XLOOKUP(A:A,'Raw Revenue'!M:M,'Raw Revenue'!N:N,0)</f>
        <v>0</v>
      </c>
      <c r="AC662" s="3">
        <v>0.0</v>
      </c>
      <c r="AD662" s="3">
        <v>0.0</v>
      </c>
      <c r="AE662" s="3">
        <v>0.0</v>
      </c>
      <c r="AF662" s="3">
        <v>0.0</v>
      </c>
      <c r="AG662" s="3">
        <v>0.0</v>
      </c>
    </row>
    <row r="663">
      <c r="A663" s="3" t="s">
        <v>1567</v>
      </c>
      <c r="B663" s="3" t="s">
        <v>1568</v>
      </c>
      <c r="C663" s="3" t="str">
        <f t="shared" si="1"/>
        <v>CV. Sumber Makmur</v>
      </c>
      <c r="D663" s="3" t="s">
        <v>130</v>
      </c>
      <c r="E663" s="3" t="s">
        <v>196</v>
      </c>
      <c r="F663" s="3" t="s">
        <v>315</v>
      </c>
      <c r="G663" s="3" t="s">
        <v>15</v>
      </c>
      <c r="H663" s="3" t="str">
        <f t="array" ref="H663">XLOOKUP(G:G,'Account Manager Data'!A:A,'Account Manager Data'!B:B,0)</f>
        <v>Rizky Maulana</v>
      </c>
      <c r="I663" s="11" t="str">
        <f t="array" ref="I663">XLOOKUP($G:$G,'Account Manager Data'!$A:$A,'Account Manager Data'!C:C)</f>
        <v>Jawa</v>
      </c>
      <c r="J663" s="17">
        <v>3637033.0</v>
      </c>
      <c r="K663" s="17">
        <v>7155124.0</v>
      </c>
      <c r="L663" s="17">
        <v>4378569.0</v>
      </c>
      <c r="M663" s="17">
        <v>8404211.0</v>
      </c>
      <c r="N663" s="17">
        <v>1.2436939E7</v>
      </c>
      <c r="O663" s="17">
        <v>1683282.0</v>
      </c>
      <c r="P663" s="17">
        <v>3436796.0</v>
      </c>
      <c r="Q663" s="17">
        <v>1010973.0</v>
      </c>
      <c r="R663" s="17">
        <v>1.18029E7</v>
      </c>
      <c r="S663" s="17">
        <v>0.0</v>
      </c>
      <c r="T663" s="17">
        <v>8414294.0</v>
      </c>
      <c r="U663" s="17">
        <v>1.9213398E7</v>
      </c>
      <c r="V663" s="11">
        <f t="array" ref="V663">XLOOKUP(A:A,'Raw Revenue'!A:A,'Raw Revenue'!B:B,0)
</f>
        <v>0</v>
      </c>
      <c r="W663" s="11">
        <f t="array" ref="W663">XLOOKUP(A:A,'Raw Revenue'!C:C,'Raw Revenue'!D:D,0)</f>
        <v>0</v>
      </c>
      <c r="X663" s="11">
        <f t="array" ref="X663">XLOOKUP(A:A,'Raw Revenue'!E:E,'Raw Revenue'!F:F,0)</f>
        <v>0</v>
      </c>
      <c r="Y663" s="11">
        <f t="array" ref="Y663">XLOOKUP(A:A,'Raw Revenue'!G:G,'Raw Revenue'!H:H,0)</f>
        <v>0</v>
      </c>
      <c r="Z663" s="11">
        <f t="array" ref="Z663">XLOOKUP(A:A,'Raw Revenue'!I:I,'Raw Revenue'!J:J,0)</f>
        <v>0</v>
      </c>
      <c r="AA663" s="11">
        <f t="array" ref="AA663">XLOOKUP(A:A,'Raw Revenue'!K:K,'Raw Revenue'!L:L,0)</f>
        <v>0</v>
      </c>
      <c r="AB663" s="11">
        <f t="array" ref="AB663">XLOOKUP(A:A,'Raw Revenue'!M:M,'Raw Revenue'!N:N,0)</f>
        <v>0</v>
      </c>
      <c r="AC663" s="3">
        <v>0.0</v>
      </c>
      <c r="AD663" s="3">
        <v>0.0</v>
      </c>
      <c r="AE663" s="3">
        <v>0.0</v>
      </c>
      <c r="AF663" s="3">
        <v>0.0</v>
      </c>
      <c r="AG663" s="3">
        <v>0.0</v>
      </c>
    </row>
    <row r="664">
      <c r="A664" s="3" t="s">
        <v>1569</v>
      </c>
      <c r="B664" s="3" t="s">
        <v>1570</v>
      </c>
      <c r="C664" s="3" t="str">
        <f t="shared" si="1"/>
        <v>PT. Teknologi Nusantara</v>
      </c>
      <c r="D664" s="3" t="s">
        <v>186</v>
      </c>
      <c r="E664" s="3" t="s">
        <v>196</v>
      </c>
      <c r="F664" s="3" t="s">
        <v>197</v>
      </c>
      <c r="G664" s="3" t="s">
        <v>27</v>
      </c>
      <c r="H664" s="3" t="str">
        <f t="array" ref="H664">XLOOKUP(G:G,'Account Manager Data'!A:A,'Account Manager Data'!B:B,0)</f>
        <v>Dedi Kurniawan</v>
      </c>
      <c r="I664" s="11" t="str">
        <f t="array" ref="I664">XLOOKUP($G:$G,'Account Manager Data'!$A:$A,'Account Manager Data'!C:C)</f>
        <v>Kalimantan</v>
      </c>
      <c r="J664" s="17">
        <v>3269334.0</v>
      </c>
      <c r="K664" s="17">
        <v>2482637.0</v>
      </c>
      <c r="L664" s="17">
        <v>5760278.0</v>
      </c>
      <c r="M664" s="17">
        <v>1472576.0</v>
      </c>
      <c r="N664" s="17">
        <v>1.1004734E7</v>
      </c>
      <c r="O664" s="17">
        <v>10300.0</v>
      </c>
      <c r="P664" s="17">
        <v>1.2166747E7</v>
      </c>
      <c r="Q664" s="17">
        <v>566576.0</v>
      </c>
      <c r="R664" s="17">
        <v>949405.0</v>
      </c>
      <c r="S664" s="17">
        <v>4834934.0</v>
      </c>
      <c r="T664" s="17">
        <v>4332740.0</v>
      </c>
      <c r="U664" s="17">
        <v>1.3190513E7</v>
      </c>
      <c r="V664" s="11">
        <f t="array" ref="V664">XLOOKUP(A:A,'Raw Revenue'!A:A,'Raw Revenue'!B:B,0)
</f>
        <v>0</v>
      </c>
      <c r="W664" s="11">
        <f t="array" ref="W664">XLOOKUP(A:A,'Raw Revenue'!C:C,'Raw Revenue'!D:D,0)</f>
        <v>0</v>
      </c>
      <c r="X664" s="11">
        <f t="array" ref="X664">XLOOKUP(A:A,'Raw Revenue'!E:E,'Raw Revenue'!F:F,0)</f>
        <v>0</v>
      </c>
      <c r="Y664" s="11">
        <f t="array" ref="Y664">XLOOKUP(A:A,'Raw Revenue'!G:G,'Raw Revenue'!H:H,0)</f>
        <v>0</v>
      </c>
      <c r="Z664" s="11">
        <f t="array" ref="Z664">XLOOKUP(A:A,'Raw Revenue'!I:I,'Raw Revenue'!J:J,0)</f>
        <v>0</v>
      </c>
      <c r="AA664" s="11">
        <f t="array" ref="AA664">XLOOKUP(A:A,'Raw Revenue'!K:K,'Raw Revenue'!L:L,0)</f>
        <v>0</v>
      </c>
      <c r="AB664" s="11">
        <f t="array" ref="AB664">XLOOKUP(A:A,'Raw Revenue'!M:M,'Raw Revenue'!N:N,0)</f>
        <v>0</v>
      </c>
      <c r="AC664" s="3">
        <v>0.0</v>
      </c>
      <c r="AD664" s="3">
        <v>0.0</v>
      </c>
      <c r="AE664" s="3">
        <v>0.0</v>
      </c>
      <c r="AF664" s="3">
        <v>0.0</v>
      </c>
      <c r="AG664" s="3">
        <v>0.0</v>
      </c>
    </row>
    <row r="665">
      <c r="A665" s="3" t="s">
        <v>1571</v>
      </c>
      <c r="B665" s="3" t="s">
        <v>1572</v>
      </c>
      <c r="C665" s="3" t="str">
        <f t="shared" si="1"/>
        <v>PT. Bakti Indonesia</v>
      </c>
      <c r="D665" s="3" t="s">
        <v>130</v>
      </c>
      <c r="E665" s="3" t="s">
        <v>104</v>
      </c>
      <c r="F665" s="3" t="s">
        <v>134</v>
      </c>
      <c r="G665" s="3" t="s">
        <v>78</v>
      </c>
      <c r="H665" s="3" t="str">
        <f t="array" ref="H665">XLOOKUP(G:G,'Account Manager Data'!A:A,'Account Manager Data'!B:B,0)</f>
        <v>Ilham Saputra</v>
      </c>
      <c r="I665" s="11" t="str">
        <f t="array" ref="I665">XLOOKUP($G:$G,'Account Manager Data'!$A:$A,'Account Manager Data'!C:C)</f>
        <v>Jawa</v>
      </c>
      <c r="J665" s="17">
        <v>4227510.0</v>
      </c>
      <c r="K665" s="17">
        <v>2407934.0</v>
      </c>
      <c r="L665" s="17">
        <v>1.0730547E7</v>
      </c>
      <c r="M665" s="17">
        <v>1.1471565E7</v>
      </c>
      <c r="N665" s="17">
        <v>7278641.0</v>
      </c>
      <c r="O665" s="17">
        <v>1.408684E7</v>
      </c>
      <c r="P665" s="17">
        <v>5126963.0</v>
      </c>
      <c r="Q665" s="17">
        <v>2660188.0</v>
      </c>
      <c r="R665" s="17">
        <v>4472811.0</v>
      </c>
      <c r="S665" s="17">
        <v>4954663.0</v>
      </c>
      <c r="T665" s="17">
        <v>1.0213333E7</v>
      </c>
      <c r="U665" s="17">
        <v>1890837.0</v>
      </c>
      <c r="V665" s="11">
        <f t="array" ref="V665">XLOOKUP(A:A,'Raw Revenue'!A:A,'Raw Revenue'!B:B,0)
</f>
        <v>0</v>
      </c>
      <c r="W665" s="11">
        <f t="array" ref="W665">XLOOKUP(A:A,'Raw Revenue'!C:C,'Raw Revenue'!D:D,0)</f>
        <v>0</v>
      </c>
      <c r="X665" s="11">
        <f t="array" ref="X665">XLOOKUP(A:A,'Raw Revenue'!E:E,'Raw Revenue'!F:F,0)</f>
        <v>0</v>
      </c>
      <c r="Y665" s="11">
        <f t="array" ref="Y665">XLOOKUP(A:A,'Raw Revenue'!G:G,'Raw Revenue'!H:H,0)</f>
        <v>0</v>
      </c>
      <c r="Z665" s="11">
        <f t="array" ref="Z665">XLOOKUP(A:A,'Raw Revenue'!I:I,'Raw Revenue'!J:J,0)</f>
        <v>0</v>
      </c>
      <c r="AA665" s="11">
        <f t="array" ref="AA665">XLOOKUP(A:A,'Raw Revenue'!K:K,'Raw Revenue'!L:L,0)</f>
        <v>0</v>
      </c>
      <c r="AB665" s="11">
        <f t="array" ref="AB665">XLOOKUP(A:A,'Raw Revenue'!M:M,'Raw Revenue'!N:N,0)</f>
        <v>0</v>
      </c>
      <c r="AC665" s="3">
        <v>0.0</v>
      </c>
      <c r="AD665" s="3">
        <v>0.0</v>
      </c>
      <c r="AE665" s="3">
        <v>0.0</v>
      </c>
      <c r="AF665" s="3">
        <v>0.0</v>
      </c>
      <c r="AG665" s="3">
        <v>0.0</v>
      </c>
    </row>
    <row r="666">
      <c r="A666" s="3" t="s">
        <v>1573</v>
      </c>
      <c r="B666" s="3" t="s">
        <v>1574</v>
      </c>
      <c r="C666" s="3" t="str">
        <f t="shared" si="1"/>
        <v>CV. Amanah Sejahtera</v>
      </c>
      <c r="D666" s="3" t="s">
        <v>186</v>
      </c>
      <c r="E666" s="3" t="s">
        <v>104</v>
      </c>
      <c r="F666" s="3" t="s">
        <v>105</v>
      </c>
      <c r="G666" s="3" t="s">
        <v>53</v>
      </c>
      <c r="H666" s="3" t="str">
        <f t="array" ref="H666">XLOOKUP(G:G,'Account Manager Data'!A:A,'Account Manager Data'!B:B,0)</f>
        <v>Fajar Ramadhan</v>
      </c>
      <c r="I666" s="11" t="str">
        <f t="array" ref="I666">XLOOKUP($G:$G,'Account Manager Data'!$A:$A,'Account Manager Data'!C:C)</f>
        <v>Sulawesi</v>
      </c>
      <c r="J666" s="17">
        <v>6515948.0</v>
      </c>
      <c r="K666" s="17">
        <v>5742622.0</v>
      </c>
      <c r="L666" s="17">
        <v>2361121.0</v>
      </c>
      <c r="M666" s="17">
        <v>1.0317049E7</v>
      </c>
      <c r="N666" s="17">
        <v>4785451.0</v>
      </c>
      <c r="O666" s="17">
        <v>5097950.0</v>
      </c>
      <c r="P666" s="17">
        <v>7311785.0</v>
      </c>
      <c r="Q666" s="17">
        <v>3983375.0</v>
      </c>
      <c r="R666" s="17">
        <v>4109815.0</v>
      </c>
      <c r="S666" s="17">
        <v>1.0320032E7</v>
      </c>
      <c r="T666" s="17">
        <v>1.7820377E7</v>
      </c>
      <c r="U666" s="17">
        <v>1.6663812E7</v>
      </c>
      <c r="V666" s="11">
        <f t="array" ref="V666">XLOOKUP(A:A,'Raw Revenue'!A:A,'Raw Revenue'!B:B,0)
</f>
        <v>0</v>
      </c>
      <c r="W666" s="11">
        <f t="array" ref="W666">XLOOKUP(A:A,'Raw Revenue'!C:C,'Raw Revenue'!D:D,0)</f>
        <v>0</v>
      </c>
      <c r="X666" s="11">
        <f t="array" ref="X666">XLOOKUP(A:A,'Raw Revenue'!E:E,'Raw Revenue'!F:F,0)</f>
        <v>0</v>
      </c>
      <c r="Y666" s="11">
        <f t="array" ref="Y666">XLOOKUP(A:A,'Raw Revenue'!G:G,'Raw Revenue'!H:H,0)</f>
        <v>0</v>
      </c>
      <c r="Z666" s="11">
        <f t="array" ref="Z666">XLOOKUP(A:A,'Raw Revenue'!I:I,'Raw Revenue'!J:J,0)</f>
        <v>0</v>
      </c>
      <c r="AA666" s="11">
        <f t="array" ref="AA666">XLOOKUP(A:A,'Raw Revenue'!K:K,'Raw Revenue'!L:L,0)</f>
        <v>0</v>
      </c>
      <c r="AB666" s="11">
        <f t="array" ref="AB666">XLOOKUP(A:A,'Raw Revenue'!M:M,'Raw Revenue'!N:N,0)</f>
        <v>0</v>
      </c>
      <c r="AC666" s="3">
        <v>0.0</v>
      </c>
      <c r="AD666" s="3">
        <v>0.0</v>
      </c>
      <c r="AE666" s="3">
        <v>0.0</v>
      </c>
      <c r="AF666" s="3">
        <v>0.0</v>
      </c>
      <c r="AG666" s="3">
        <v>0.0</v>
      </c>
    </row>
    <row r="667">
      <c r="A667" s="3" t="s">
        <v>1575</v>
      </c>
      <c r="B667" s="3" t="s">
        <v>1576</v>
      </c>
      <c r="C667" s="3" t="str">
        <f t="shared" si="1"/>
        <v>PT. Digital Solusi Pratama</v>
      </c>
      <c r="D667" s="3" t="s">
        <v>130</v>
      </c>
      <c r="E667" s="3" t="s">
        <v>196</v>
      </c>
      <c r="F667" s="3" t="s">
        <v>260</v>
      </c>
      <c r="G667" s="3" t="s">
        <v>63</v>
      </c>
      <c r="H667" s="3" t="str">
        <f t="array" ref="H667">XLOOKUP(G:G,'Account Manager Data'!A:A,'Account Manager Data'!B:B,0)</f>
        <v>Hendra Gunawan</v>
      </c>
      <c r="I667" s="11" t="str">
        <f t="array" ref="I667">XLOOKUP($G:$G,'Account Manager Data'!$A:$A,'Account Manager Data'!C:C)</f>
        <v>Kalimantan</v>
      </c>
      <c r="J667" s="17">
        <v>8033799.0</v>
      </c>
      <c r="K667" s="17">
        <v>2248793.0</v>
      </c>
      <c r="L667" s="17">
        <v>3511484.0</v>
      </c>
      <c r="M667" s="17">
        <v>3063458.0</v>
      </c>
      <c r="N667" s="17">
        <v>1.2471044E7</v>
      </c>
      <c r="O667" s="17">
        <v>1.4098136E7</v>
      </c>
      <c r="P667" s="17">
        <v>276105.0</v>
      </c>
      <c r="Q667" s="17">
        <v>3437255.0</v>
      </c>
      <c r="R667" s="17">
        <v>6116745.0</v>
      </c>
      <c r="S667" s="17">
        <v>558660.0</v>
      </c>
      <c r="T667" s="17">
        <v>3276491.0</v>
      </c>
      <c r="U667" s="17">
        <v>1.2266689E7</v>
      </c>
      <c r="V667" s="11">
        <f t="array" ref="V667">XLOOKUP(A:A,'Raw Revenue'!A:A,'Raw Revenue'!B:B,0)
</f>
        <v>0</v>
      </c>
      <c r="W667" s="11">
        <f t="array" ref="W667">XLOOKUP(A:A,'Raw Revenue'!C:C,'Raw Revenue'!D:D,0)</f>
        <v>0</v>
      </c>
      <c r="X667" s="11">
        <f t="array" ref="X667">XLOOKUP(A:A,'Raw Revenue'!E:E,'Raw Revenue'!F:F,0)</f>
        <v>0</v>
      </c>
      <c r="Y667" s="11">
        <f t="array" ref="Y667">XLOOKUP(A:A,'Raw Revenue'!G:G,'Raw Revenue'!H:H,0)</f>
        <v>0</v>
      </c>
      <c r="Z667" s="11">
        <f t="array" ref="Z667">XLOOKUP(A:A,'Raw Revenue'!I:I,'Raw Revenue'!J:J,0)</f>
        <v>0</v>
      </c>
      <c r="AA667" s="11">
        <f t="array" ref="AA667">XLOOKUP(A:A,'Raw Revenue'!K:K,'Raw Revenue'!L:L,0)</f>
        <v>0</v>
      </c>
      <c r="AB667" s="11">
        <f t="array" ref="AB667">XLOOKUP(A:A,'Raw Revenue'!M:M,'Raw Revenue'!N:N,0)</f>
        <v>0</v>
      </c>
      <c r="AC667" s="3">
        <v>0.0</v>
      </c>
      <c r="AD667" s="3">
        <v>0.0</v>
      </c>
      <c r="AE667" s="3">
        <v>0.0</v>
      </c>
      <c r="AF667" s="3">
        <v>0.0</v>
      </c>
      <c r="AG667" s="3">
        <v>0.0</v>
      </c>
    </row>
    <row r="668">
      <c r="A668" s="3" t="s">
        <v>1577</v>
      </c>
      <c r="B668" s="3" t="s">
        <v>1578</v>
      </c>
      <c r="C668" s="3" t="str">
        <f t="shared" si="1"/>
        <v>PT. Global Niaga Abadi</v>
      </c>
      <c r="D668" s="3" t="s">
        <v>186</v>
      </c>
      <c r="E668" s="3" t="s">
        <v>187</v>
      </c>
      <c r="F668" s="3" t="s">
        <v>295</v>
      </c>
      <c r="G668" s="3" t="s">
        <v>35</v>
      </c>
      <c r="H668" s="3" t="str">
        <f t="array" ref="H668">XLOOKUP(G:G,'Account Manager Data'!A:A,'Account Manager Data'!B:B,0)</f>
        <v>Ahmad Fauzi</v>
      </c>
      <c r="I668" s="11" t="str">
        <f t="array" ref="I668">XLOOKUP($G:$G,'Account Manager Data'!$A:$A,'Account Manager Data'!C:C)</f>
        <v>Sumatera</v>
      </c>
      <c r="J668" s="17">
        <v>5766014.0</v>
      </c>
      <c r="K668" s="17">
        <v>163735.0</v>
      </c>
      <c r="L668" s="17">
        <v>4540746.0</v>
      </c>
      <c r="M668" s="17">
        <v>1770071.0</v>
      </c>
      <c r="N668" s="17">
        <v>1.0958123E7</v>
      </c>
      <c r="O668" s="17">
        <v>6649258.0</v>
      </c>
      <c r="P668" s="17">
        <v>1.6170821E7</v>
      </c>
      <c r="Q668" s="17">
        <v>7560578.0</v>
      </c>
      <c r="R668" s="17">
        <v>3628180.0</v>
      </c>
      <c r="S668" s="17">
        <v>1.1516256E7</v>
      </c>
      <c r="T668" s="17">
        <v>8291813.0</v>
      </c>
      <c r="U668" s="17">
        <v>1.0210345E7</v>
      </c>
      <c r="V668" s="11">
        <f t="array" ref="V668">XLOOKUP(A:A,'Raw Revenue'!A:A,'Raw Revenue'!B:B,0)
</f>
        <v>0</v>
      </c>
      <c r="W668" s="11">
        <f t="array" ref="W668">XLOOKUP(A:A,'Raw Revenue'!C:C,'Raw Revenue'!D:D,0)</f>
        <v>0</v>
      </c>
      <c r="X668" s="11">
        <f t="array" ref="X668">XLOOKUP(A:A,'Raw Revenue'!E:E,'Raw Revenue'!F:F,0)</f>
        <v>0</v>
      </c>
      <c r="Y668" s="11">
        <f t="array" ref="Y668">XLOOKUP(A:A,'Raw Revenue'!G:G,'Raw Revenue'!H:H,0)</f>
        <v>0</v>
      </c>
      <c r="Z668" s="11">
        <f t="array" ref="Z668">XLOOKUP(A:A,'Raw Revenue'!I:I,'Raw Revenue'!J:J,0)</f>
        <v>0</v>
      </c>
      <c r="AA668" s="11">
        <f t="array" ref="AA668">XLOOKUP(A:A,'Raw Revenue'!K:K,'Raw Revenue'!L:L,0)</f>
        <v>0</v>
      </c>
      <c r="AB668" s="11">
        <f t="array" ref="AB668">XLOOKUP(A:A,'Raw Revenue'!M:M,'Raw Revenue'!N:N,0)</f>
        <v>0</v>
      </c>
      <c r="AC668" s="3">
        <v>0.0</v>
      </c>
      <c r="AD668" s="3">
        <v>0.0</v>
      </c>
      <c r="AE668" s="3">
        <v>0.0</v>
      </c>
      <c r="AF668" s="3">
        <v>0.0</v>
      </c>
      <c r="AG668" s="3">
        <v>0.0</v>
      </c>
    </row>
    <row r="669">
      <c r="A669" s="3" t="s">
        <v>1579</v>
      </c>
      <c r="B669" s="3" t="s">
        <v>1580</v>
      </c>
      <c r="C669" s="3" t="str">
        <f t="shared" si="1"/>
        <v>PT. Indo Makmur Sentosa</v>
      </c>
      <c r="D669" s="3" t="s">
        <v>84</v>
      </c>
      <c r="E669" s="3" t="s">
        <v>196</v>
      </c>
      <c r="F669" s="3" t="s">
        <v>197</v>
      </c>
      <c r="G669" s="3" t="s">
        <v>74</v>
      </c>
      <c r="H669" s="3" t="str">
        <f t="array" ref="H669">XLOOKUP(G:G,'Account Manager Data'!A:A,'Account Manager Data'!B:B,0)</f>
        <v>Budi Santoso</v>
      </c>
      <c r="I669" s="11" t="str">
        <f t="array" ref="I669">XLOOKUP($G:$G,'Account Manager Data'!$A:$A,'Account Manager Data'!C:C)</f>
        <v>Papua</v>
      </c>
      <c r="J669" s="17">
        <v>814925.0</v>
      </c>
      <c r="K669" s="17">
        <v>8495560.0</v>
      </c>
      <c r="L669" s="17">
        <v>2688800.0</v>
      </c>
      <c r="M669" s="17">
        <v>8907243.0</v>
      </c>
      <c r="N669" s="17">
        <v>7887875.0</v>
      </c>
      <c r="O669" s="17">
        <v>1.2817299E7</v>
      </c>
      <c r="P669" s="17">
        <v>780963.0</v>
      </c>
      <c r="Q669" s="17">
        <v>1.184645E7</v>
      </c>
      <c r="R669" s="17">
        <v>8351344.0</v>
      </c>
      <c r="S669" s="17">
        <v>0.0</v>
      </c>
      <c r="T669" s="17">
        <v>1.4658107E7</v>
      </c>
      <c r="U669" s="17">
        <v>1860799.0</v>
      </c>
      <c r="V669" s="11">
        <f t="array" ref="V669">XLOOKUP(A:A,'Raw Revenue'!A:A,'Raw Revenue'!B:B,0)
</f>
        <v>0</v>
      </c>
      <c r="W669" s="11">
        <f t="array" ref="W669">XLOOKUP(A:A,'Raw Revenue'!C:C,'Raw Revenue'!D:D,0)</f>
        <v>0</v>
      </c>
      <c r="X669" s="11">
        <f t="array" ref="X669">XLOOKUP(A:A,'Raw Revenue'!E:E,'Raw Revenue'!F:F,0)</f>
        <v>0</v>
      </c>
      <c r="Y669" s="11">
        <f t="array" ref="Y669">XLOOKUP(A:A,'Raw Revenue'!G:G,'Raw Revenue'!H:H,0)</f>
        <v>0</v>
      </c>
      <c r="Z669" s="11">
        <f t="array" ref="Z669">XLOOKUP(A:A,'Raw Revenue'!I:I,'Raw Revenue'!J:J,0)</f>
        <v>0</v>
      </c>
      <c r="AA669" s="11">
        <f t="array" ref="AA669">XLOOKUP(A:A,'Raw Revenue'!K:K,'Raw Revenue'!L:L,0)</f>
        <v>0</v>
      </c>
      <c r="AB669" s="11">
        <f t="array" ref="AB669">XLOOKUP(A:A,'Raw Revenue'!M:M,'Raw Revenue'!N:N,0)</f>
        <v>0</v>
      </c>
      <c r="AC669" s="3">
        <v>0.0</v>
      </c>
      <c r="AD669" s="3">
        <v>0.0</v>
      </c>
      <c r="AE669" s="3">
        <v>0.0</v>
      </c>
      <c r="AF669" s="3">
        <v>0.0</v>
      </c>
      <c r="AG669" s="3">
        <v>0.0</v>
      </c>
    </row>
    <row r="670">
      <c r="A670" s="3" t="s">
        <v>256</v>
      </c>
      <c r="B670" s="3" t="s">
        <v>1581</v>
      </c>
      <c r="C670" s="3" t="str">
        <f t="shared" si="1"/>
        <v>PT. Citra Mandiri Utama</v>
      </c>
      <c r="D670" s="3" t="s">
        <v>103</v>
      </c>
      <c r="E670" s="3" t="s">
        <v>104</v>
      </c>
      <c r="F670" s="3" t="s">
        <v>252</v>
      </c>
      <c r="G670" s="3" t="s">
        <v>43</v>
      </c>
      <c r="H670" s="3" t="str">
        <f t="array" ref="H670">XLOOKUP(G:G,'Account Manager Data'!A:A,'Account Manager Data'!B:B,0)</f>
        <v>Eko Prasetyo</v>
      </c>
      <c r="I670" s="11" t="str">
        <f t="array" ref="I670">XLOOKUP($G:$G,'Account Manager Data'!$A:$A,'Account Manager Data'!C:C)</f>
        <v>Papua</v>
      </c>
      <c r="J670" s="17">
        <v>8050223.0</v>
      </c>
      <c r="K670" s="17">
        <v>4378141.0</v>
      </c>
      <c r="L670" s="17">
        <v>0.0</v>
      </c>
      <c r="M670" s="17">
        <v>3691045.0</v>
      </c>
      <c r="N670" s="17">
        <v>0.0</v>
      </c>
      <c r="O670" s="17">
        <v>2028249.0</v>
      </c>
      <c r="P670" s="17">
        <v>4016395.0</v>
      </c>
      <c r="Q670" s="17">
        <v>1.431342E7</v>
      </c>
      <c r="R670" s="17">
        <v>1.3997812E7</v>
      </c>
      <c r="S670" s="17">
        <v>5143399.0</v>
      </c>
      <c r="T670" s="17">
        <v>7833965.0</v>
      </c>
      <c r="U670" s="17">
        <v>0.0</v>
      </c>
      <c r="V670" s="11">
        <f t="array" ref="V670">XLOOKUP(A:A,'Raw Revenue'!A:A,'Raw Revenue'!B:B,0)
</f>
        <v>9155519.052</v>
      </c>
      <c r="W670" s="11">
        <f t="array" ref="W670">XLOOKUP(A:A,'Raw Revenue'!C:C,'Raw Revenue'!D:D,0)</f>
        <v>9155519.052</v>
      </c>
      <c r="X670" s="11">
        <f t="array" ref="X670">XLOOKUP(A:A,'Raw Revenue'!E:E,'Raw Revenue'!F:F,0)</f>
        <v>18311038.1</v>
      </c>
      <c r="Y670" s="11">
        <f t="array" ref="Y670">XLOOKUP(A:A,'Raw Revenue'!G:G,'Raw Revenue'!H:H,0)</f>
        <v>14954014.45</v>
      </c>
      <c r="Z670" s="11">
        <f t="array" ref="Z670">XLOOKUP(A:A,'Raw Revenue'!I:I,'Raw Revenue'!J:J,0)</f>
        <v>13428094.61</v>
      </c>
      <c r="AA670" s="11">
        <f t="array" ref="AA670">XLOOKUP(A:A,'Raw Revenue'!K:K,'Raw Revenue'!L:L,0)</f>
        <v>34333196.45</v>
      </c>
      <c r="AB670" s="11">
        <f t="array" ref="AB670">XLOOKUP(A:A,'Raw Revenue'!M:M,'Raw Revenue'!N:N,0)</f>
        <v>31586540.73</v>
      </c>
      <c r="AC670" s="3">
        <v>0.0</v>
      </c>
      <c r="AD670" s="3">
        <v>0.0</v>
      </c>
      <c r="AE670" s="3">
        <v>0.0</v>
      </c>
      <c r="AF670" s="3">
        <v>0.0</v>
      </c>
      <c r="AG670" s="3">
        <v>0.0</v>
      </c>
    </row>
    <row r="671">
      <c r="A671" s="3" t="s">
        <v>1582</v>
      </c>
      <c r="B671" s="3" t="s">
        <v>1583</v>
      </c>
      <c r="C671" s="3" t="str">
        <f t="shared" si="1"/>
        <v>PT. Sinar Dunia Baru</v>
      </c>
      <c r="D671" s="3" t="s">
        <v>186</v>
      </c>
      <c r="E671" s="3" t="s">
        <v>85</v>
      </c>
      <c r="F671" s="3" t="s">
        <v>248</v>
      </c>
      <c r="G671" s="3" t="s">
        <v>76</v>
      </c>
      <c r="H671" s="3" t="str">
        <f t="array" ref="H671">XLOOKUP(G:G,'Account Manager Data'!A:A,'Account Manager Data'!B:B,0)</f>
        <v>Teguh Wijaya</v>
      </c>
      <c r="I671" s="11" t="str">
        <f t="array" ref="I671">XLOOKUP($G:$G,'Account Manager Data'!$A:$A,'Account Manager Data'!C:C)</f>
        <v>Sulawesi</v>
      </c>
      <c r="J671" s="17">
        <v>20217.0</v>
      </c>
      <c r="K671" s="17">
        <v>5105911.0</v>
      </c>
      <c r="L671" s="17">
        <v>1704695.0</v>
      </c>
      <c r="M671" s="17">
        <v>6226474.0</v>
      </c>
      <c r="N671" s="17">
        <v>1714513.0</v>
      </c>
      <c r="O671" s="17">
        <v>1.3503174E7</v>
      </c>
      <c r="P671" s="17">
        <v>1.2765722E7</v>
      </c>
      <c r="Q671" s="17">
        <v>6021950.0</v>
      </c>
      <c r="R671" s="17">
        <v>1.7180529E7</v>
      </c>
      <c r="S671" s="17">
        <v>1.5679643E7</v>
      </c>
      <c r="T671" s="17">
        <v>5808640.0</v>
      </c>
      <c r="U671" s="17">
        <v>1122126.0</v>
      </c>
      <c r="V671" s="11">
        <f t="array" ref="V671">XLOOKUP(A:A,'Raw Revenue'!A:A,'Raw Revenue'!B:B,0)
</f>
        <v>0</v>
      </c>
      <c r="W671" s="11">
        <f t="array" ref="W671">XLOOKUP(A:A,'Raw Revenue'!C:C,'Raw Revenue'!D:D,0)</f>
        <v>0</v>
      </c>
      <c r="X671" s="11">
        <f t="array" ref="X671">XLOOKUP(A:A,'Raw Revenue'!E:E,'Raw Revenue'!F:F,0)</f>
        <v>0</v>
      </c>
      <c r="Y671" s="11">
        <f t="array" ref="Y671">XLOOKUP(A:A,'Raw Revenue'!G:G,'Raw Revenue'!H:H,0)</f>
        <v>0</v>
      </c>
      <c r="Z671" s="11">
        <f t="array" ref="Z671">XLOOKUP(A:A,'Raw Revenue'!I:I,'Raw Revenue'!J:J,0)</f>
        <v>0</v>
      </c>
      <c r="AA671" s="11">
        <f t="array" ref="AA671">XLOOKUP(A:A,'Raw Revenue'!K:K,'Raw Revenue'!L:L,0)</f>
        <v>0</v>
      </c>
      <c r="AB671" s="11">
        <f t="array" ref="AB671">XLOOKUP(A:A,'Raw Revenue'!M:M,'Raw Revenue'!N:N,0)</f>
        <v>0</v>
      </c>
      <c r="AC671" s="3">
        <v>0.0</v>
      </c>
      <c r="AD671" s="3">
        <v>0.0</v>
      </c>
      <c r="AE671" s="3">
        <v>0.0</v>
      </c>
      <c r="AF671" s="3">
        <v>0.0</v>
      </c>
      <c r="AG671" s="3">
        <v>0.0</v>
      </c>
    </row>
    <row r="672">
      <c r="A672" s="3" t="s">
        <v>1584</v>
      </c>
      <c r="B672" s="3" t="s">
        <v>1585</v>
      </c>
      <c r="C672" s="3" t="str">
        <f t="shared" si="1"/>
        <v>CV. Karya Utama Mandiri</v>
      </c>
      <c r="D672" s="3" t="s">
        <v>214</v>
      </c>
      <c r="E672" s="3" t="s">
        <v>85</v>
      </c>
      <c r="F672" s="3" t="s">
        <v>407</v>
      </c>
      <c r="G672" s="3" t="s">
        <v>70</v>
      </c>
      <c r="H672" s="3" t="str">
        <f t="array" ref="H672">XLOOKUP(G:G,'Account Manager Data'!A:A,'Account Manager Data'!B:B,0)</f>
        <v>Yusuf Hidayat</v>
      </c>
      <c r="I672" s="11" t="str">
        <f t="array" ref="I672">XLOOKUP($G:$G,'Account Manager Data'!$A:$A,'Account Manager Data'!C:C)</f>
        <v>Sumatera</v>
      </c>
      <c r="J672" s="17">
        <v>5560813.0</v>
      </c>
      <c r="K672" s="17">
        <v>5369118.0</v>
      </c>
      <c r="L672" s="17">
        <v>1.0517516E7</v>
      </c>
      <c r="M672" s="17">
        <v>2047229.0</v>
      </c>
      <c r="N672" s="17">
        <v>7257622.0</v>
      </c>
      <c r="O672" s="17">
        <v>5056120.0</v>
      </c>
      <c r="P672" s="17">
        <v>8548737.0</v>
      </c>
      <c r="Q672" s="17">
        <v>6763878.0</v>
      </c>
      <c r="R672" s="17">
        <v>1.0266583E7</v>
      </c>
      <c r="S672" s="17">
        <v>1.5384698E7</v>
      </c>
      <c r="T672" s="17">
        <v>6240470.0</v>
      </c>
      <c r="U672" s="17">
        <v>668023.0</v>
      </c>
      <c r="V672" s="11">
        <f t="array" ref="V672">XLOOKUP(A:A,'Raw Revenue'!A:A,'Raw Revenue'!B:B,0)
</f>
        <v>0</v>
      </c>
      <c r="W672" s="11">
        <f t="array" ref="W672">XLOOKUP(A:A,'Raw Revenue'!C:C,'Raw Revenue'!D:D,0)</f>
        <v>0</v>
      </c>
      <c r="X672" s="11">
        <f t="array" ref="X672">XLOOKUP(A:A,'Raw Revenue'!E:E,'Raw Revenue'!F:F,0)</f>
        <v>0</v>
      </c>
      <c r="Y672" s="11">
        <f t="array" ref="Y672">XLOOKUP(A:A,'Raw Revenue'!G:G,'Raw Revenue'!H:H,0)</f>
        <v>0</v>
      </c>
      <c r="Z672" s="11">
        <f t="array" ref="Z672">XLOOKUP(A:A,'Raw Revenue'!I:I,'Raw Revenue'!J:J,0)</f>
        <v>0</v>
      </c>
      <c r="AA672" s="11">
        <f t="array" ref="AA672">XLOOKUP(A:A,'Raw Revenue'!K:K,'Raw Revenue'!L:L,0)</f>
        <v>0</v>
      </c>
      <c r="AB672" s="11">
        <f t="array" ref="AB672">XLOOKUP(A:A,'Raw Revenue'!M:M,'Raw Revenue'!N:N,0)</f>
        <v>0</v>
      </c>
      <c r="AC672" s="3">
        <v>0.0</v>
      </c>
      <c r="AD672" s="3">
        <v>0.0</v>
      </c>
      <c r="AE672" s="3">
        <v>0.0</v>
      </c>
      <c r="AF672" s="3">
        <v>0.0</v>
      </c>
      <c r="AG672" s="3">
        <v>0.0</v>
      </c>
    </row>
    <row r="673">
      <c r="A673" s="3" t="s">
        <v>1586</v>
      </c>
      <c r="B673" s="3" t="s">
        <v>1587</v>
      </c>
      <c r="C673" s="3" t="str">
        <f t="shared" si="1"/>
        <v>PT. Pratama Jaya Sentosa</v>
      </c>
      <c r="D673" s="3" t="s">
        <v>214</v>
      </c>
      <c r="E673" s="3" t="s">
        <v>215</v>
      </c>
      <c r="F673" s="3" t="s">
        <v>216</v>
      </c>
      <c r="G673" s="3" t="s">
        <v>15</v>
      </c>
      <c r="H673" s="3" t="str">
        <f t="array" ref="H673">XLOOKUP(G:G,'Account Manager Data'!A:A,'Account Manager Data'!B:B,0)</f>
        <v>Rizky Maulana</v>
      </c>
      <c r="I673" s="11" t="str">
        <f t="array" ref="I673">XLOOKUP($G:$G,'Account Manager Data'!$A:$A,'Account Manager Data'!C:C)</f>
        <v>Jawa</v>
      </c>
      <c r="J673" s="17">
        <v>1989383.0</v>
      </c>
      <c r="K673" s="17">
        <v>4876737.0</v>
      </c>
      <c r="L673" s="17">
        <v>1088177.0</v>
      </c>
      <c r="M673" s="17">
        <v>1.0606936E7</v>
      </c>
      <c r="N673" s="17">
        <v>6500817.0</v>
      </c>
      <c r="O673" s="17">
        <v>5564015.0</v>
      </c>
      <c r="P673" s="17">
        <v>1610956.0</v>
      </c>
      <c r="Q673" s="17">
        <v>1.1366469E7</v>
      </c>
      <c r="R673" s="17">
        <v>6445651.0</v>
      </c>
      <c r="S673" s="17">
        <v>1.4728073E7</v>
      </c>
      <c r="T673" s="17">
        <v>1.2456126E7</v>
      </c>
      <c r="U673" s="17">
        <v>2707954.0</v>
      </c>
      <c r="V673" s="11">
        <f t="array" ref="V673">XLOOKUP(A:A,'Raw Revenue'!A:A,'Raw Revenue'!B:B,0)
</f>
        <v>0</v>
      </c>
      <c r="W673" s="11">
        <f t="array" ref="W673">XLOOKUP(A:A,'Raw Revenue'!C:C,'Raw Revenue'!D:D,0)</f>
        <v>0</v>
      </c>
      <c r="X673" s="11">
        <f t="array" ref="X673">XLOOKUP(A:A,'Raw Revenue'!E:E,'Raw Revenue'!F:F,0)</f>
        <v>0</v>
      </c>
      <c r="Y673" s="11">
        <f t="array" ref="Y673">XLOOKUP(A:A,'Raw Revenue'!G:G,'Raw Revenue'!H:H,0)</f>
        <v>0</v>
      </c>
      <c r="Z673" s="11">
        <f t="array" ref="Z673">XLOOKUP(A:A,'Raw Revenue'!I:I,'Raw Revenue'!J:J,0)</f>
        <v>0</v>
      </c>
      <c r="AA673" s="11">
        <f t="array" ref="AA673">XLOOKUP(A:A,'Raw Revenue'!K:K,'Raw Revenue'!L:L,0)</f>
        <v>0</v>
      </c>
      <c r="AB673" s="11">
        <f t="array" ref="AB673">XLOOKUP(A:A,'Raw Revenue'!M:M,'Raw Revenue'!N:N,0)</f>
        <v>0</v>
      </c>
      <c r="AC673" s="3">
        <v>0.0</v>
      </c>
      <c r="AD673" s="3">
        <v>0.0</v>
      </c>
      <c r="AE673" s="3">
        <v>0.0</v>
      </c>
      <c r="AF673" s="3">
        <v>0.0</v>
      </c>
      <c r="AG673" s="3">
        <v>0.0</v>
      </c>
    </row>
    <row r="674">
      <c r="A674" s="3" t="s">
        <v>305</v>
      </c>
      <c r="B674" s="3" t="s">
        <v>1588</v>
      </c>
      <c r="C674" s="3" t="str">
        <f t="shared" si="1"/>
        <v>PT. Abadi Selamanya Jaya</v>
      </c>
      <c r="D674" s="3" t="s">
        <v>103</v>
      </c>
      <c r="E674" s="3" t="s">
        <v>215</v>
      </c>
      <c r="F674" s="3" t="s">
        <v>216</v>
      </c>
      <c r="G674" s="3" t="s">
        <v>53</v>
      </c>
      <c r="H674" s="3" t="str">
        <f t="array" ref="H674">XLOOKUP(G:G,'Account Manager Data'!A:A,'Account Manager Data'!B:B,0)</f>
        <v>Fajar Ramadhan</v>
      </c>
      <c r="I674" s="11" t="str">
        <f t="array" ref="I674">XLOOKUP($G:$G,'Account Manager Data'!$A:$A,'Account Manager Data'!C:C)</f>
        <v>Sulawesi</v>
      </c>
      <c r="J674" s="17">
        <v>1224514.0</v>
      </c>
      <c r="K674" s="17">
        <v>2827333.0</v>
      </c>
      <c r="L674" s="17">
        <v>8591643.0</v>
      </c>
      <c r="M674" s="17">
        <v>9555537.0</v>
      </c>
      <c r="N674" s="17">
        <v>8169621.0</v>
      </c>
      <c r="O674" s="17">
        <v>3718612.0</v>
      </c>
      <c r="P674" s="17">
        <v>3179534.0</v>
      </c>
      <c r="Q674" s="17">
        <v>1.1190391E7</v>
      </c>
      <c r="R674" s="17">
        <v>3242966.0</v>
      </c>
      <c r="S674" s="17">
        <v>4464540.0</v>
      </c>
      <c r="T674" s="17">
        <v>9070279.0</v>
      </c>
      <c r="U674" s="17">
        <v>5191165.0</v>
      </c>
      <c r="V674" s="11">
        <f t="array" ref="V674">XLOOKUP(A:A,'Raw Revenue'!A:A,'Raw Revenue'!B:B,0)
</f>
        <v>11139214.85</v>
      </c>
      <c r="W674" s="11">
        <f t="array" ref="W674">XLOOKUP(A:A,'Raw Revenue'!C:C,'Raw Revenue'!D:D,0)</f>
        <v>0</v>
      </c>
      <c r="X674" s="11">
        <f t="array" ref="X674">XLOOKUP(A:A,'Raw Revenue'!E:E,'Raw Revenue'!F:F,0)</f>
        <v>4455685.939</v>
      </c>
      <c r="Y674" s="11">
        <f t="array" ref="Y674">XLOOKUP(A:A,'Raw Revenue'!G:G,'Raw Revenue'!H:H,0)</f>
        <v>0</v>
      </c>
      <c r="Z674" s="11">
        <f t="array" ref="Z674">XLOOKUP(A:A,'Raw Revenue'!I:I,'Raw Revenue'!J:J,0)</f>
        <v>0</v>
      </c>
      <c r="AA674" s="11">
        <f t="array" ref="AA674">XLOOKUP(A:A,'Raw Revenue'!K:K,'Raw Revenue'!L:L,0)</f>
        <v>16708822.27</v>
      </c>
      <c r="AB674" s="11">
        <f t="array" ref="AB674">XLOOKUP(A:A,'Raw Revenue'!M:M,'Raw Revenue'!N:N,0)</f>
        <v>0</v>
      </c>
      <c r="AC674" s="3">
        <v>0.0</v>
      </c>
      <c r="AD674" s="3">
        <v>0.0</v>
      </c>
      <c r="AE674" s="3">
        <v>0.0</v>
      </c>
      <c r="AF674" s="3">
        <v>0.0</v>
      </c>
      <c r="AG674" s="3">
        <v>0.0</v>
      </c>
    </row>
    <row r="675">
      <c r="A675" s="3" t="s">
        <v>1589</v>
      </c>
      <c r="B675" s="3" t="s">
        <v>1590</v>
      </c>
      <c r="C675" s="3" t="str">
        <f t="shared" si="1"/>
        <v>PT. Mandiri Sejahtera Bersama</v>
      </c>
      <c r="D675" s="3" t="s">
        <v>130</v>
      </c>
      <c r="E675" s="3" t="s">
        <v>104</v>
      </c>
      <c r="F675" s="3" t="s">
        <v>252</v>
      </c>
      <c r="G675" s="3" t="s">
        <v>27</v>
      </c>
      <c r="H675" s="3" t="str">
        <f t="array" ref="H675">XLOOKUP(G:G,'Account Manager Data'!A:A,'Account Manager Data'!B:B,0)</f>
        <v>Dedi Kurniawan</v>
      </c>
      <c r="I675" s="11" t="str">
        <f t="array" ref="I675">XLOOKUP($G:$G,'Account Manager Data'!$A:$A,'Account Manager Data'!C:C)</f>
        <v>Kalimantan</v>
      </c>
      <c r="J675" s="17">
        <v>3674561.0</v>
      </c>
      <c r="K675" s="17">
        <v>6895453.0</v>
      </c>
      <c r="L675" s="17">
        <v>3942486.0</v>
      </c>
      <c r="M675" s="17">
        <v>9504833.0</v>
      </c>
      <c r="N675" s="17">
        <v>1.4225164E7</v>
      </c>
      <c r="O675" s="17">
        <v>1.3243252E7</v>
      </c>
      <c r="P675" s="17">
        <v>7912772.0</v>
      </c>
      <c r="Q675" s="17">
        <v>2867616.0</v>
      </c>
      <c r="R675" s="17">
        <v>1.5472186E7</v>
      </c>
      <c r="S675" s="17">
        <v>8639729.0</v>
      </c>
      <c r="T675" s="17">
        <v>8116978.0</v>
      </c>
      <c r="U675" s="17">
        <v>1.5298438E7</v>
      </c>
      <c r="V675" s="11">
        <f t="array" ref="V675">XLOOKUP(A:A,'Raw Revenue'!A:A,'Raw Revenue'!B:B,0)
</f>
        <v>0</v>
      </c>
      <c r="W675" s="11">
        <f t="array" ref="W675">XLOOKUP(A:A,'Raw Revenue'!C:C,'Raw Revenue'!D:D,0)</f>
        <v>0</v>
      </c>
      <c r="X675" s="11">
        <f t="array" ref="X675">XLOOKUP(A:A,'Raw Revenue'!E:E,'Raw Revenue'!F:F,0)</f>
        <v>0</v>
      </c>
      <c r="Y675" s="11">
        <f t="array" ref="Y675">XLOOKUP(A:A,'Raw Revenue'!G:G,'Raw Revenue'!H:H,0)</f>
        <v>0</v>
      </c>
      <c r="Z675" s="11">
        <f t="array" ref="Z675">XLOOKUP(A:A,'Raw Revenue'!I:I,'Raw Revenue'!J:J,0)</f>
        <v>0</v>
      </c>
      <c r="AA675" s="11">
        <f t="array" ref="AA675">XLOOKUP(A:A,'Raw Revenue'!K:K,'Raw Revenue'!L:L,0)</f>
        <v>0</v>
      </c>
      <c r="AB675" s="11">
        <f t="array" ref="AB675">XLOOKUP(A:A,'Raw Revenue'!M:M,'Raw Revenue'!N:N,0)</f>
        <v>0</v>
      </c>
      <c r="AC675" s="3">
        <v>0.0</v>
      </c>
      <c r="AD675" s="3">
        <v>0.0</v>
      </c>
      <c r="AE675" s="3">
        <v>0.0</v>
      </c>
      <c r="AF675" s="3">
        <v>0.0</v>
      </c>
      <c r="AG675" s="3">
        <v>0.0</v>
      </c>
    </row>
    <row r="676">
      <c r="A676" s="3" t="s">
        <v>427</v>
      </c>
      <c r="B676" s="3" t="s">
        <v>1591</v>
      </c>
      <c r="C676" s="3" t="str">
        <f t="shared" si="1"/>
        <v>PT. Sejahtera Alam Indonesia</v>
      </c>
      <c r="D676" s="3" t="s">
        <v>103</v>
      </c>
      <c r="E676" s="3" t="s">
        <v>85</v>
      </c>
      <c r="F676" s="3" t="s">
        <v>248</v>
      </c>
      <c r="G676" s="3" t="s">
        <v>78</v>
      </c>
      <c r="H676" s="3" t="str">
        <f t="array" ref="H676">XLOOKUP(G:G,'Account Manager Data'!A:A,'Account Manager Data'!B:B,0)</f>
        <v>Ilham Saputra</v>
      </c>
      <c r="I676" s="11" t="str">
        <f t="array" ref="I676">XLOOKUP($G:$G,'Account Manager Data'!$A:$A,'Account Manager Data'!C:C)</f>
        <v>Jawa</v>
      </c>
      <c r="J676" s="17">
        <v>8154353.0</v>
      </c>
      <c r="K676" s="17">
        <v>4715195.0</v>
      </c>
      <c r="L676" s="17">
        <v>1.0126555E7</v>
      </c>
      <c r="M676" s="17">
        <v>1413873.0</v>
      </c>
      <c r="N676" s="17">
        <v>4800482.0</v>
      </c>
      <c r="O676" s="17">
        <v>1.4145052E7</v>
      </c>
      <c r="P676" s="17">
        <v>4086558.0</v>
      </c>
      <c r="Q676" s="17">
        <v>3982219.0</v>
      </c>
      <c r="R676" s="17">
        <v>7271951.0</v>
      </c>
      <c r="S676" s="17">
        <v>7354705.0</v>
      </c>
      <c r="T676" s="17">
        <v>6651011.0</v>
      </c>
      <c r="U676" s="17">
        <v>1.2361999E7</v>
      </c>
      <c r="V676" s="11">
        <f t="array" ref="V676">XLOOKUP(A:A,'Raw Revenue'!A:A,'Raw Revenue'!B:B,0)
</f>
        <v>892565.2922</v>
      </c>
      <c r="W676" s="11">
        <f t="array" ref="W676">XLOOKUP(A:A,'Raw Revenue'!C:C,'Raw Revenue'!D:D,0)</f>
        <v>446282.6461</v>
      </c>
      <c r="X676" s="11">
        <f t="array" ref="X676">XLOOKUP(A:A,'Raw Revenue'!E:E,'Raw Revenue'!F:F,0)</f>
        <v>267769.5877</v>
      </c>
      <c r="Y676" s="11">
        <f t="array" ref="Y676">XLOOKUP(A:A,'Raw Revenue'!G:G,'Raw Revenue'!H:H,0)</f>
        <v>3123978.523</v>
      </c>
      <c r="Z676" s="11">
        <f t="array" ref="Z676">XLOOKUP(A:A,'Raw Revenue'!I:I,'Raw Revenue'!J:J,0)</f>
        <v>714052.2338</v>
      </c>
      <c r="AA676" s="11">
        <f t="array" ref="AA676">XLOOKUP(A:A,'Raw Revenue'!K:K,'Raw Revenue'!L:L,0)</f>
        <v>20082.71908</v>
      </c>
      <c r="AB676" s="11">
        <f t="array" ref="AB676">XLOOKUP(A:A,'Raw Revenue'!M:M,'Raw Revenue'!N:N,0)</f>
        <v>2691084.356</v>
      </c>
      <c r="AC676" s="3">
        <v>0.0</v>
      </c>
      <c r="AD676" s="3">
        <v>0.0</v>
      </c>
      <c r="AE676" s="3">
        <v>0.0</v>
      </c>
      <c r="AF676" s="3">
        <v>0.0</v>
      </c>
      <c r="AG676" s="3">
        <v>0.0</v>
      </c>
    </row>
    <row r="677">
      <c r="A677" s="3" t="s">
        <v>1592</v>
      </c>
      <c r="B677" s="3" t="s">
        <v>1593</v>
      </c>
      <c r="C677" s="3" t="str">
        <f t="shared" si="1"/>
        <v>PT. Indah Kargo Logistik</v>
      </c>
      <c r="D677" s="3" t="s">
        <v>186</v>
      </c>
      <c r="E677" s="3" t="s">
        <v>104</v>
      </c>
      <c r="F677" s="3" t="s">
        <v>134</v>
      </c>
      <c r="G677" s="3" t="s">
        <v>63</v>
      </c>
      <c r="H677" s="3" t="str">
        <f t="array" ref="H677">XLOOKUP(G:G,'Account Manager Data'!A:A,'Account Manager Data'!B:B,0)</f>
        <v>Hendra Gunawan</v>
      </c>
      <c r="I677" s="11" t="str">
        <f t="array" ref="I677">XLOOKUP($G:$G,'Account Manager Data'!$A:$A,'Account Manager Data'!C:C)</f>
        <v>Kalimantan</v>
      </c>
      <c r="J677" s="17">
        <v>1944816.0</v>
      </c>
      <c r="K677" s="17">
        <v>6454764.0</v>
      </c>
      <c r="L677" s="17">
        <v>0.0</v>
      </c>
      <c r="M677" s="17">
        <v>1.173756E7</v>
      </c>
      <c r="N677" s="17">
        <v>1.1062517E7</v>
      </c>
      <c r="O677" s="17">
        <v>3502229.0</v>
      </c>
      <c r="P677" s="17">
        <v>1.3565669E7</v>
      </c>
      <c r="Q677" s="17">
        <v>6777700.0</v>
      </c>
      <c r="R677" s="17">
        <v>1.2106453E7</v>
      </c>
      <c r="S677" s="17">
        <v>1.2369075E7</v>
      </c>
      <c r="T677" s="17">
        <v>1.4763198E7</v>
      </c>
      <c r="U677" s="17">
        <v>1458997.0</v>
      </c>
      <c r="V677" s="11">
        <f t="array" ref="V677">XLOOKUP(A:A,'Raw Revenue'!A:A,'Raw Revenue'!B:B,0)
</f>
        <v>0</v>
      </c>
      <c r="W677" s="11">
        <f t="array" ref="W677">XLOOKUP(A:A,'Raw Revenue'!C:C,'Raw Revenue'!D:D,0)</f>
        <v>0</v>
      </c>
      <c r="X677" s="11">
        <f t="array" ref="X677">XLOOKUP(A:A,'Raw Revenue'!E:E,'Raw Revenue'!F:F,0)</f>
        <v>0</v>
      </c>
      <c r="Y677" s="11">
        <f t="array" ref="Y677">XLOOKUP(A:A,'Raw Revenue'!G:G,'Raw Revenue'!H:H,0)</f>
        <v>0</v>
      </c>
      <c r="Z677" s="11">
        <f t="array" ref="Z677">XLOOKUP(A:A,'Raw Revenue'!I:I,'Raw Revenue'!J:J,0)</f>
        <v>0</v>
      </c>
      <c r="AA677" s="11">
        <f t="array" ref="AA677">XLOOKUP(A:A,'Raw Revenue'!K:K,'Raw Revenue'!L:L,0)</f>
        <v>0</v>
      </c>
      <c r="AB677" s="11">
        <f t="array" ref="AB677">XLOOKUP(A:A,'Raw Revenue'!M:M,'Raw Revenue'!N:N,0)</f>
        <v>0</v>
      </c>
      <c r="AC677" s="3">
        <v>0.0</v>
      </c>
      <c r="AD677" s="3">
        <v>0.0</v>
      </c>
      <c r="AE677" s="3">
        <v>0.0</v>
      </c>
      <c r="AF677" s="3">
        <v>0.0</v>
      </c>
      <c r="AG677" s="3">
        <v>0.0</v>
      </c>
    </row>
    <row r="678">
      <c r="A678" s="3" t="s">
        <v>1594</v>
      </c>
      <c r="B678" s="3" t="s">
        <v>1595</v>
      </c>
      <c r="C678" s="3" t="str">
        <f t="shared" si="1"/>
        <v>PT. Berkah Alam Semesta</v>
      </c>
      <c r="D678" s="3" t="s">
        <v>186</v>
      </c>
      <c r="E678" s="3" t="s">
        <v>215</v>
      </c>
      <c r="F678" s="3" t="s">
        <v>216</v>
      </c>
      <c r="G678" s="3" t="s">
        <v>35</v>
      </c>
      <c r="H678" s="3" t="str">
        <f t="array" ref="H678">XLOOKUP(G:G,'Account Manager Data'!A:A,'Account Manager Data'!B:B,0)</f>
        <v>Ahmad Fauzi</v>
      </c>
      <c r="I678" s="11" t="str">
        <f t="array" ref="I678">XLOOKUP($G:$G,'Account Manager Data'!$A:$A,'Account Manager Data'!C:C)</f>
        <v>Sumatera</v>
      </c>
      <c r="J678" s="17">
        <v>5811999.0</v>
      </c>
      <c r="K678" s="17">
        <v>8797829.0</v>
      </c>
      <c r="L678" s="17">
        <v>7076453.0</v>
      </c>
      <c r="M678" s="17">
        <v>1.0903577E7</v>
      </c>
      <c r="N678" s="17">
        <v>3322687.0</v>
      </c>
      <c r="O678" s="17">
        <v>1935048.0</v>
      </c>
      <c r="P678" s="17">
        <v>1.5141351E7</v>
      </c>
      <c r="Q678" s="17">
        <v>8852507.0</v>
      </c>
      <c r="R678" s="17">
        <v>735528.0</v>
      </c>
      <c r="S678" s="17">
        <v>1.0305381E7</v>
      </c>
      <c r="T678" s="17">
        <v>6199606.0</v>
      </c>
      <c r="U678" s="17">
        <v>7193788.0</v>
      </c>
      <c r="V678" s="11">
        <f t="array" ref="V678">XLOOKUP(A:A,'Raw Revenue'!A:A,'Raw Revenue'!B:B,0)
</f>
        <v>0</v>
      </c>
      <c r="W678" s="11">
        <f t="array" ref="W678">XLOOKUP(A:A,'Raw Revenue'!C:C,'Raw Revenue'!D:D,0)</f>
        <v>0</v>
      </c>
      <c r="X678" s="11">
        <f t="array" ref="X678">XLOOKUP(A:A,'Raw Revenue'!E:E,'Raw Revenue'!F:F,0)</f>
        <v>0</v>
      </c>
      <c r="Y678" s="11">
        <f t="array" ref="Y678">XLOOKUP(A:A,'Raw Revenue'!G:G,'Raw Revenue'!H:H,0)</f>
        <v>0</v>
      </c>
      <c r="Z678" s="11">
        <f t="array" ref="Z678">XLOOKUP(A:A,'Raw Revenue'!I:I,'Raw Revenue'!J:J,0)</f>
        <v>0</v>
      </c>
      <c r="AA678" s="11">
        <f t="array" ref="AA678">XLOOKUP(A:A,'Raw Revenue'!K:K,'Raw Revenue'!L:L,0)</f>
        <v>0</v>
      </c>
      <c r="AB678" s="11">
        <f t="array" ref="AB678">XLOOKUP(A:A,'Raw Revenue'!M:M,'Raw Revenue'!N:N,0)</f>
        <v>0</v>
      </c>
      <c r="AC678" s="3">
        <v>0.0</v>
      </c>
      <c r="AD678" s="3">
        <v>0.0</v>
      </c>
      <c r="AE678" s="3">
        <v>0.0</v>
      </c>
      <c r="AF678" s="3">
        <v>0.0</v>
      </c>
      <c r="AG678" s="3">
        <v>0.0</v>
      </c>
    </row>
    <row r="679">
      <c r="A679" s="3" t="s">
        <v>1596</v>
      </c>
      <c r="B679" s="3" t="s">
        <v>1597</v>
      </c>
      <c r="C679" s="3" t="str">
        <f t="shared" si="1"/>
        <v>PT. Cahaya Baru Indonesia</v>
      </c>
      <c r="D679" s="3" t="s">
        <v>130</v>
      </c>
      <c r="E679" s="3" t="s">
        <v>187</v>
      </c>
      <c r="F679" s="3" t="s">
        <v>188</v>
      </c>
      <c r="G679" s="3" t="s">
        <v>43</v>
      </c>
      <c r="H679" s="3" t="str">
        <f t="array" ref="H679">XLOOKUP(G:G,'Account Manager Data'!A:A,'Account Manager Data'!B:B,0)</f>
        <v>Eko Prasetyo</v>
      </c>
      <c r="I679" s="11" t="str">
        <f t="array" ref="I679">XLOOKUP($G:$G,'Account Manager Data'!$A:$A,'Account Manager Data'!C:C)</f>
        <v>Papua</v>
      </c>
      <c r="J679" s="17">
        <v>6354034.0</v>
      </c>
      <c r="K679" s="17">
        <v>3962528.0</v>
      </c>
      <c r="L679" s="17">
        <v>9836001.0</v>
      </c>
      <c r="M679" s="17">
        <v>4914608.0</v>
      </c>
      <c r="N679" s="17">
        <v>3044395.0</v>
      </c>
      <c r="O679" s="17">
        <v>1.1881774E7</v>
      </c>
      <c r="P679" s="17">
        <v>1.2140453E7</v>
      </c>
      <c r="Q679" s="17">
        <v>7545233.0</v>
      </c>
      <c r="R679" s="17">
        <v>3636602.0</v>
      </c>
      <c r="S679" s="17">
        <v>7287727.0</v>
      </c>
      <c r="T679" s="17">
        <v>8710606.0</v>
      </c>
      <c r="U679" s="17">
        <v>1.6664552E7</v>
      </c>
      <c r="V679" s="11">
        <f t="array" ref="V679">XLOOKUP(A:A,'Raw Revenue'!A:A,'Raw Revenue'!B:B,0)
</f>
        <v>0</v>
      </c>
      <c r="W679" s="11">
        <f t="array" ref="W679">XLOOKUP(A:A,'Raw Revenue'!C:C,'Raw Revenue'!D:D,0)</f>
        <v>0</v>
      </c>
      <c r="X679" s="11">
        <f t="array" ref="X679">XLOOKUP(A:A,'Raw Revenue'!E:E,'Raw Revenue'!F:F,0)</f>
        <v>0</v>
      </c>
      <c r="Y679" s="11">
        <f t="array" ref="Y679">XLOOKUP(A:A,'Raw Revenue'!G:G,'Raw Revenue'!H:H,0)</f>
        <v>0</v>
      </c>
      <c r="Z679" s="11">
        <f t="array" ref="Z679">XLOOKUP(A:A,'Raw Revenue'!I:I,'Raw Revenue'!J:J,0)</f>
        <v>0</v>
      </c>
      <c r="AA679" s="11">
        <f t="array" ref="AA679">XLOOKUP(A:A,'Raw Revenue'!K:K,'Raw Revenue'!L:L,0)</f>
        <v>0</v>
      </c>
      <c r="AB679" s="11">
        <f t="array" ref="AB679">XLOOKUP(A:A,'Raw Revenue'!M:M,'Raw Revenue'!N:N,0)</f>
        <v>0</v>
      </c>
      <c r="AC679" s="3">
        <v>0.0</v>
      </c>
      <c r="AD679" s="3">
        <v>0.0</v>
      </c>
      <c r="AE679" s="3">
        <v>0.0</v>
      </c>
      <c r="AF679" s="3">
        <v>0.0</v>
      </c>
      <c r="AG679" s="3">
        <v>0.0</v>
      </c>
    </row>
    <row r="680">
      <c r="A680" s="3" t="s">
        <v>1598</v>
      </c>
      <c r="B680" s="3" t="s">
        <v>1599</v>
      </c>
      <c r="C680" s="3" t="str">
        <f t="shared" si="1"/>
        <v>PT. Mentari Pagi Sejahtera</v>
      </c>
      <c r="D680" s="3" t="s">
        <v>214</v>
      </c>
      <c r="E680" s="3" t="s">
        <v>104</v>
      </c>
      <c r="F680" s="3" t="s">
        <v>105</v>
      </c>
      <c r="G680" s="3" t="s">
        <v>74</v>
      </c>
      <c r="H680" s="3" t="str">
        <f t="array" ref="H680">XLOOKUP(G:G,'Account Manager Data'!A:A,'Account Manager Data'!B:B,0)</f>
        <v>Budi Santoso</v>
      </c>
      <c r="I680" s="11" t="str">
        <f t="array" ref="I680">XLOOKUP($G:$G,'Account Manager Data'!$A:$A,'Account Manager Data'!C:C)</f>
        <v>Papua</v>
      </c>
      <c r="J680" s="17">
        <v>1823626.0</v>
      </c>
      <c r="K680" s="17">
        <v>9033668.0</v>
      </c>
      <c r="L680" s="17">
        <v>1192693.0</v>
      </c>
      <c r="M680" s="17">
        <v>3488120.0</v>
      </c>
      <c r="N680" s="17">
        <v>7657819.0</v>
      </c>
      <c r="O680" s="17">
        <v>6830748.0</v>
      </c>
      <c r="P680" s="17">
        <v>5651456.0</v>
      </c>
      <c r="Q680" s="17">
        <v>592948.0</v>
      </c>
      <c r="R680" s="17">
        <v>1003344.0</v>
      </c>
      <c r="S680" s="17">
        <v>8902846.0</v>
      </c>
      <c r="T680" s="17">
        <v>1.7993338E7</v>
      </c>
      <c r="U680" s="17">
        <v>2051224.0</v>
      </c>
      <c r="V680" s="11">
        <f t="array" ref="V680">XLOOKUP(A:A,'Raw Revenue'!A:A,'Raw Revenue'!B:B,0)
</f>
        <v>0</v>
      </c>
      <c r="W680" s="11">
        <f t="array" ref="W680">XLOOKUP(A:A,'Raw Revenue'!C:C,'Raw Revenue'!D:D,0)</f>
        <v>0</v>
      </c>
      <c r="X680" s="11">
        <f t="array" ref="X680">XLOOKUP(A:A,'Raw Revenue'!E:E,'Raw Revenue'!F:F,0)</f>
        <v>0</v>
      </c>
      <c r="Y680" s="11">
        <f t="array" ref="Y680">XLOOKUP(A:A,'Raw Revenue'!G:G,'Raw Revenue'!H:H,0)</f>
        <v>0</v>
      </c>
      <c r="Z680" s="11">
        <f t="array" ref="Z680">XLOOKUP(A:A,'Raw Revenue'!I:I,'Raw Revenue'!J:J,0)</f>
        <v>0</v>
      </c>
      <c r="AA680" s="11">
        <f t="array" ref="AA680">XLOOKUP(A:A,'Raw Revenue'!K:K,'Raw Revenue'!L:L,0)</f>
        <v>0</v>
      </c>
      <c r="AB680" s="11">
        <f t="array" ref="AB680">XLOOKUP(A:A,'Raw Revenue'!M:M,'Raw Revenue'!N:N,0)</f>
        <v>0</v>
      </c>
      <c r="AC680" s="3">
        <v>0.0</v>
      </c>
      <c r="AD680" s="3">
        <v>0.0</v>
      </c>
      <c r="AE680" s="3">
        <v>0.0</v>
      </c>
      <c r="AF680" s="3">
        <v>0.0</v>
      </c>
      <c r="AG680" s="3">
        <v>0.0</v>
      </c>
    </row>
    <row r="681">
      <c r="A681" s="3" t="s">
        <v>463</v>
      </c>
      <c r="B681" s="3" t="s">
        <v>1600</v>
      </c>
      <c r="C681" s="3" t="str">
        <f t="shared" si="1"/>
        <v>PT. Bintang Kejora Nusantara</v>
      </c>
      <c r="D681" s="3" t="s">
        <v>103</v>
      </c>
      <c r="E681" s="3" t="s">
        <v>196</v>
      </c>
      <c r="F681" s="3" t="s">
        <v>260</v>
      </c>
      <c r="G681" s="3" t="s">
        <v>76</v>
      </c>
      <c r="H681" s="3" t="str">
        <f t="array" ref="H681">XLOOKUP(G:G,'Account Manager Data'!A:A,'Account Manager Data'!B:B,0)</f>
        <v>Teguh Wijaya</v>
      </c>
      <c r="I681" s="11" t="str">
        <f t="array" ref="I681">XLOOKUP($G:$G,'Account Manager Data'!$A:$A,'Account Manager Data'!C:C)</f>
        <v>Sulawesi</v>
      </c>
      <c r="J681" s="17">
        <v>655277.0</v>
      </c>
      <c r="K681" s="17">
        <v>9000651.0</v>
      </c>
      <c r="L681" s="17">
        <v>1.0013417E7</v>
      </c>
      <c r="M681" s="17">
        <v>5349597.0</v>
      </c>
      <c r="N681" s="17">
        <v>2481851.0</v>
      </c>
      <c r="O681" s="17">
        <v>1769316.0</v>
      </c>
      <c r="P681" s="17">
        <v>0.0</v>
      </c>
      <c r="Q681" s="17">
        <v>1.5838875E7</v>
      </c>
      <c r="R681" s="17">
        <v>1.236566E7</v>
      </c>
      <c r="S681" s="17">
        <v>4280254.0</v>
      </c>
      <c r="T681" s="17">
        <v>1.6830304E7</v>
      </c>
      <c r="U681" s="17">
        <v>1.5712096E7</v>
      </c>
      <c r="V681" s="11">
        <f t="array" ref="V681">XLOOKUP(A:A,'Raw Revenue'!A:A,'Raw Revenue'!B:B,0)
</f>
        <v>1054849.891</v>
      </c>
      <c r="W681" s="11">
        <f t="array" ref="W681">XLOOKUP(A:A,'Raw Revenue'!C:C,'Raw Revenue'!D:D,0)</f>
        <v>527424.9454</v>
      </c>
      <c r="X681" s="11">
        <f t="array" ref="X681">XLOOKUP(A:A,'Raw Revenue'!E:E,'Raw Revenue'!F:F,0)</f>
        <v>316454.9672</v>
      </c>
      <c r="Y681" s="11">
        <f t="array" ref="Y681">XLOOKUP(A:A,'Raw Revenue'!G:G,'Raw Revenue'!H:H,0)</f>
        <v>3691974.618</v>
      </c>
      <c r="Z681" s="11">
        <f t="array" ref="Z681">XLOOKUP(A:A,'Raw Revenue'!I:I,'Raw Revenue'!J:J,0)</f>
        <v>843879.9127</v>
      </c>
      <c r="AA681" s="11">
        <f t="array" ref="AA681">XLOOKUP(A:A,'Raw Revenue'!K:K,'Raw Revenue'!L:L,0)</f>
        <v>23734.12254</v>
      </c>
      <c r="AB681" s="11">
        <f t="array" ref="AB681">XLOOKUP(A:A,'Raw Revenue'!M:M,'Raw Revenue'!N:N,0)</f>
        <v>3180372.421</v>
      </c>
      <c r="AC681" s="3">
        <v>0.0</v>
      </c>
      <c r="AD681" s="3">
        <v>0.0</v>
      </c>
      <c r="AE681" s="3">
        <v>0.0</v>
      </c>
      <c r="AF681" s="3">
        <v>0.0</v>
      </c>
      <c r="AG681" s="3">
        <v>0.0</v>
      </c>
    </row>
    <row r="682">
      <c r="A682" s="3" t="s">
        <v>1601</v>
      </c>
      <c r="B682" s="3" t="s">
        <v>1602</v>
      </c>
      <c r="C682" s="3" t="str">
        <f t="shared" si="1"/>
        <v>PT. Maju Jaya</v>
      </c>
      <c r="D682" s="3" t="s">
        <v>186</v>
      </c>
      <c r="E682" s="3" t="s">
        <v>187</v>
      </c>
      <c r="F682" s="3" t="s">
        <v>269</v>
      </c>
      <c r="G682" s="3" t="s">
        <v>70</v>
      </c>
      <c r="H682" s="3" t="str">
        <f t="array" ref="H682">XLOOKUP(G:G,'Account Manager Data'!A:A,'Account Manager Data'!B:B,0)</f>
        <v>Yusuf Hidayat</v>
      </c>
      <c r="I682" s="11" t="str">
        <f t="array" ref="I682">XLOOKUP($G:$G,'Account Manager Data'!$A:$A,'Account Manager Data'!C:C)</f>
        <v>Sumatera</v>
      </c>
      <c r="J682" s="17">
        <v>7615788.0</v>
      </c>
      <c r="K682" s="17">
        <v>7001357.0</v>
      </c>
      <c r="L682" s="17">
        <v>177470.0</v>
      </c>
      <c r="M682" s="17">
        <v>3842908.0</v>
      </c>
      <c r="N682" s="17">
        <v>1.2849458E7</v>
      </c>
      <c r="O682" s="17">
        <v>1.1857068E7</v>
      </c>
      <c r="P682" s="17">
        <v>5464153.0</v>
      </c>
      <c r="Q682" s="17">
        <v>8623685.0</v>
      </c>
      <c r="R682" s="17">
        <v>1.0643603E7</v>
      </c>
      <c r="S682" s="17">
        <v>9150612.0</v>
      </c>
      <c r="T682" s="17">
        <v>1.7514573E7</v>
      </c>
      <c r="U682" s="17">
        <v>7136066.0</v>
      </c>
      <c r="V682" s="11">
        <f t="array" ref="V682">XLOOKUP(A:A,'Raw Revenue'!A:A,'Raw Revenue'!B:B,0)
</f>
        <v>0</v>
      </c>
      <c r="W682" s="11">
        <f t="array" ref="W682">XLOOKUP(A:A,'Raw Revenue'!C:C,'Raw Revenue'!D:D,0)</f>
        <v>0</v>
      </c>
      <c r="X682" s="11">
        <f t="array" ref="X682">XLOOKUP(A:A,'Raw Revenue'!E:E,'Raw Revenue'!F:F,0)</f>
        <v>0</v>
      </c>
      <c r="Y682" s="11">
        <f t="array" ref="Y682">XLOOKUP(A:A,'Raw Revenue'!G:G,'Raw Revenue'!H:H,0)</f>
        <v>0</v>
      </c>
      <c r="Z682" s="11">
        <f t="array" ref="Z682">XLOOKUP(A:A,'Raw Revenue'!I:I,'Raw Revenue'!J:J,0)</f>
        <v>0</v>
      </c>
      <c r="AA682" s="11">
        <f t="array" ref="AA682">XLOOKUP(A:A,'Raw Revenue'!K:K,'Raw Revenue'!L:L,0)</f>
        <v>0</v>
      </c>
      <c r="AB682" s="11">
        <f t="array" ref="AB682">XLOOKUP(A:A,'Raw Revenue'!M:M,'Raw Revenue'!N:N,0)</f>
        <v>0</v>
      </c>
      <c r="AC682" s="3">
        <v>0.0</v>
      </c>
      <c r="AD682" s="3">
        <v>0.0</v>
      </c>
      <c r="AE682" s="3">
        <v>0.0</v>
      </c>
      <c r="AF682" s="3">
        <v>0.0</v>
      </c>
      <c r="AG682" s="3">
        <v>0.0</v>
      </c>
    </row>
    <row r="683">
      <c r="A683" s="3" t="s">
        <v>1603</v>
      </c>
      <c r="B683" s="3" t="s">
        <v>1604</v>
      </c>
      <c r="C683" s="3" t="str">
        <f t="shared" si="1"/>
        <v>CV. Sumber Makmur</v>
      </c>
      <c r="D683" s="3" t="s">
        <v>84</v>
      </c>
      <c r="E683" s="3" t="s">
        <v>104</v>
      </c>
      <c r="F683" s="3" t="s">
        <v>252</v>
      </c>
      <c r="G683" s="3" t="s">
        <v>15</v>
      </c>
      <c r="H683" s="3" t="str">
        <f t="array" ref="H683">XLOOKUP(G:G,'Account Manager Data'!A:A,'Account Manager Data'!B:B,0)</f>
        <v>Rizky Maulana</v>
      </c>
      <c r="I683" s="11" t="str">
        <f t="array" ref="I683">XLOOKUP($G:$G,'Account Manager Data'!$A:$A,'Account Manager Data'!C:C)</f>
        <v>Jawa</v>
      </c>
      <c r="J683" s="17">
        <v>1267140.0</v>
      </c>
      <c r="K683" s="17">
        <v>8683016.0</v>
      </c>
      <c r="L683" s="17">
        <v>9936860.0</v>
      </c>
      <c r="M683" s="17">
        <v>6462967.0</v>
      </c>
      <c r="N683" s="17">
        <v>1.4265064E7</v>
      </c>
      <c r="O683" s="17">
        <v>697196.0</v>
      </c>
      <c r="P683" s="17">
        <v>8313993.0</v>
      </c>
      <c r="Q683" s="17">
        <v>3288111.0</v>
      </c>
      <c r="R683" s="17">
        <v>1472761.0</v>
      </c>
      <c r="S683" s="17">
        <v>1.598806E7</v>
      </c>
      <c r="T683" s="17">
        <v>3939379.0</v>
      </c>
      <c r="U683" s="17">
        <v>1.9330525E7</v>
      </c>
      <c r="V683" s="11">
        <f t="array" ref="V683">XLOOKUP(A:A,'Raw Revenue'!A:A,'Raw Revenue'!B:B,0)
</f>
        <v>0</v>
      </c>
      <c r="W683" s="11">
        <f t="array" ref="W683">XLOOKUP(A:A,'Raw Revenue'!C:C,'Raw Revenue'!D:D,0)</f>
        <v>0</v>
      </c>
      <c r="X683" s="11">
        <f t="array" ref="X683">XLOOKUP(A:A,'Raw Revenue'!E:E,'Raw Revenue'!F:F,0)</f>
        <v>0</v>
      </c>
      <c r="Y683" s="11">
        <f t="array" ref="Y683">XLOOKUP(A:A,'Raw Revenue'!G:G,'Raw Revenue'!H:H,0)</f>
        <v>0</v>
      </c>
      <c r="Z683" s="11">
        <f t="array" ref="Z683">XLOOKUP(A:A,'Raw Revenue'!I:I,'Raw Revenue'!J:J,0)</f>
        <v>0</v>
      </c>
      <c r="AA683" s="11">
        <f t="array" ref="AA683">XLOOKUP(A:A,'Raw Revenue'!K:K,'Raw Revenue'!L:L,0)</f>
        <v>0</v>
      </c>
      <c r="AB683" s="11">
        <f t="array" ref="AB683">XLOOKUP(A:A,'Raw Revenue'!M:M,'Raw Revenue'!N:N,0)</f>
        <v>0</v>
      </c>
      <c r="AC683" s="3">
        <v>0.0</v>
      </c>
      <c r="AD683" s="3">
        <v>0.0</v>
      </c>
      <c r="AE683" s="3">
        <v>0.0</v>
      </c>
      <c r="AF683" s="3">
        <v>0.0</v>
      </c>
      <c r="AG683" s="3">
        <v>0.0</v>
      </c>
    </row>
    <row r="684">
      <c r="A684" s="3" t="s">
        <v>1605</v>
      </c>
      <c r="B684" s="3" t="s">
        <v>1606</v>
      </c>
      <c r="C684" s="3" t="str">
        <f t="shared" si="1"/>
        <v>PT. Teknologi Nusantara</v>
      </c>
      <c r="D684" s="3" t="s">
        <v>130</v>
      </c>
      <c r="E684" s="3" t="s">
        <v>215</v>
      </c>
      <c r="F684" s="3" t="s">
        <v>216</v>
      </c>
      <c r="G684" s="3" t="s">
        <v>27</v>
      </c>
      <c r="H684" s="3" t="str">
        <f t="array" ref="H684">XLOOKUP(G:G,'Account Manager Data'!A:A,'Account Manager Data'!B:B,0)</f>
        <v>Dedi Kurniawan</v>
      </c>
      <c r="I684" s="11" t="str">
        <f t="array" ref="I684">XLOOKUP($G:$G,'Account Manager Data'!$A:$A,'Account Manager Data'!C:C)</f>
        <v>Kalimantan</v>
      </c>
      <c r="J684" s="17">
        <v>6740948.0</v>
      </c>
      <c r="K684" s="17">
        <v>6360324.0</v>
      </c>
      <c r="L684" s="17">
        <v>0.0</v>
      </c>
      <c r="M684" s="17">
        <v>6297339.0</v>
      </c>
      <c r="N684" s="17">
        <v>2842918.0</v>
      </c>
      <c r="O684" s="17">
        <v>676964.0</v>
      </c>
      <c r="P684" s="17">
        <v>5324342.0</v>
      </c>
      <c r="Q684" s="17">
        <v>4507420.0</v>
      </c>
      <c r="R684" s="17">
        <v>1.6518465E7</v>
      </c>
      <c r="S684" s="17">
        <v>5803873.0</v>
      </c>
      <c r="T684" s="17">
        <v>604533.0</v>
      </c>
      <c r="U684" s="17">
        <v>1.9352989E7</v>
      </c>
      <c r="V684" s="11">
        <f t="array" ref="V684">XLOOKUP(A:A,'Raw Revenue'!A:A,'Raw Revenue'!B:B,0)
</f>
        <v>0</v>
      </c>
      <c r="W684" s="11">
        <f t="array" ref="W684">XLOOKUP(A:A,'Raw Revenue'!C:C,'Raw Revenue'!D:D,0)</f>
        <v>0</v>
      </c>
      <c r="X684" s="11">
        <f t="array" ref="X684">XLOOKUP(A:A,'Raw Revenue'!E:E,'Raw Revenue'!F:F,0)</f>
        <v>0</v>
      </c>
      <c r="Y684" s="11">
        <f t="array" ref="Y684">XLOOKUP(A:A,'Raw Revenue'!G:G,'Raw Revenue'!H:H,0)</f>
        <v>0</v>
      </c>
      <c r="Z684" s="11">
        <f t="array" ref="Z684">XLOOKUP(A:A,'Raw Revenue'!I:I,'Raw Revenue'!J:J,0)</f>
        <v>0</v>
      </c>
      <c r="AA684" s="11">
        <f t="array" ref="AA684">XLOOKUP(A:A,'Raw Revenue'!K:K,'Raw Revenue'!L:L,0)</f>
        <v>0</v>
      </c>
      <c r="AB684" s="11">
        <f t="array" ref="AB684">XLOOKUP(A:A,'Raw Revenue'!M:M,'Raw Revenue'!N:N,0)</f>
        <v>0</v>
      </c>
      <c r="AC684" s="3">
        <v>0.0</v>
      </c>
      <c r="AD684" s="3">
        <v>0.0</v>
      </c>
      <c r="AE684" s="3">
        <v>0.0</v>
      </c>
      <c r="AF684" s="3">
        <v>0.0</v>
      </c>
      <c r="AG684" s="3">
        <v>0.0</v>
      </c>
    </row>
    <row r="685">
      <c r="A685" s="3" t="s">
        <v>430</v>
      </c>
      <c r="B685" s="3" t="s">
        <v>1607</v>
      </c>
      <c r="C685" s="3" t="str">
        <f t="shared" si="1"/>
        <v>PT. Bakti Indonesia</v>
      </c>
      <c r="D685" s="3" t="s">
        <v>103</v>
      </c>
      <c r="E685" s="3" t="s">
        <v>215</v>
      </c>
      <c r="F685" s="3" t="s">
        <v>216</v>
      </c>
      <c r="G685" s="3" t="s">
        <v>78</v>
      </c>
      <c r="H685" s="3" t="str">
        <f t="array" ref="H685">XLOOKUP(G:G,'Account Manager Data'!A:A,'Account Manager Data'!B:B,0)</f>
        <v>Ilham Saputra</v>
      </c>
      <c r="I685" s="11" t="str">
        <f t="array" ref="I685">XLOOKUP($G:$G,'Account Manager Data'!$A:$A,'Account Manager Data'!C:C)</f>
        <v>Jawa</v>
      </c>
      <c r="J685" s="17">
        <v>5707974.0</v>
      </c>
      <c r="K685" s="17">
        <v>4607727.0</v>
      </c>
      <c r="L685" s="17">
        <v>3815183.0</v>
      </c>
      <c r="M685" s="17">
        <v>4200663.0</v>
      </c>
      <c r="N685" s="17">
        <v>1.2331925E7</v>
      </c>
      <c r="O685" s="17">
        <v>6780430.0</v>
      </c>
      <c r="P685" s="17">
        <v>1.0597275E7</v>
      </c>
      <c r="Q685" s="17">
        <v>2422872.0</v>
      </c>
      <c r="R685" s="17">
        <v>1.4315518E7</v>
      </c>
      <c r="S685" s="17">
        <v>3757220.0</v>
      </c>
      <c r="T685" s="17">
        <v>5345528.0</v>
      </c>
      <c r="U685" s="17">
        <v>8306453.0</v>
      </c>
      <c r="V685" s="11">
        <f t="array" ref="V685">XLOOKUP(A:A,'Raw Revenue'!A:A,'Raw Revenue'!B:B,0)
</f>
        <v>357026.1169</v>
      </c>
      <c r="W685" s="11">
        <f t="array" ref="W685">XLOOKUP(A:A,'Raw Revenue'!C:C,'Raw Revenue'!D:D,0)</f>
        <v>178513.0584</v>
      </c>
      <c r="X685" s="11">
        <f t="array" ref="X685">XLOOKUP(A:A,'Raw Revenue'!E:E,'Raw Revenue'!F:F,0)</f>
        <v>107107.8351</v>
      </c>
      <c r="Y685" s="11">
        <f t="array" ref="Y685">XLOOKUP(A:A,'Raw Revenue'!G:G,'Raw Revenue'!H:H,0)</f>
        <v>1249591.409</v>
      </c>
      <c r="Z685" s="11">
        <f t="array" ref="Z685">XLOOKUP(A:A,'Raw Revenue'!I:I,'Raw Revenue'!J:J,0)</f>
        <v>285620.8935</v>
      </c>
      <c r="AA685" s="11">
        <f t="array" ref="AA685">XLOOKUP(A:A,'Raw Revenue'!K:K,'Raw Revenue'!L:L,0)</f>
        <v>8033.08763</v>
      </c>
      <c r="AB685" s="11">
        <f t="array" ref="AB685">XLOOKUP(A:A,'Raw Revenue'!M:M,'Raw Revenue'!N:N,0)</f>
        <v>1076433.742</v>
      </c>
      <c r="AC685" s="3">
        <v>0.0</v>
      </c>
      <c r="AD685" s="3">
        <v>0.0</v>
      </c>
      <c r="AE685" s="3">
        <v>0.0</v>
      </c>
      <c r="AF685" s="3">
        <v>0.0</v>
      </c>
      <c r="AG685" s="3">
        <v>0.0</v>
      </c>
    </row>
    <row r="686">
      <c r="A686" s="3" t="s">
        <v>1608</v>
      </c>
      <c r="B686" s="3" t="s">
        <v>1609</v>
      </c>
      <c r="C686" s="3" t="str">
        <f t="shared" si="1"/>
        <v>CV. Amanah Sejahtera</v>
      </c>
      <c r="D686" s="3" t="s">
        <v>186</v>
      </c>
      <c r="E686" s="3" t="s">
        <v>187</v>
      </c>
      <c r="F686" s="3" t="s">
        <v>269</v>
      </c>
      <c r="G686" s="3" t="s">
        <v>53</v>
      </c>
      <c r="H686" s="3" t="str">
        <f t="array" ref="H686">XLOOKUP(G:G,'Account Manager Data'!A:A,'Account Manager Data'!B:B,0)</f>
        <v>Fajar Ramadhan</v>
      </c>
      <c r="I686" s="11" t="str">
        <f t="array" ref="I686">XLOOKUP($G:$G,'Account Manager Data'!$A:$A,'Account Manager Data'!C:C)</f>
        <v>Sulawesi</v>
      </c>
      <c r="J686" s="17">
        <v>3475601.0</v>
      </c>
      <c r="K686" s="17">
        <v>4332676.0</v>
      </c>
      <c r="L686" s="17">
        <v>1.0428834E7</v>
      </c>
      <c r="M686" s="17">
        <v>1.1128631E7</v>
      </c>
      <c r="N686" s="17">
        <v>247365.0</v>
      </c>
      <c r="O686" s="17">
        <v>8114407.0</v>
      </c>
      <c r="P686" s="17">
        <v>1.0086403E7</v>
      </c>
      <c r="Q686" s="17">
        <v>5099854.0</v>
      </c>
      <c r="R686" s="17">
        <v>2256461.0</v>
      </c>
      <c r="S686" s="17">
        <v>6325605.0</v>
      </c>
      <c r="T686" s="17">
        <v>1.6002981E7</v>
      </c>
      <c r="U686" s="17">
        <v>0.0</v>
      </c>
      <c r="V686" s="11">
        <f t="array" ref="V686">XLOOKUP(A:A,'Raw Revenue'!A:A,'Raw Revenue'!B:B,0)
</f>
        <v>0</v>
      </c>
      <c r="W686" s="11">
        <f t="array" ref="W686">XLOOKUP(A:A,'Raw Revenue'!C:C,'Raw Revenue'!D:D,0)</f>
        <v>0</v>
      </c>
      <c r="X686" s="11">
        <f t="array" ref="X686">XLOOKUP(A:A,'Raw Revenue'!E:E,'Raw Revenue'!F:F,0)</f>
        <v>0</v>
      </c>
      <c r="Y686" s="11">
        <f t="array" ref="Y686">XLOOKUP(A:A,'Raw Revenue'!G:G,'Raw Revenue'!H:H,0)</f>
        <v>0</v>
      </c>
      <c r="Z686" s="11">
        <f t="array" ref="Z686">XLOOKUP(A:A,'Raw Revenue'!I:I,'Raw Revenue'!J:J,0)</f>
        <v>0</v>
      </c>
      <c r="AA686" s="11">
        <f t="array" ref="AA686">XLOOKUP(A:A,'Raw Revenue'!K:K,'Raw Revenue'!L:L,0)</f>
        <v>0</v>
      </c>
      <c r="AB686" s="11">
        <f t="array" ref="AB686">XLOOKUP(A:A,'Raw Revenue'!M:M,'Raw Revenue'!N:N,0)</f>
        <v>0</v>
      </c>
      <c r="AC686" s="3">
        <v>0.0</v>
      </c>
      <c r="AD686" s="3">
        <v>0.0</v>
      </c>
      <c r="AE686" s="3">
        <v>0.0</v>
      </c>
      <c r="AF686" s="3">
        <v>0.0</v>
      </c>
      <c r="AG686" s="3">
        <v>0.0</v>
      </c>
    </row>
    <row r="687">
      <c r="A687" s="3" t="s">
        <v>1610</v>
      </c>
      <c r="B687" s="3" t="s">
        <v>1611</v>
      </c>
      <c r="C687" s="3" t="str">
        <f t="shared" si="1"/>
        <v>PT. Digital Solusi Pratama</v>
      </c>
      <c r="D687" s="3" t="s">
        <v>130</v>
      </c>
      <c r="E687" s="3" t="s">
        <v>104</v>
      </c>
      <c r="F687" s="3" t="s">
        <v>134</v>
      </c>
      <c r="G687" s="3" t="s">
        <v>63</v>
      </c>
      <c r="H687" s="3" t="str">
        <f t="array" ref="H687">XLOOKUP(G:G,'Account Manager Data'!A:A,'Account Manager Data'!B:B,0)</f>
        <v>Hendra Gunawan</v>
      </c>
      <c r="I687" s="11" t="str">
        <f t="array" ref="I687">XLOOKUP($G:$G,'Account Manager Data'!$A:$A,'Account Manager Data'!C:C)</f>
        <v>Kalimantan</v>
      </c>
      <c r="J687" s="17">
        <v>6834259.0</v>
      </c>
      <c r="K687" s="17">
        <v>5707768.0</v>
      </c>
      <c r="L687" s="17">
        <v>7748167.0</v>
      </c>
      <c r="M687" s="17">
        <v>1.0205978E7</v>
      </c>
      <c r="N687" s="17">
        <v>5478534.0</v>
      </c>
      <c r="O687" s="17">
        <v>9709291.0</v>
      </c>
      <c r="P687" s="17">
        <v>4605400.0</v>
      </c>
      <c r="Q687" s="17">
        <v>8929239.0</v>
      </c>
      <c r="R687" s="17">
        <v>0.0</v>
      </c>
      <c r="S687" s="17">
        <v>8444092.0</v>
      </c>
      <c r="T687" s="17">
        <v>1.4679483E7</v>
      </c>
      <c r="U687" s="17">
        <v>1142004.0</v>
      </c>
      <c r="V687" s="11">
        <f t="array" ref="V687">XLOOKUP(A:A,'Raw Revenue'!A:A,'Raw Revenue'!B:B,0)
</f>
        <v>0</v>
      </c>
      <c r="W687" s="11">
        <f t="array" ref="W687">XLOOKUP(A:A,'Raw Revenue'!C:C,'Raw Revenue'!D:D,0)</f>
        <v>0</v>
      </c>
      <c r="X687" s="11">
        <f t="array" ref="X687">XLOOKUP(A:A,'Raw Revenue'!E:E,'Raw Revenue'!F:F,0)</f>
        <v>0</v>
      </c>
      <c r="Y687" s="11">
        <f t="array" ref="Y687">XLOOKUP(A:A,'Raw Revenue'!G:G,'Raw Revenue'!H:H,0)</f>
        <v>0</v>
      </c>
      <c r="Z687" s="11">
        <f t="array" ref="Z687">XLOOKUP(A:A,'Raw Revenue'!I:I,'Raw Revenue'!J:J,0)</f>
        <v>0</v>
      </c>
      <c r="AA687" s="11">
        <f t="array" ref="AA687">XLOOKUP(A:A,'Raw Revenue'!K:K,'Raw Revenue'!L:L,0)</f>
        <v>0</v>
      </c>
      <c r="AB687" s="11">
        <f t="array" ref="AB687">XLOOKUP(A:A,'Raw Revenue'!M:M,'Raw Revenue'!N:N,0)</f>
        <v>0</v>
      </c>
      <c r="AC687" s="3">
        <v>0.0</v>
      </c>
      <c r="AD687" s="3">
        <v>0.0</v>
      </c>
      <c r="AE687" s="3">
        <v>0.0</v>
      </c>
      <c r="AF687" s="3">
        <v>0.0</v>
      </c>
      <c r="AG687" s="3">
        <v>0.0</v>
      </c>
    </row>
    <row r="688">
      <c r="A688" s="3" t="s">
        <v>222</v>
      </c>
      <c r="B688" s="3" t="s">
        <v>1612</v>
      </c>
      <c r="C688" s="3" t="str">
        <f t="shared" si="1"/>
        <v>PT. Global Niaga Abadi</v>
      </c>
      <c r="D688" s="3" t="s">
        <v>103</v>
      </c>
      <c r="E688" s="3" t="s">
        <v>104</v>
      </c>
      <c r="F688" s="3" t="s">
        <v>134</v>
      </c>
      <c r="G688" s="3" t="s">
        <v>35</v>
      </c>
      <c r="H688" s="3" t="str">
        <f t="array" ref="H688">XLOOKUP(G:G,'Account Manager Data'!A:A,'Account Manager Data'!B:B,0)</f>
        <v>Ahmad Fauzi</v>
      </c>
      <c r="I688" s="11" t="str">
        <f t="array" ref="I688">XLOOKUP($G:$G,'Account Manager Data'!$A:$A,'Account Manager Data'!C:C)</f>
        <v>Sumatera</v>
      </c>
      <c r="J688" s="17">
        <v>2324036.0</v>
      </c>
      <c r="K688" s="17">
        <v>4068349.0</v>
      </c>
      <c r="L688" s="17">
        <v>7863309.0</v>
      </c>
      <c r="M688" s="17">
        <v>5125607.0</v>
      </c>
      <c r="N688" s="17">
        <v>8137711.0</v>
      </c>
      <c r="O688" s="17">
        <v>1.3449371E7</v>
      </c>
      <c r="P688" s="17">
        <v>1.2473787E7</v>
      </c>
      <c r="Q688" s="17">
        <v>2775280.0</v>
      </c>
      <c r="R688" s="17">
        <v>1.679653E7</v>
      </c>
      <c r="S688" s="17">
        <v>1.1079287E7</v>
      </c>
      <c r="T688" s="17">
        <v>5168062.0</v>
      </c>
      <c r="U688" s="17">
        <v>2985600.0</v>
      </c>
      <c r="V688" s="11">
        <f t="array" ref="V688">XLOOKUP(A:A,'Raw Revenue'!A:A,'Raw Revenue'!B:B,0)
</f>
        <v>3855882.062</v>
      </c>
      <c r="W688" s="11">
        <f t="array" ref="W688">XLOOKUP(A:A,'Raw Revenue'!C:C,'Raw Revenue'!D:D,0)</f>
        <v>3855882.062</v>
      </c>
      <c r="X688" s="11">
        <f t="array" ref="X688">XLOOKUP(A:A,'Raw Revenue'!E:E,'Raw Revenue'!F:F,0)</f>
        <v>7711764.125</v>
      </c>
      <c r="Y688" s="11">
        <f t="array" ref="Y688">XLOOKUP(A:A,'Raw Revenue'!G:G,'Raw Revenue'!H:H,0)</f>
        <v>6297940.702</v>
      </c>
      <c r="Z688" s="11">
        <f t="array" ref="Z688">XLOOKUP(A:A,'Raw Revenue'!I:I,'Raw Revenue'!J:J,0)</f>
        <v>5655293.692</v>
      </c>
      <c r="AA688" s="11">
        <f t="array" ref="AA688">XLOOKUP(A:A,'Raw Revenue'!K:K,'Raw Revenue'!L:L,0)</f>
        <v>14459557.73</v>
      </c>
      <c r="AB688" s="11">
        <f t="array" ref="AB688">XLOOKUP(A:A,'Raw Revenue'!M:M,'Raw Revenue'!N:N,0)</f>
        <v>13302793.12</v>
      </c>
      <c r="AC688" s="3">
        <v>0.0</v>
      </c>
      <c r="AD688" s="3">
        <v>0.0</v>
      </c>
      <c r="AE688" s="3">
        <v>0.0</v>
      </c>
      <c r="AF688" s="3">
        <v>0.0</v>
      </c>
      <c r="AG688" s="3">
        <v>0.0</v>
      </c>
    </row>
    <row r="689">
      <c r="A689" s="3" t="s">
        <v>1613</v>
      </c>
      <c r="B689" s="3" t="s">
        <v>1614</v>
      </c>
      <c r="C689" s="3" t="str">
        <f t="shared" si="1"/>
        <v>PT. Indo Makmur Sentosa</v>
      </c>
      <c r="D689" s="3" t="s">
        <v>84</v>
      </c>
      <c r="E689" s="3" t="s">
        <v>215</v>
      </c>
      <c r="F689" s="3" t="s">
        <v>227</v>
      </c>
      <c r="G689" s="3" t="s">
        <v>74</v>
      </c>
      <c r="H689" s="3" t="str">
        <f t="array" ref="H689">XLOOKUP(G:G,'Account Manager Data'!A:A,'Account Manager Data'!B:B,0)</f>
        <v>Budi Santoso</v>
      </c>
      <c r="I689" s="11" t="str">
        <f t="array" ref="I689">XLOOKUP($G:$G,'Account Manager Data'!$A:$A,'Account Manager Data'!C:C)</f>
        <v>Papua</v>
      </c>
      <c r="J689" s="17">
        <v>6284821.0</v>
      </c>
      <c r="K689" s="17">
        <v>2319360.0</v>
      </c>
      <c r="L689" s="17">
        <v>8959242.0</v>
      </c>
      <c r="M689" s="17">
        <v>6740755.0</v>
      </c>
      <c r="N689" s="17">
        <v>1.3929829E7</v>
      </c>
      <c r="O689" s="17">
        <v>59540.0</v>
      </c>
      <c r="P689" s="17">
        <v>1.1253642E7</v>
      </c>
      <c r="Q689" s="17">
        <v>0.0</v>
      </c>
      <c r="R689" s="17">
        <v>5515449.0</v>
      </c>
      <c r="S689" s="17">
        <v>1.1884534E7</v>
      </c>
      <c r="T689" s="17">
        <v>1.5808318E7</v>
      </c>
      <c r="U689" s="17">
        <v>7380273.0</v>
      </c>
      <c r="V689" s="11">
        <f t="array" ref="V689">XLOOKUP(A:A,'Raw Revenue'!A:A,'Raw Revenue'!B:B,0)
</f>
        <v>0</v>
      </c>
      <c r="W689" s="11">
        <f t="array" ref="W689">XLOOKUP(A:A,'Raw Revenue'!C:C,'Raw Revenue'!D:D,0)</f>
        <v>0</v>
      </c>
      <c r="X689" s="11">
        <f t="array" ref="X689">XLOOKUP(A:A,'Raw Revenue'!E:E,'Raw Revenue'!F:F,0)</f>
        <v>0</v>
      </c>
      <c r="Y689" s="11">
        <f t="array" ref="Y689">XLOOKUP(A:A,'Raw Revenue'!G:G,'Raw Revenue'!H:H,0)</f>
        <v>0</v>
      </c>
      <c r="Z689" s="11">
        <f t="array" ref="Z689">XLOOKUP(A:A,'Raw Revenue'!I:I,'Raw Revenue'!J:J,0)</f>
        <v>0</v>
      </c>
      <c r="AA689" s="11">
        <f t="array" ref="AA689">XLOOKUP(A:A,'Raw Revenue'!K:K,'Raw Revenue'!L:L,0)</f>
        <v>0</v>
      </c>
      <c r="AB689" s="11">
        <f t="array" ref="AB689">XLOOKUP(A:A,'Raw Revenue'!M:M,'Raw Revenue'!N:N,0)</f>
        <v>0</v>
      </c>
      <c r="AC689" s="3">
        <v>0.0</v>
      </c>
      <c r="AD689" s="3">
        <v>0.0</v>
      </c>
      <c r="AE689" s="3">
        <v>0.0</v>
      </c>
      <c r="AF689" s="3">
        <v>0.0</v>
      </c>
      <c r="AG689" s="3">
        <v>0.0</v>
      </c>
    </row>
    <row r="690">
      <c r="A690" s="3" t="s">
        <v>1615</v>
      </c>
      <c r="B690" s="3" t="s">
        <v>1616</v>
      </c>
      <c r="C690" s="3" t="str">
        <f t="shared" si="1"/>
        <v>PT. Citra Mandiri Utama</v>
      </c>
      <c r="D690" s="3" t="s">
        <v>186</v>
      </c>
      <c r="E690" s="3" t="s">
        <v>215</v>
      </c>
      <c r="F690" s="3" t="s">
        <v>216</v>
      </c>
      <c r="G690" s="3" t="s">
        <v>43</v>
      </c>
      <c r="H690" s="3" t="str">
        <f t="array" ref="H690">XLOOKUP(G:G,'Account Manager Data'!A:A,'Account Manager Data'!B:B,0)</f>
        <v>Eko Prasetyo</v>
      </c>
      <c r="I690" s="11" t="str">
        <f t="array" ref="I690">XLOOKUP($G:$G,'Account Manager Data'!$A:$A,'Account Manager Data'!C:C)</f>
        <v>Papua</v>
      </c>
      <c r="J690" s="17">
        <v>4814881.0</v>
      </c>
      <c r="K690" s="17">
        <v>411543.0</v>
      </c>
      <c r="L690" s="17">
        <v>6402880.0</v>
      </c>
      <c r="M690" s="17">
        <v>9163933.0</v>
      </c>
      <c r="N690" s="17">
        <v>1.0232822E7</v>
      </c>
      <c r="O690" s="17">
        <v>1.202451E7</v>
      </c>
      <c r="P690" s="17">
        <v>3858143.0</v>
      </c>
      <c r="Q690" s="17">
        <v>1.3265133E7</v>
      </c>
      <c r="R690" s="17">
        <v>1852509.0</v>
      </c>
      <c r="S690" s="17">
        <v>1.2349563E7</v>
      </c>
      <c r="T690" s="17">
        <v>6206758.0</v>
      </c>
      <c r="U690" s="17">
        <v>6402168.0</v>
      </c>
      <c r="V690" s="11">
        <f t="array" ref="V690">XLOOKUP(A:A,'Raw Revenue'!A:A,'Raw Revenue'!B:B,0)
</f>
        <v>0</v>
      </c>
      <c r="W690" s="11">
        <f t="array" ref="W690">XLOOKUP(A:A,'Raw Revenue'!C:C,'Raw Revenue'!D:D,0)</f>
        <v>0</v>
      </c>
      <c r="X690" s="11">
        <f t="array" ref="X690">XLOOKUP(A:A,'Raw Revenue'!E:E,'Raw Revenue'!F:F,0)</f>
        <v>0</v>
      </c>
      <c r="Y690" s="11">
        <f t="array" ref="Y690">XLOOKUP(A:A,'Raw Revenue'!G:G,'Raw Revenue'!H:H,0)</f>
        <v>0</v>
      </c>
      <c r="Z690" s="11">
        <f t="array" ref="Z690">XLOOKUP(A:A,'Raw Revenue'!I:I,'Raw Revenue'!J:J,0)</f>
        <v>0</v>
      </c>
      <c r="AA690" s="11">
        <f t="array" ref="AA690">XLOOKUP(A:A,'Raw Revenue'!K:K,'Raw Revenue'!L:L,0)</f>
        <v>0</v>
      </c>
      <c r="AB690" s="11">
        <f t="array" ref="AB690">XLOOKUP(A:A,'Raw Revenue'!M:M,'Raw Revenue'!N:N,0)</f>
        <v>0</v>
      </c>
      <c r="AC690" s="3">
        <v>0.0</v>
      </c>
      <c r="AD690" s="3">
        <v>0.0</v>
      </c>
      <c r="AE690" s="3">
        <v>0.0</v>
      </c>
      <c r="AF690" s="3">
        <v>0.0</v>
      </c>
      <c r="AG690" s="3">
        <v>0.0</v>
      </c>
    </row>
    <row r="691">
      <c r="A691" s="3" t="s">
        <v>1617</v>
      </c>
      <c r="B691" s="3" t="s">
        <v>1618</v>
      </c>
      <c r="C691" s="3" t="str">
        <f t="shared" si="1"/>
        <v>PT. Sinar Dunia Baru</v>
      </c>
      <c r="D691" s="3" t="s">
        <v>130</v>
      </c>
      <c r="E691" s="3" t="s">
        <v>85</v>
      </c>
      <c r="F691" s="3" t="s">
        <v>407</v>
      </c>
      <c r="G691" s="3" t="s">
        <v>76</v>
      </c>
      <c r="H691" s="3" t="str">
        <f t="array" ref="H691">XLOOKUP(G:G,'Account Manager Data'!A:A,'Account Manager Data'!B:B,0)</f>
        <v>Teguh Wijaya</v>
      </c>
      <c r="I691" s="11" t="str">
        <f t="array" ref="I691">XLOOKUP($G:$G,'Account Manager Data'!$A:$A,'Account Manager Data'!C:C)</f>
        <v>Sulawesi</v>
      </c>
      <c r="J691" s="17">
        <v>7128527.0</v>
      </c>
      <c r="K691" s="17">
        <v>8176207.0</v>
      </c>
      <c r="L691" s="17">
        <v>3490000.0</v>
      </c>
      <c r="M691" s="17">
        <v>8955849.0</v>
      </c>
      <c r="N691" s="17">
        <v>1.2725863E7</v>
      </c>
      <c r="O691" s="17">
        <v>503720.0</v>
      </c>
      <c r="P691" s="17">
        <v>1.5973185E7</v>
      </c>
      <c r="Q691" s="17">
        <v>1.4916741E7</v>
      </c>
      <c r="R691" s="17">
        <v>2490837.0</v>
      </c>
      <c r="S691" s="17">
        <v>1.1862996E7</v>
      </c>
      <c r="T691" s="17">
        <v>1.8511669E7</v>
      </c>
      <c r="U691" s="17">
        <v>8098141.0</v>
      </c>
      <c r="V691" s="11">
        <f t="array" ref="V691">XLOOKUP(A:A,'Raw Revenue'!A:A,'Raw Revenue'!B:B,0)
</f>
        <v>0</v>
      </c>
      <c r="W691" s="11">
        <f t="array" ref="W691">XLOOKUP(A:A,'Raw Revenue'!C:C,'Raw Revenue'!D:D,0)</f>
        <v>0</v>
      </c>
      <c r="X691" s="11">
        <f t="array" ref="X691">XLOOKUP(A:A,'Raw Revenue'!E:E,'Raw Revenue'!F:F,0)</f>
        <v>0</v>
      </c>
      <c r="Y691" s="11">
        <f t="array" ref="Y691">XLOOKUP(A:A,'Raw Revenue'!G:G,'Raw Revenue'!H:H,0)</f>
        <v>0</v>
      </c>
      <c r="Z691" s="11">
        <f t="array" ref="Z691">XLOOKUP(A:A,'Raw Revenue'!I:I,'Raw Revenue'!J:J,0)</f>
        <v>0</v>
      </c>
      <c r="AA691" s="11">
        <f t="array" ref="AA691">XLOOKUP(A:A,'Raw Revenue'!K:K,'Raw Revenue'!L:L,0)</f>
        <v>0</v>
      </c>
      <c r="AB691" s="11">
        <f t="array" ref="AB691">XLOOKUP(A:A,'Raw Revenue'!M:M,'Raw Revenue'!N:N,0)</f>
        <v>0</v>
      </c>
      <c r="AC691" s="3">
        <v>0.0</v>
      </c>
      <c r="AD691" s="3">
        <v>0.0</v>
      </c>
      <c r="AE691" s="3">
        <v>0.0</v>
      </c>
      <c r="AF691" s="3">
        <v>0.0</v>
      </c>
      <c r="AG691" s="3">
        <v>0.0</v>
      </c>
    </row>
    <row r="692">
      <c r="A692" s="3" t="s">
        <v>471</v>
      </c>
      <c r="B692" s="3" t="s">
        <v>1619</v>
      </c>
      <c r="C692" s="3" t="str">
        <f t="shared" si="1"/>
        <v>CV. Karya Utama Mandiri</v>
      </c>
      <c r="D692" s="3" t="s">
        <v>103</v>
      </c>
      <c r="E692" s="3" t="s">
        <v>196</v>
      </c>
      <c r="F692" s="3" t="s">
        <v>260</v>
      </c>
      <c r="G692" s="3" t="s">
        <v>70</v>
      </c>
      <c r="H692" s="3" t="str">
        <f t="array" ref="H692">XLOOKUP(G:G,'Account Manager Data'!A:A,'Account Manager Data'!B:B,0)</f>
        <v>Yusuf Hidayat</v>
      </c>
      <c r="I692" s="11" t="str">
        <f t="array" ref="I692">XLOOKUP($G:$G,'Account Manager Data'!$A:$A,'Account Manager Data'!C:C)</f>
        <v>Sumatera</v>
      </c>
      <c r="J692" s="17">
        <v>2109308.0</v>
      </c>
      <c r="K692" s="17">
        <v>5351039.0</v>
      </c>
      <c r="L692" s="17">
        <v>1.0622079E7</v>
      </c>
      <c r="M692" s="17">
        <v>9283193.0</v>
      </c>
      <c r="N692" s="17">
        <v>1.4133265E7</v>
      </c>
      <c r="O692" s="17">
        <v>1.4408873E7</v>
      </c>
      <c r="P692" s="17">
        <v>7101665.0</v>
      </c>
      <c r="Q692" s="17">
        <v>1.4924894E7</v>
      </c>
      <c r="R692" s="17">
        <v>1.4686611E7</v>
      </c>
      <c r="S692" s="17">
        <v>272039.0</v>
      </c>
      <c r="T692" s="17">
        <v>4398860.0</v>
      </c>
      <c r="U692" s="17">
        <v>1.6880677E7</v>
      </c>
      <c r="V692" s="11">
        <f t="array" ref="V692">XLOOKUP(A:A,'Raw Revenue'!A:A,'Raw Revenue'!B:B,0)
</f>
        <v>193389.1466</v>
      </c>
      <c r="W692" s="11">
        <f t="array" ref="W692">XLOOKUP(A:A,'Raw Revenue'!C:C,'Raw Revenue'!D:D,0)</f>
        <v>96694.57332</v>
      </c>
      <c r="X692" s="11">
        <f t="array" ref="X692">XLOOKUP(A:A,'Raw Revenue'!E:E,'Raw Revenue'!F:F,0)</f>
        <v>58016.74399</v>
      </c>
      <c r="Y692" s="11">
        <f t="array" ref="Y692">XLOOKUP(A:A,'Raw Revenue'!G:G,'Raw Revenue'!H:H,0)</f>
        <v>676862.0133</v>
      </c>
      <c r="Z692" s="11">
        <f t="array" ref="Z692">XLOOKUP(A:A,'Raw Revenue'!I:I,'Raw Revenue'!J:J,0)</f>
        <v>154711.3173</v>
      </c>
      <c r="AA692" s="11">
        <f t="array" ref="AA692">XLOOKUP(A:A,'Raw Revenue'!K:K,'Raw Revenue'!L:L,0)</f>
        <v>4351.2558</v>
      </c>
      <c r="AB692" s="11">
        <f t="array" ref="AB692">XLOOKUP(A:A,'Raw Revenue'!M:M,'Raw Revenue'!N:N,0)</f>
        <v>583068.2771</v>
      </c>
      <c r="AC692" s="3">
        <v>0.0</v>
      </c>
      <c r="AD692" s="3">
        <v>0.0</v>
      </c>
      <c r="AE692" s="3">
        <v>0.0</v>
      </c>
      <c r="AF692" s="3">
        <v>0.0</v>
      </c>
      <c r="AG692" s="3">
        <v>0.0</v>
      </c>
    </row>
    <row r="693">
      <c r="A693" s="3" t="s">
        <v>1620</v>
      </c>
      <c r="B693" s="3" t="s">
        <v>1621</v>
      </c>
      <c r="C693" s="3" t="str">
        <f t="shared" si="1"/>
        <v>PT. Pratama Jaya Sentosa</v>
      </c>
      <c r="D693" s="3" t="s">
        <v>214</v>
      </c>
      <c r="E693" s="3" t="s">
        <v>85</v>
      </c>
      <c r="F693" s="3" t="s">
        <v>407</v>
      </c>
      <c r="G693" s="3" t="s">
        <v>15</v>
      </c>
      <c r="H693" s="3" t="str">
        <f t="array" ref="H693">XLOOKUP(G:G,'Account Manager Data'!A:A,'Account Manager Data'!B:B,0)</f>
        <v>Rizky Maulana</v>
      </c>
      <c r="I693" s="11" t="str">
        <f t="array" ref="I693">XLOOKUP($G:$G,'Account Manager Data'!$A:$A,'Account Manager Data'!C:C)</f>
        <v>Jawa</v>
      </c>
      <c r="J693" s="17">
        <v>7462188.0</v>
      </c>
      <c r="K693" s="17">
        <v>3024956.0</v>
      </c>
      <c r="L693" s="17">
        <v>9757978.0</v>
      </c>
      <c r="M693" s="17">
        <v>7086036.0</v>
      </c>
      <c r="N693" s="17">
        <v>2846174.0</v>
      </c>
      <c r="O693" s="17">
        <v>4422002.0</v>
      </c>
      <c r="P693" s="17">
        <v>1.129855E7</v>
      </c>
      <c r="Q693" s="17">
        <v>1.4782071E7</v>
      </c>
      <c r="R693" s="17">
        <v>238156.0</v>
      </c>
      <c r="S693" s="17">
        <v>6745445.0</v>
      </c>
      <c r="T693" s="17">
        <v>5586418.0</v>
      </c>
      <c r="U693" s="17">
        <v>1.6110231E7</v>
      </c>
      <c r="V693" s="11">
        <f t="array" ref="V693">XLOOKUP(A:A,'Raw Revenue'!A:A,'Raw Revenue'!B:B,0)
</f>
        <v>0</v>
      </c>
      <c r="W693" s="11">
        <f t="array" ref="W693">XLOOKUP(A:A,'Raw Revenue'!C:C,'Raw Revenue'!D:D,0)</f>
        <v>0</v>
      </c>
      <c r="X693" s="11">
        <f t="array" ref="X693">XLOOKUP(A:A,'Raw Revenue'!E:E,'Raw Revenue'!F:F,0)</f>
        <v>0</v>
      </c>
      <c r="Y693" s="11">
        <f t="array" ref="Y693">XLOOKUP(A:A,'Raw Revenue'!G:G,'Raw Revenue'!H:H,0)</f>
        <v>0</v>
      </c>
      <c r="Z693" s="11">
        <f t="array" ref="Z693">XLOOKUP(A:A,'Raw Revenue'!I:I,'Raw Revenue'!J:J,0)</f>
        <v>0</v>
      </c>
      <c r="AA693" s="11">
        <f t="array" ref="AA693">XLOOKUP(A:A,'Raw Revenue'!K:K,'Raw Revenue'!L:L,0)</f>
        <v>0</v>
      </c>
      <c r="AB693" s="11">
        <f t="array" ref="AB693">XLOOKUP(A:A,'Raw Revenue'!M:M,'Raw Revenue'!N:N,0)</f>
        <v>0</v>
      </c>
      <c r="AC693" s="3">
        <v>0.0</v>
      </c>
      <c r="AD693" s="3">
        <v>0.0</v>
      </c>
      <c r="AE693" s="3">
        <v>0.0</v>
      </c>
      <c r="AF693" s="3">
        <v>0.0</v>
      </c>
      <c r="AG693" s="3">
        <v>0.0</v>
      </c>
    </row>
    <row r="694">
      <c r="A694" s="3" t="s">
        <v>1622</v>
      </c>
      <c r="B694" s="3" t="s">
        <v>1623</v>
      </c>
      <c r="C694" s="3" t="str">
        <f t="shared" si="1"/>
        <v>PT. Abadi Selamanya Jaya</v>
      </c>
      <c r="D694" s="3" t="s">
        <v>84</v>
      </c>
      <c r="E694" s="3" t="s">
        <v>104</v>
      </c>
      <c r="F694" s="3" t="s">
        <v>252</v>
      </c>
      <c r="G694" s="3" t="s">
        <v>53</v>
      </c>
      <c r="H694" s="3" t="str">
        <f t="array" ref="H694">XLOOKUP(G:G,'Account Manager Data'!A:A,'Account Manager Data'!B:B,0)</f>
        <v>Fajar Ramadhan</v>
      </c>
      <c r="I694" s="11" t="str">
        <f t="array" ref="I694">XLOOKUP($G:$G,'Account Manager Data'!$A:$A,'Account Manager Data'!C:C)</f>
        <v>Sulawesi</v>
      </c>
      <c r="J694" s="17">
        <v>4734725.0</v>
      </c>
      <c r="K694" s="17">
        <v>758931.0</v>
      </c>
      <c r="L694" s="17">
        <v>8037503.0</v>
      </c>
      <c r="M694" s="17">
        <v>2822745.0</v>
      </c>
      <c r="N694" s="17">
        <v>3526927.0</v>
      </c>
      <c r="O694" s="17">
        <v>0.0</v>
      </c>
      <c r="P694" s="17">
        <v>7573458.0</v>
      </c>
      <c r="Q694" s="17">
        <v>0.0</v>
      </c>
      <c r="R694" s="17">
        <v>546451.0</v>
      </c>
      <c r="S694" s="17">
        <v>8702724.0</v>
      </c>
      <c r="T694" s="17">
        <v>9139016.0</v>
      </c>
      <c r="U694" s="17">
        <v>1.9282697E7</v>
      </c>
      <c r="V694" s="11">
        <f t="array" ref="V694">XLOOKUP(A:A,'Raw Revenue'!A:A,'Raw Revenue'!B:B,0)
</f>
        <v>0</v>
      </c>
      <c r="W694" s="11">
        <f t="array" ref="W694">XLOOKUP(A:A,'Raw Revenue'!C:C,'Raw Revenue'!D:D,0)</f>
        <v>0</v>
      </c>
      <c r="X694" s="11">
        <f t="array" ref="X694">XLOOKUP(A:A,'Raw Revenue'!E:E,'Raw Revenue'!F:F,0)</f>
        <v>0</v>
      </c>
      <c r="Y694" s="11">
        <f t="array" ref="Y694">XLOOKUP(A:A,'Raw Revenue'!G:G,'Raw Revenue'!H:H,0)</f>
        <v>0</v>
      </c>
      <c r="Z694" s="11">
        <f t="array" ref="Z694">XLOOKUP(A:A,'Raw Revenue'!I:I,'Raw Revenue'!J:J,0)</f>
        <v>0</v>
      </c>
      <c r="AA694" s="11">
        <f t="array" ref="AA694">XLOOKUP(A:A,'Raw Revenue'!K:K,'Raw Revenue'!L:L,0)</f>
        <v>0</v>
      </c>
      <c r="AB694" s="11">
        <f t="array" ref="AB694">XLOOKUP(A:A,'Raw Revenue'!M:M,'Raw Revenue'!N:N,0)</f>
        <v>0</v>
      </c>
      <c r="AC694" s="3">
        <v>0.0</v>
      </c>
      <c r="AD694" s="3">
        <v>0.0</v>
      </c>
      <c r="AE694" s="3">
        <v>0.0</v>
      </c>
      <c r="AF694" s="3">
        <v>0.0</v>
      </c>
      <c r="AG694" s="3">
        <v>0.0</v>
      </c>
    </row>
    <row r="695">
      <c r="A695" s="3" t="s">
        <v>1624</v>
      </c>
      <c r="B695" s="3" t="s">
        <v>1625</v>
      </c>
      <c r="C695" s="3" t="str">
        <f t="shared" si="1"/>
        <v>PT. Mandiri Sejahtera Bersama</v>
      </c>
      <c r="D695" s="3" t="s">
        <v>195</v>
      </c>
      <c r="E695" s="3" t="s">
        <v>85</v>
      </c>
      <c r="F695" s="3" t="s">
        <v>248</v>
      </c>
      <c r="G695" s="3" t="s">
        <v>27</v>
      </c>
      <c r="H695" s="3" t="str">
        <f t="array" ref="H695">XLOOKUP(G:G,'Account Manager Data'!A:A,'Account Manager Data'!B:B,0)</f>
        <v>Dedi Kurniawan</v>
      </c>
      <c r="I695" s="11" t="str">
        <f t="array" ref="I695">XLOOKUP($G:$G,'Account Manager Data'!$A:$A,'Account Manager Data'!C:C)</f>
        <v>Kalimantan</v>
      </c>
      <c r="J695" s="17">
        <v>4627867.0</v>
      </c>
      <c r="K695" s="17">
        <v>3428224.0</v>
      </c>
      <c r="L695" s="17">
        <v>7346330.0</v>
      </c>
      <c r="M695" s="17">
        <v>2410394.0</v>
      </c>
      <c r="N695" s="17">
        <v>3604956.0</v>
      </c>
      <c r="O695" s="17">
        <v>6755968.0</v>
      </c>
      <c r="P695" s="17">
        <v>9860939.0</v>
      </c>
      <c r="Q695" s="17">
        <v>3454035.0</v>
      </c>
      <c r="R695" s="17">
        <v>221642.0</v>
      </c>
      <c r="S695" s="17">
        <v>1.7105611E7</v>
      </c>
      <c r="T695" s="17">
        <v>1.277217E7</v>
      </c>
      <c r="U695" s="17">
        <v>1193925.0</v>
      </c>
      <c r="V695" s="11">
        <f t="array" ref="V695">XLOOKUP(A:A,'Raw Revenue'!A:A,'Raw Revenue'!B:B,0)
</f>
        <v>0</v>
      </c>
      <c r="W695" s="11">
        <f t="array" ref="W695">XLOOKUP(A:A,'Raw Revenue'!C:C,'Raw Revenue'!D:D,0)</f>
        <v>0</v>
      </c>
      <c r="X695" s="11">
        <f t="array" ref="X695">XLOOKUP(A:A,'Raw Revenue'!E:E,'Raw Revenue'!F:F,0)</f>
        <v>0</v>
      </c>
      <c r="Y695" s="11">
        <f t="array" ref="Y695">XLOOKUP(A:A,'Raw Revenue'!G:G,'Raw Revenue'!H:H,0)</f>
        <v>0</v>
      </c>
      <c r="Z695" s="11">
        <f t="array" ref="Z695">XLOOKUP(A:A,'Raw Revenue'!I:I,'Raw Revenue'!J:J,0)</f>
        <v>0</v>
      </c>
      <c r="AA695" s="11">
        <f t="array" ref="AA695">XLOOKUP(A:A,'Raw Revenue'!K:K,'Raw Revenue'!L:L,0)</f>
        <v>0</v>
      </c>
      <c r="AB695" s="11">
        <f t="array" ref="AB695">XLOOKUP(A:A,'Raw Revenue'!M:M,'Raw Revenue'!N:N,0)</f>
        <v>0</v>
      </c>
      <c r="AC695" s="3">
        <v>0.0</v>
      </c>
      <c r="AD695" s="3">
        <v>0.0</v>
      </c>
      <c r="AE695" s="3">
        <v>0.0</v>
      </c>
      <c r="AF695" s="3">
        <v>0.0</v>
      </c>
      <c r="AG695" s="3">
        <v>0.0</v>
      </c>
    </row>
    <row r="696">
      <c r="A696" s="3" t="s">
        <v>433</v>
      </c>
      <c r="B696" s="3" t="s">
        <v>1626</v>
      </c>
      <c r="C696" s="3" t="str">
        <f t="shared" si="1"/>
        <v>PT. Sejahtera Alam Indonesia</v>
      </c>
      <c r="D696" s="3" t="s">
        <v>103</v>
      </c>
      <c r="E696" s="3" t="s">
        <v>215</v>
      </c>
      <c r="F696" s="3" t="s">
        <v>227</v>
      </c>
      <c r="G696" s="3" t="s">
        <v>78</v>
      </c>
      <c r="H696" s="3" t="str">
        <f t="array" ref="H696">XLOOKUP(G:G,'Account Manager Data'!A:A,'Account Manager Data'!B:B,0)</f>
        <v>Ilham Saputra</v>
      </c>
      <c r="I696" s="11" t="str">
        <f t="array" ref="I696">XLOOKUP($G:$G,'Account Manager Data'!$A:$A,'Account Manager Data'!C:C)</f>
        <v>Jawa</v>
      </c>
      <c r="J696" s="17">
        <v>542529.0</v>
      </c>
      <c r="K696" s="17">
        <v>6330233.0</v>
      </c>
      <c r="L696" s="17">
        <v>5405081.0</v>
      </c>
      <c r="M696" s="17">
        <v>5395191.0</v>
      </c>
      <c r="N696" s="17">
        <v>8941853.0</v>
      </c>
      <c r="O696" s="17">
        <v>250830.0</v>
      </c>
      <c r="P696" s="17">
        <v>0.0</v>
      </c>
      <c r="Q696" s="17">
        <v>1.5652582E7</v>
      </c>
      <c r="R696" s="17">
        <v>8357555.0</v>
      </c>
      <c r="S696" s="17">
        <v>628553.0</v>
      </c>
      <c r="T696" s="17">
        <v>1.9125199E7</v>
      </c>
      <c r="U696" s="17">
        <v>644607.0</v>
      </c>
      <c r="V696" s="11">
        <f t="array" ref="V696">XLOOKUP(A:A,'Raw Revenue'!A:A,'Raw Revenue'!B:B,0)
</f>
        <v>1071078.351</v>
      </c>
      <c r="W696" s="11">
        <f t="array" ref="W696">XLOOKUP(A:A,'Raw Revenue'!C:C,'Raw Revenue'!D:D,0)</f>
        <v>535539.1753</v>
      </c>
      <c r="X696" s="11">
        <f t="array" ref="X696">XLOOKUP(A:A,'Raw Revenue'!E:E,'Raw Revenue'!F:F,0)</f>
        <v>321323.5052</v>
      </c>
      <c r="Y696" s="11">
        <f t="array" ref="Y696">XLOOKUP(A:A,'Raw Revenue'!G:G,'Raw Revenue'!H:H,0)</f>
        <v>3748774.227</v>
      </c>
      <c r="Z696" s="11">
        <f t="array" ref="Z696">XLOOKUP(A:A,'Raw Revenue'!I:I,'Raw Revenue'!J:J,0)</f>
        <v>856862.6805</v>
      </c>
      <c r="AA696" s="11">
        <f t="array" ref="AA696">XLOOKUP(A:A,'Raw Revenue'!K:K,'Raw Revenue'!L:L,0)</f>
        <v>24099.26289</v>
      </c>
      <c r="AB696" s="11">
        <f t="array" ref="AB696">XLOOKUP(A:A,'Raw Revenue'!M:M,'Raw Revenue'!N:N,0)</f>
        <v>3229301.227</v>
      </c>
      <c r="AC696" s="3">
        <v>0.0</v>
      </c>
      <c r="AD696" s="3">
        <v>0.0</v>
      </c>
      <c r="AE696" s="3">
        <v>0.0</v>
      </c>
      <c r="AF696" s="3">
        <v>0.0</v>
      </c>
      <c r="AG696" s="3">
        <v>0.0</v>
      </c>
    </row>
    <row r="697">
      <c r="A697" s="3" t="s">
        <v>1627</v>
      </c>
      <c r="B697" s="3" t="s">
        <v>1628</v>
      </c>
      <c r="C697" s="3" t="str">
        <f t="shared" si="1"/>
        <v>PT. Indah Kargo Logistik</v>
      </c>
      <c r="D697" s="3" t="s">
        <v>130</v>
      </c>
      <c r="E697" s="3" t="s">
        <v>215</v>
      </c>
      <c r="F697" s="3" t="s">
        <v>227</v>
      </c>
      <c r="G697" s="3" t="s">
        <v>63</v>
      </c>
      <c r="H697" s="3" t="str">
        <f t="array" ref="H697">XLOOKUP(G:G,'Account Manager Data'!A:A,'Account Manager Data'!B:B,0)</f>
        <v>Hendra Gunawan</v>
      </c>
      <c r="I697" s="11" t="str">
        <f t="array" ref="I697">XLOOKUP($G:$G,'Account Manager Data'!$A:$A,'Account Manager Data'!C:C)</f>
        <v>Kalimantan</v>
      </c>
      <c r="J697" s="17">
        <v>2794379.0</v>
      </c>
      <c r="K697" s="17">
        <v>8586785.0</v>
      </c>
      <c r="L697" s="17">
        <v>9143819.0</v>
      </c>
      <c r="M697" s="17">
        <v>9078265.0</v>
      </c>
      <c r="N697" s="17">
        <v>4743718.0</v>
      </c>
      <c r="O697" s="17">
        <v>7919745.0</v>
      </c>
      <c r="P697" s="17">
        <v>1.4677412E7</v>
      </c>
      <c r="Q697" s="17">
        <v>1.618409E7</v>
      </c>
      <c r="R697" s="17">
        <v>8370148.0</v>
      </c>
      <c r="S697" s="17">
        <v>677431.0</v>
      </c>
      <c r="T697" s="17">
        <v>1.3711212E7</v>
      </c>
      <c r="U697" s="17">
        <v>5843389.0</v>
      </c>
      <c r="V697" s="11">
        <f t="array" ref="V697">XLOOKUP(A:A,'Raw Revenue'!A:A,'Raw Revenue'!B:B,0)
</f>
        <v>0</v>
      </c>
      <c r="W697" s="11">
        <f t="array" ref="W697">XLOOKUP(A:A,'Raw Revenue'!C:C,'Raw Revenue'!D:D,0)</f>
        <v>0</v>
      </c>
      <c r="X697" s="11">
        <f t="array" ref="X697">XLOOKUP(A:A,'Raw Revenue'!E:E,'Raw Revenue'!F:F,0)</f>
        <v>0</v>
      </c>
      <c r="Y697" s="11">
        <f t="array" ref="Y697">XLOOKUP(A:A,'Raw Revenue'!G:G,'Raw Revenue'!H:H,0)</f>
        <v>0</v>
      </c>
      <c r="Z697" s="11">
        <f t="array" ref="Z697">XLOOKUP(A:A,'Raw Revenue'!I:I,'Raw Revenue'!J:J,0)</f>
        <v>0</v>
      </c>
      <c r="AA697" s="11">
        <f t="array" ref="AA697">XLOOKUP(A:A,'Raw Revenue'!K:K,'Raw Revenue'!L:L,0)</f>
        <v>0</v>
      </c>
      <c r="AB697" s="11">
        <f t="array" ref="AB697">XLOOKUP(A:A,'Raw Revenue'!M:M,'Raw Revenue'!N:N,0)</f>
        <v>0</v>
      </c>
      <c r="AC697" s="3">
        <v>0.0</v>
      </c>
      <c r="AD697" s="3">
        <v>0.0</v>
      </c>
      <c r="AE697" s="3">
        <v>0.0</v>
      </c>
      <c r="AF697" s="3">
        <v>0.0</v>
      </c>
      <c r="AG697" s="3">
        <v>0.0</v>
      </c>
    </row>
    <row r="698">
      <c r="A698" s="3" t="s">
        <v>1629</v>
      </c>
      <c r="B698" s="3" t="s">
        <v>1630</v>
      </c>
      <c r="C698" s="3" t="str">
        <f t="shared" si="1"/>
        <v>PT. Berkah Alam Semesta</v>
      </c>
      <c r="D698" s="3" t="s">
        <v>130</v>
      </c>
      <c r="E698" s="3" t="s">
        <v>196</v>
      </c>
      <c r="F698" s="3" t="s">
        <v>260</v>
      </c>
      <c r="G698" s="3" t="s">
        <v>35</v>
      </c>
      <c r="H698" s="3" t="str">
        <f t="array" ref="H698">XLOOKUP(G:G,'Account Manager Data'!A:A,'Account Manager Data'!B:B,0)</f>
        <v>Ahmad Fauzi</v>
      </c>
      <c r="I698" s="11" t="str">
        <f t="array" ref="I698">XLOOKUP($G:$G,'Account Manager Data'!$A:$A,'Account Manager Data'!C:C)</f>
        <v>Sumatera</v>
      </c>
      <c r="J698" s="17">
        <v>5497749.0</v>
      </c>
      <c r="K698" s="17">
        <v>8501127.0</v>
      </c>
      <c r="L698" s="17">
        <v>0.0</v>
      </c>
      <c r="M698" s="17">
        <v>9745517.0</v>
      </c>
      <c r="N698" s="17">
        <v>1.4148041E7</v>
      </c>
      <c r="O698" s="17">
        <v>2772238.0</v>
      </c>
      <c r="P698" s="17">
        <v>1.4193424E7</v>
      </c>
      <c r="Q698" s="17">
        <v>1.5004241E7</v>
      </c>
      <c r="R698" s="17">
        <v>1963637.0</v>
      </c>
      <c r="S698" s="17">
        <v>5237378.0</v>
      </c>
      <c r="T698" s="17">
        <v>0.0</v>
      </c>
      <c r="U698" s="17">
        <v>1.0512014E7</v>
      </c>
      <c r="V698" s="11">
        <f t="array" ref="V698">XLOOKUP(A:A,'Raw Revenue'!A:A,'Raw Revenue'!B:B,0)
</f>
        <v>0</v>
      </c>
      <c r="W698" s="11">
        <f t="array" ref="W698">XLOOKUP(A:A,'Raw Revenue'!C:C,'Raw Revenue'!D:D,0)</f>
        <v>0</v>
      </c>
      <c r="X698" s="11">
        <f t="array" ref="X698">XLOOKUP(A:A,'Raw Revenue'!E:E,'Raw Revenue'!F:F,0)</f>
        <v>0</v>
      </c>
      <c r="Y698" s="11">
        <f t="array" ref="Y698">XLOOKUP(A:A,'Raw Revenue'!G:G,'Raw Revenue'!H:H,0)</f>
        <v>0</v>
      </c>
      <c r="Z698" s="11">
        <f t="array" ref="Z698">XLOOKUP(A:A,'Raw Revenue'!I:I,'Raw Revenue'!J:J,0)</f>
        <v>0</v>
      </c>
      <c r="AA698" s="11">
        <f t="array" ref="AA698">XLOOKUP(A:A,'Raw Revenue'!K:K,'Raw Revenue'!L:L,0)</f>
        <v>0</v>
      </c>
      <c r="AB698" s="11">
        <f t="array" ref="AB698">XLOOKUP(A:A,'Raw Revenue'!M:M,'Raw Revenue'!N:N,0)</f>
        <v>0</v>
      </c>
      <c r="AC698" s="3">
        <v>0.0</v>
      </c>
      <c r="AD698" s="3">
        <v>0.0</v>
      </c>
      <c r="AE698" s="3">
        <v>0.0</v>
      </c>
      <c r="AF698" s="3">
        <v>0.0</v>
      </c>
      <c r="AG698" s="3">
        <v>0.0</v>
      </c>
    </row>
    <row r="699">
      <c r="A699" s="3" t="s">
        <v>1631</v>
      </c>
      <c r="B699" s="3" t="s">
        <v>1632</v>
      </c>
      <c r="C699" s="3" t="str">
        <f t="shared" si="1"/>
        <v>PT. Cahaya Baru Indonesia</v>
      </c>
      <c r="D699" s="3" t="s">
        <v>195</v>
      </c>
      <c r="E699" s="3" t="s">
        <v>215</v>
      </c>
      <c r="F699" s="3" t="s">
        <v>227</v>
      </c>
      <c r="G699" s="3" t="s">
        <v>43</v>
      </c>
      <c r="H699" s="3" t="str">
        <f t="array" ref="H699">XLOOKUP(G:G,'Account Manager Data'!A:A,'Account Manager Data'!B:B,0)</f>
        <v>Eko Prasetyo</v>
      </c>
      <c r="I699" s="11" t="str">
        <f t="array" ref="I699">XLOOKUP($G:$G,'Account Manager Data'!$A:$A,'Account Manager Data'!C:C)</f>
        <v>Papua</v>
      </c>
      <c r="J699" s="17">
        <v>3039683.0</v>
      </c>
      <c r="K699" s="17">
        <v>2488091.0</v>
      </c>
      <c r="L699" s="17">
        <v>9459233.0</v>
      </c>
      <c r="M699" s="17">
        <v>0.0</v>
      </c>
      <c r="N699" s="17">
        <v>3231305.0</v>
      </c>
      <c r="O699" s="17">
        <v>4043721.0</v>
      </c>
      <c r="P699" s="17">
        <v>1.1483456E7</v>
      </c>
      <c r="Q699" s="17">
        <v>1.5759152E7</v>
      </c>
      <c r="R699" s="17">
        <v>3947528.0</v>
      </c>
      <c r="S699" s="17">
        <v>0.0</v>
      </c>
      <c r="T699" s="17">
        <v>4495914.0</v>
      </c>
      <c r="U699" s="17">
        <v>1.6486868E7</v>
      </c>
      <c r="V699" s="11">
        <f t="array" ref="V699">XLOOKUP(A:A,'Raw Revenue'!A:A,'Raw Revenue'!B:B,0)
</f>
        <v>0</v>
      </c>
      <c r="W699" s="11">
        <f t="array" ref="W699">XLOOKUP(A:A,'Raw Revenue'!C:C,'Raw Revenue'!D:D,0)</f>
        <v>0</v>
      </c>
      <c r="X699" s="11">
        <f t="array" ref="X699">XLOOKUP(A:A,'Raw Revenue'!E:E,'Raw Revenue'!F:F,0)</f>
        <v>0</v>
      </c>
      <c r="Y699" s="11">
        <f t="array" ref="Y699">XLOOKUP(A:A,'Raw Revenue'!G:G,'Raw Revenue'!H:H,0)</f>
        <v>0</v>
      </c>
      <c r="Z699" s="11">
        <f t="array" ref="Z699">XLOOKUP(A:A,'Raw Revenue'!I:I,'Raw Revenue'!J:J,0)</f>
        <v>0</v>
      </c>
      <c r="AA699" s="11">
        <f t="array" ref="AA699">XLOOKUP(A:A,'Raw Revenue'!K:K,'Raw Revenue'!L:L,0)</f>
        <v>0</v>
      </c>
      <c r="AB699" s="11">
        <f t="array" ref="AB699">XLOOKUP(A:A,'Raw Revenue'!M:M,'Raw Revenue'!N:N,0)</f>
        <v>0</v>
      </c>
      <c r="AC699" s="3">
        <v>0.0</v>
      </c>
      <c r="AD699" s="3">
        <v>0.0</v>
      </c>
      <c r="AE699" s="3">
        <v>0.0</v>
      </c>
      <c r="AF699" s="3">
        <v>0.0</v>
      </c>
      <c r="AG699" s="3">
        <v>0.0</v>
      </c>
    </row>
    <row r="700">
      <c r="A700" s="3" t="s">
        <v>1633</v>
      </c>
      <c r="B700" s="3" t="s">
        <v>1634</v>
      </c>
      <c r="C700" s="3" t="str">
        <f t="shared" si="1"/>
        <v>PT. Mentari Pagi Sejahtera</v>
      </c>
      <c r="D700" s="3" t="s">
        <v>130</v>
      </c>
      <c r="E700" s="3" t="s">
        <v>215</v>
      </c>
      <c r="F700" s="3" t="s">
        <v>216</v>
      </c>
      <c r="G700" s="3" t="s">
        <v>74</v>
      </c>
      <c r="H700" s="3" t="str">
        <f t="array" ref="H700">XLOOKUP(G:G,'Account Manager Data'!A:A,'Account Manager Data'!B:B,0)</f>
        <v>Budi Santoso</v>
      </c>
      <c r="I700" s="11" t="str">
        <f t="array" ref="I700">XLOOKUP($G:$G,'Account Manager Data'!$A:$A,'Account Manager Data'!C:C)</f>
        <v>Papua</v>
      </c>
      <c r="J700" s="17">
        <v>7917678.0</v>
      </c>
      <c r="K700" s="17">
        <v>1342256.0</v>
      </c>
      <c r="L700" s="17">
        <v>3659701.0</v>
      </c>
      <c r="M700" s="17">
        <v>1.017978E7</v>
      </c>
      <c r="N700" s="17">
        <v>1.3170138E7</v>
      </c>
      <c r="O700" s="17">
        <v>0.0</v>
      </c>
      <c r="P700" s="17">
        <v>3047709.0</v>
      </c>
      <c r="Q700" s="17">
        <v>1.2037372E7</v>
      </c>
      <c r="R700" s="17">
        <v>1.4255498E7</v>
      </c>
      <c r="S700" s="17">
        <v>2087149.0</v>
      </c>
      <c r="T700" s="17">
        <v>5112688.0</v>
      </c>
      <c r="U700" s="17">
        <v>1.8235189E7</v>
      </c>
      <c r="V700" s="11">
        <f t="array" ref="V700">XLOOKUP(A:A,'Raw Revenue'!A:A,'Raw Revenue'!B:B,0)
</f>
        <v>0</v>
      </c>
      <c r="W700" s="11">
        <f t="array" ref="W700">XLOOKUP(A:A,'Raw Revenue'!C:C,'Raw Revenue'!D:D,0)</f>
        <v>0</v>
      </c>
      <c r="X700" s="11">
        <f t="array" ref="X700">XLOOKUP(A:A,'Raw Revenue'!E:E,'Raw Revenue'!F:F,0)</f>
        <v>0</v>
      </c>
      <c r="Y700" s="11">
        <f t="array" ref="Y700">XLOOKUP(A:A,'Raw Revenue'!G:G,'Raw Revenue'!H:H,0)</f>
        <v>0</v>
      </c>
      <c r="Z700" s="11">
        <f t="array" ref="Z700">XLOOKUP(A:A,'Raw Revenue'!I:I,'Raw Revenue'!J:J,0)</f>
        <v>0</v>
      </c>
      <c r="AA700" s="11">
        <f t="array" ref="AA700">XLOOKUP(A:A,'Raw Revenue'!K:K,'Raw Revenue'!L:L,0)</f>
        <v>0</v>
      </c>
      <c r="AB700" s="11">
        <f t="array" ref="AB700">XLOOKUP(A:A,'Raw Revenue'!M:M,'Raw Revenue'!N:N,0)</f>
        <v>0</v>
      </c>
      <c r="AC700" s="3">
        <v>0.0</v>
      </c>
      <c r="AD700" s="3">
        <v>0.0</v>
      </c>
      <c r="AE700" s="3">
        <v>0.0</v>
      </c>
      <c r="AF700" s="3">
        <v>0.0</v>
      </c>
      <c r="AG700" s="3">
        <v>0.0</v>
      </c>
    </row>
    <row r="701">
      <c r="A701" s="3" t="s">
        <v>1635</v>
      </c>
      <c r="B701" s="3" t="s">
        <v>1636</v>
      </c>
      <c r="C701" s="3" t="str">
        <f t="shared" si="1"/>
        <v>PT. Bintang Kejora Nusantara</v>
      </c>
      <c r="D701" s="3" t="s">
        <v>195</v>
      </c>
      <c r="E701" s="3" t="s">
        <v>215</v>
      </c>
      <c r="F701" s="3" t="s">
        <v>300</v>
      </c>
      <c r="G701" s="3" t="s">
        <v>76</v>
      </c>
      <c r="H701" s="3" t="str">
        <f t="array" ref="H701">XLOOKUP(G:G,'Account Manager Data'!A:A,'Account Manager Data'!B:B,0)</f>
        <v>Teguh Wijaya</v>
      </c>
      <c r="I701" s="11" t="str">
        <f t="array" ref="I701">XLOOKUP($G:$G,'Account Manager Data'!$A:$A,'Account Manager Data'!C:C)</f>
        <v>Sulawesi</v>
      </c>
      <c r="J701" s="17">
        <v>1921929.0</v>
      </c>
      <c r="K701" s="17">
        <v>517304.0</v>
      </c>
      <c r="L701" s="17">
        <v>9407938.0</v>
      </c>
      <c r="M701" s="17">
        <v>1.1571432E7</v>
      </c>
      <c r="N701" s="17">
        <v>6810315.0</v>
      </c>
      <c r="O701" s="17">
        <v>1.0852226E7</v>
      </c>
      <c r="P701" s="17">
        <v>5656804.0</v>
      </c>
      <c r="Q701" s="17">
        <v>1.1712919E7</v>
      </c>
      <c r="R701" s="17">
        <v>1.4129665E7</v>
      </c>
      <c r="S701" s="17">
        <v>9471466.0</v>
      </c>
      <c r="T701" s="17">
        <v>1.8081757E7</v>
      </c>
      <c r="U701" s="17">
        <v>5327541.0</v>
      </c>
      <c r="V701" s="11">
        <f t="array" ref="V701">XLOOKUP(A:A,'Raw Revenue'!A:A,'Raw Revenue'!B:B,0)
</f>
        <v>0</v>
      </c>
      <c r="W701" s="11">
        <f t="array" ref="W701">XLOOKUP(A:A,'Raw Revenue'!C:C,'Raw Revenue'!D:D,0)</f>
        <v>0</v>
      </c>
      <c r="X701" s="11">
        <f t="array" ref="X701">XLOOKUP(A:A,'Raw Revenue'!E:E,'Raw Revenue'!F:F,0)</f>
        <v>0</v>
      </c>
      <c r="Y701" s="11">
        <f t="array" ref="Y701">XLOOKUP(A:A,'Raw Revenue'!G:G,'Raw Revenue'!H:H,0)</f>
        <v>0</v>
      </c>
      <c r="Z701" s="11">
        <f t="array" ref="Z701">XLOOKUP(A:A,'Raw Revenue'!I:I,'Raw Revenue'!J:J,0)</f>
        <v>0</v>
      </c>
      <c r="AA701" s="11">
        <f t="array" ref="AA701">XLOOKUP(A:A,'Raw Revenue'!K:K,'Raw Revenue'!L:L,0)</f>
        <v>0</v>
      </c>
      <c r="AB701" s="11">
        <f t="array" ref="AB701">XLOOKUP(A:A,'Raw Revenue'!M:M,'Raw Revenue'!N:N,0)</f>
        <v>0</v>
      </c>
      <c r="AC701" s="3">
        <v>0.0</v>
      </c>
      <c r="AD701" s="3">
        <v>0.0</v>
      </c>
      <c r="AE701" s="3">
        <v>0.0</v>
      </c>
      <c r="AF701" s="3">
        <v>0.0</v>
      </c>
      <c r="AG701" s="3">
        <v>0.0</v>
      </c>
    </row>
    <row r="702">
      <c r="A702" s="3" t="s">
        <v>1637</v>
      </c>
      <c r="B702" s="3" t="s">
        <v>1638</v>
      </c>
      <c r="C702" s="3" t="str">
        <f t="shared" si="1"/>
        <v>PT. Maju Jaya</v>
      </c>
      <c r="D702" s="3" t="s">
        <v>130</v>
      </c>
      <c r="E702" s="3" t="s">
        <v>104</v>
      </c>
      <c r="F702" s="3" t="s">
        <v>105</v>
      </c>
      <c r="G702" s="3" t="s">
        <v>70</v>
      </c>
      <c r="H702" s="3" t="str">
        <f t="array" ref="H702">XLOOKUP(G:G,'Account Manager Data'!A:A,'Account Manager Data'!B:B,0)</f>
        <v>Yusuf Hidayat</v>
      </c>
      <c r="I702" s="11" t="str">
        <f t="array" ref="I702">XLOOKUP($G:$G,'Account Manager Data'!$A:$A,'Account Manager Data'!C:C)</f>
        <v>Sumatera</v>
      </c>
      <c r="J702" s="17">
        <v>1204158.0</v>
      </c>
      <c r="K702" s="17">
        <v>0.0</v>
      </c>
      <c r="L702" s="17">
        <v>33697.0</v>
      </c>
      <c r="M702" s="17">
        <v>5511128.0</v>
      </c>
      <c r="N702" s="17">
        <v>9179171.0</v>
      </c>
      <c r="O702" s="17">
        <v>3279615.0</v>
      </c>
      <c r="P702" s="17">
        <v>9274767.0</v>
      </c>
      <c r="Q702" s="17">
        <v>3604942.0</v>
      </c>
      <c r="R702" s="17">
        <v>1.0251107E7</v>
      </c>
      <c r="S702" s="17">
        <v>6380763.0</v>
      </c>
      <c r="T702" s="17">
        <v>8537417.0</v>
      </c>
      <c r="U702" s="17">
        <v>1.0406294E7</v>
      </c>
      <c r="V702" s="11">
        <f t="array" ref="V702">XLOOKUP(A:A,'Raw Revenue'!A:A,'Raw Revenue'!B:B,0)
</f>
        <v>0</v>
      </c>
      <c r="W702" s="11">
        <f t="array" ref="W702">XLOOKUP(A:A,'Raw Revenue'!C:C,'Raw Revenue'!D:D,0)</f>
        <v>0</v>
      </c>
      <c r="X702" s="11">
        <f t="array" ref="X702">XLOOKUP(A:A,'Raw Revenue'!E:E,'Raw Revenue'!F:F,0)</f>
        <v>0</v>
      </c>
      <c r="Y702" s="11">
        <f t="array" ref="Y702">XLOOKUP(A:A,'Raw Revenue'!G:G,'Raw Revenue'!H:H,0)</f>
        <v>0</v>
      </c>
      <c r="Z702" s="11">
        <f t="array" ref="Z702">XLOOKUP(A:A,'Raw Revenue'!I:I,'Raw Revenue'!J:J,0)</f>
        <v>0</v>
      </c>
      <c r="AA702" s="11">
        <f t="array" ref="AA702">XLOOKUP(A:A,'Raw Revenue'!K:K,'Raw Revenue'!L:L,0)</f>
        <v>0</v>
      </c>
      <c r="AB702" s="11">
        <f t="array" ref="AB702">XLOOKUP(A:A,'Raw Revenue'!M:M,'Raw Revenue'!N:N,0)</f>
        <v>0</v>
      </c>
      <c r="AC702" s="3">
        <v>0.0</v>
      </c>
      <c r="AD702" s="3">
        <v>0.0</v>
      </c>
      <c r="AE702" s="3">
        <v>0.0</v>
      </c>
      <c r="AF702" s="3">
        <v>0.0</v>
      </c>
      <c r="AG702" s="3">
        <v>0.0</v>
      </c>
    </row>
    <row r="703">
      <c r="A703" s="3" t="s">
        <v>1639</v>
      </c>
      <c r="B703" s="3" t="s">
        <v>1640</v>
      </c>
      <c r="C703" s="3" t="str">
        <f t="shared" si="1"/>
        <v>CV. Sumber Makmur</v>
      </c>
      <c r="D703" s="3" t="s">
        <v>214</v>
      </c>
      <c r="E703" s="3" t="s">
        <v>104</v>
      </c>
      <c r="F703" s="3" t="s">
        <v>252</v>
      </c>
      <c r="G703" s="3" t="s">
        <v>15</v>
      </c>
      <c r="H703" s="3" t="str">
        <f t="array" ref="H703">XLOOKUP(G:G,'Account Manager Data'!A:A,'Account Manager Data'!B:B,0)</f>
        <v>Rizky Maulana</v>
      </c>
      <c r="I703" s="11" t="str">
        <f t="array" ref="I703">XLOOKUP($G:$G,'Account Manager Data'!$A:$A,'Account Manager Data'!C:C)</f>
        <v>Jawa</v>
      </c>
      <c r="J703" s="17">
        <v>1224964.0</v>
      </c>
      <c r="K703" s="17">
        <v>53873.0</v>
      </c>
      <c r="L703" s="17">
        <v>1769145.0</v>
      </c>
      <c r="M703" s="17">
        <v>4574320.0</v>
      </c>
      <c r="N703" s="17">
        <v>1.3047265E7</v>
      </c>
      <c r="O703" s="17">
        <v>1.0223175E7</v>
      </c>
      <c r="P703" s="17">
        <v>1.1866995E7</v>
      </c>
      <c r="Q703" s="17">
        <v>711814.0</v>
      </c>
      <c r="R703" s="17">
        <v>0.0</v>
      </c>
      <c r="S703" s="17">
        <v>5235785.0</v>
      </c>
      <c r="T703" s="17">
        <v>8061088.0</v>
      </c>
      <c r="U703" s="17">
        <v>1.8823373E7</v>
      </c>
      <c r="V703" s="11">
        <f t="array" ref="V703">XLOOKUP(A:A,'Raw Revenue'!A:A,'Raw Revenue'!B:B,0)
</f>
        <v>0</v>
      </c>
      <c r="W703" s="11">
        <f t="array" ref="W703">XLOOKUP(A:A,'Raw Revenue'!C:C,'Raw Revenue'!D:D,0)</f>
        <v>0</v>
      </c>
      <c r="X703" s="11">
        <f t="array" ref="X703">XLOOKUP(A:A,'Raw Revenue'!E:E,'Raw Revenue'!F:F,0)</f>
        <v>0</v>
      </c>
      <c r="Y703" s="11">
        <f t="array" ref="Y703">XLOOKUP(A:A,'Raw Revenue'!G:G,'Raw Revenue'!H:H,0)</f>
        <v>0</v>
      </c>
      <c r="Z703" s="11">
        <f t="array" ref="Z703">XLOOKUP(A:A,'Raw Revenue'!I:I,'Raw Revenue'!J:J,0)</f>
        <v>0</v>
      </c>
      <c r="AA703" s="11">
        <f t="array" ref="AA703">XLOOKUP(A:A,'Raw Revenue'!K:K,'Raw Revenue'!L:L,0)</f>
        <v>0</v>
      </c>
      <c r="AB703" s="11">
        <f t="array" ref="AB703">XLOOKUP(A:A,'Raw Revenue'!M:M,'Raw Revenue'!N:N,0)</f>
        <v>0</v>
      </c>
      <c r="AC703" s="3">
        <v>0.0</v>
      </c>
      <c r="AD703" s="3">
        <v>0.0</v>
      </c>
      <c r="AE703" s="3">
        <v>0.0</v>
      </c>
      <c r="AF703" s="3">
        <v>0.0</v>
      </c>
      <c r="AG703" s="3">
        <v>0.0</v>
      </c>
    </row>
    <row r="704">
      <c r="A704" s="3" t="s">
        <v>199</v>
      </c>
      <c r="B704" s="3" t="s">
        <v>1641</v>
      </c>
      <c r="C704" s="3" t="str">
        <f t="shared" si="1"/>
        <v>PT. Teknologi Nusantara</v>
      </c>
      <c r="D704" s="3" t="s">
        <v>103</v>
      </c>
      <c r="E704" s="3" t="s">
        <v>215</v>
      </c>
      <c r="F704" s="3" t="s">
        <v>300</v>
      </c>
      <c r="G704" s="3" t="s">
        <v>27</v>
      </c>
      <c r="H704" s="3" t="str">
        <f t="array" ref="H704">XLOOKUP(G:G,'Account Manager Data'!A:A,'Account Manager Data'!B:B,0)</f>
        <v>Dedi Kurniawan</v>
      </c>
      <c r="I704" s="11" t="str">
        <f t="array" ref="I704">XLOOKUP($G:$G,'Account Manager Data'!$A:$A,'Account Manager Data'!C:C)</f>
        <v>Kalimantan</v>
      </c>
      <c r="J704" s="17">
        <v>8062251.0</v>
      </c>
      <c r="K704" s="17">
        <v>8515476.0</v>
      </c>
      <c r="L704" s="17">
        <v>6672649.0</v>
      </c>
      <c r="M704" s="17">
        <v>1.0545472E7</v>
      </c>
      <c r="N704" s="17">
        <v>1.3499748E7</v>
      </c>
      <c r="O704" s="17">
        <v>1.2966998E7</v>
      </c>
      <c r="P704" s="17">
        <v>1.5936702E7</v>
      </c>
      <c r="Q704" s="17">
        <v>0.0</v>
      </c>
      <c r="R704" s="17">
        <v>3480584.0</v>
      </c>
      <c r="S704" s="17">
        <v>1.3280687E7</v>
      </c>
      <c r="T704" s="17">
        <v>9090235.0</v>
      </c>
      <c r="U704" s="17">
        <v>7778335.0</v>
      </c>
      <c r="V704" s="11">
        <f t="array" ref="V704">XLOOKUP(A:A,'Raw Revenue'!A:A,'Raw Revenue'!B:B,0)
</f>
        <v>12531616.7</v>
      </c>
      <c r="W704" s="11">
        <f t="array" ref="W704">XLOOKUP(A:A,'Raw Revenue'!C:C,'Raw Revenue'!D:D,0)</f>
        <v>12531616.7</v>
      </c>
      <c r="X704" s="11">
        <f t="array" ref="X704">XLOOKUP(A:A,'Raw Revenue'!E:E,'Raw Revenue'!F:F,0)</f>
        <v>25063233.41</v>
      </c>
      <c r="Y704" s="11">
        <f t="array" ref="Y704">XLOOKUP(A:A,'Raw Revenue'!G:G,'Raw Revenue'!H:H,0)</f>
        <v>20468307.28</v>
      </c>
      <c r="Z704" s="11">
        <f t="array" ref="Z704">XLOOKUP(A:A,'Raw Revenue'!I:I,'Raw Revenue'!J:J,0)</f>
        <v>18379704.5</v>
      </c>
      <c r="AA704" s="11">
        <f t="array" ref="AA704">XLOOKUP(A:A,'Raw Revenue'!K:K,'Raw Revenue'!L:L,0)</f>
        <v>46993562.64</v>
      </c>
      <c r="AB704" s="11">
        <f t="array" ref="AB704">XLOOKUP(A:A,'Raw Revenue'!M:M,'Raw Revenue'!N:N,0)</f>
        <v>43234077.63</v>
      </c>
      <c r="AC704" s="3">
        <v>0.0</v>
      </c>
      <c r="AD704" s="3">
        <v>0.0</v>
      </c>
      <c r="AE704" s="3">
        <v>0.0</v>
      </c>
      <c r="AF704" s="3">
        <v>0.0</v>
      </c>
      <c r="AG704" s="3">
        <v>0.0</v>
      </c>
    </row>
    <row r="705">
      <c r="A705" s="3" t="s">
        <v>1642</v>
      </c>
      <c r="B705" s="3" t="s">
        <v>1643</v>
      </c>
      <c r="C705" s="3" t="str">
        <f t="shared" si="1"/>
        <v>PT. Bakti Indonesia</v>
      </c>
      <c r="D705" s="3" t="s">
        <v>130</v>
      </c>
      <c r="E705" s="3" t="s">
        <v>187</v>
      </c>
      <c r="F705" s="3" t="s">
        <v>188</v>
      </c>
      <c r="G705" s="3" t="s">
        <v>78</v>
      </c>
      <c r="H705" s="3" t="str">
        <f t="array" ref="H705">XLOOKUP(G:G,'Account Manager Data'!A:A,'Account Manager Data'!B:B,0)</f>
        <v>Ilham Saputra</v>
      </c>
      <c r="I705" s="11" t="str">
        <f t="array" ref="I705">XLOOKUP($G:$G,'Account Manager Data'!$A:$A,'Account Manager Data'!C:C)</f>
        <v>Jawa</v>
      </c>
      <c r="J705" s="17">
        <v>3415169.0</v>
      </c>
      <c r="K705" s="17">
        <v>8969722.0</v>
      </c>
      <c r="L705" s="17">
        <v>1.0677897E7</v>
      </c>
      <c r="M705" s="17">
        <v>980738.0</v>
      </c>
      <c r="N705" s="17">
        <v>0.0</v>
      </c>
      <c r="O705" s="17">
        <v>1063577.0</v>
      </c>
      <c r="P705" s="17">
        <v>0.0</v>
      </c>
      <c r="Q705" s="17">
        <v>1.0369887E7</v>
      </c>
      <c r="R705" s="17">
        <v>6024446.0</v>
      </c>
      <c r="S705" s="17">
        <v>195858.0</v>
      </c>
      <c r="T705" s="17">
        <v>1.9032907E7</v>
      </c>
      <c r="U705" s="17">
        <v>2987325.0</v>
      </c>
      <c r="V705" s="11">
        <f t="array" ref="V705">XLOOKUP(A:A,'Raw Revenue'!A:A,'Raw Revenue'!B:B,0)
</f>
        <v>0</v>
      </c>
      <c r="W705" s="11">
        <f t="array" ref="W705">XLOOKUP(A:A,'Raw Revenue'!C:C,'Raw Revenue'!D:D,0)</f>
        <v>0</v>
      </c>
      <c r="X705" s="11">
        <f t="array" ref="X705">XLOOKUP(A:A,'Raw Revenue'!E:E,'Raw Revenue'!F:F,0)</f>
        <v>0</v>
      </c>
      <c r="Y705" s="11">
        <f t="array" ref="Y705">XLOOKUP(A:A,'Raw Revenue'!G:G,'Raw Revenue'!H:H,0)</f>
        <v>0</v>
      </c>
      <c r="Z705" s="11">
        <f t="array" ref="Z705">XLOOKUP(A:A,'Raw Revenue'!I:I,'Raw Revenue'!J:J,0)</f>
        <v>0</v>
      </c>
      <c r="AA705" s="11">
        <f t="array" ref="AA705">XLOOKUP(A:A,'Raw Revenue'!K:K,'Raw Revenue'!L:L,0)</f>
        <v>0</v>
      </c>
      <c r="AB705" s="11">
        <f t="array" ref="AB705">XLOOKUP(A:A,'Raw Revenue'!M:M,'Raw Revenue'!N:N,0)</f>
        <v>0</v>
      </c>
      <c r="AC705" s="3">
        <v>0.0</v>
      </c>
      <c r="AD705" s="3">
        <v>0.0</v>
      </c>
      <c r="AE705" s="3">
        <v>0.0</v>
      </c>
      <c r="AF705" s="3">
        <v>0.0</v>
      </c>
      <c r="AG705" s="3">
        <v>0.0</v>
      </c>
    </row>
    <row r="706">
      <c r="A706" s="3" t="s">
        <v>1644</v>
      </c>
      <c r="B706" s="3" t="s">
        <v>1645</v>
      </c>
      <c r="C706" s="3" t="str">
        <f t="shared" si="1"/>
        <v>CV. Amanah Sejahtera</v>
      </c>
      <c r="D706" s="3" t="s">
        <v>195</v>
      </c>
      <c r="E706" s="3" t="s">
        <v>85</v>
      </c>
      <c r="F706" s="3" t="s">
        <v>407</v>
      </c>
      <c r="G706" s="3" t="s">
        <v>53</v>
      </c>
      <c r="H706" s="3" t="str">
        <f t="array" ref="H706">XLOOKUP(G:G,'Account Manager Data'!A:A,'Account Manager Data'!B:B,0)</f>
        <v>Fajar Ramadhan</v>
      </c>
      <c r="I706" s="11" t="str">
        <f t="array" ref="I706">XLOOKUP($G:$G,'Account Manager Data'!$A:$A,'Account Manager Data'!C:C)</f>
        <v>Sulawesi</v>
      </c>
      <c r="J706" s="17">
        <v>258277.0</v>
      </c>
      <c r="K706" s="17">
        <v>169168.0</v>
      </c>
      <c r="L706" s="17">
        <v>1891319.0</v>
      </c>
      <c r="M706" s="17">
        <v>9461414.0</v>
      </c>
      <c r="N706" s="17">
        <v>7923833.0</v>
      </c>
      <c r="O706" s="17">
        <v>6501370.0</v>
      </c>
      <c r="P706" s="17">
        <v>2416766.0</v>
      </c>
      <c r="Q706" s="17">
        <v>1024989.0</v>
      </c>
      <c r="R706" s="17">
        <v>1.2146452E7</v>
      </c>
      <c r="S706" s="17">
        <v>1.1669489E7</v>
      </c>
      <c r="T706" s="17">
        <v>1737745.0</v>
      </c>
      <c r="U706" s="17">
        <v>205565.0</v>
      </c>
      <c r="V706" s="11">
        <f t="array" ref="V706">XLOOKUP(A:A,'Raw Revenue'!A:A,'Raw Revenue'!B:B,0)
</f>
        <v>0</v>
      </c>
      <c r="W706" s="11">
        <f t="array" ref="W706">XLOOKUP(A:A,'Raw Revenue'!C:C,'Raw Revenue'!D:D,0)</f>
        <v>0</v>
      </c>
      <c r="X706" s="11">
        <f t="array" ref="X706">XLOOKUP(A:A,'Raw Revenue'!E:E,'Raw Revenue'!F:F,0)</f>
        <v>0</v>
      </c>
      <c r="Y706" s="11">
        <f t="array" ref="Y706">XLOOKUP(A:A,'Raw Revenue'!G:G,'Raw Revenue'!H:H,0)</f>
        <v>0</v>
      </c>
      <c r="Z706" s="11">
        <f t="array" ref="Z706">XLOOKUP(A:A,'Raw Revenue'!I:I,'Raw Revenue'!J:J,0)</f>
        <v>0</v>
      </c>
      <c r="AA706" s="11">
        <f t="array" ref="AA706">XLOOKUP(A:A,'Raw Revenue'!K:K,'Raw Revenue'!L:L,0)</f>
        <v>0</v>
      </c>
      <c r="AB706" s="11">
        <f t="array" ref="AB706">XLOOKUP(A:A,'Raw Revenue'!M:M,'Raw Revenue'!N:N,0)</f>
        <v>0</v>
      </c>
      <c r="AC706" s="3">
        <v>0.0</v>
      </c>
      <c r="AD706" s="3">
        <v>0.0</v>
      </c>
      <c r="AE706" s="3">
        <v>0.0</v>
      </c>
      <c r="AF706" s="3">
        <v>0.0</v>
      </c>
      <c r="AG706" s="3">
        <v>0.0</v>
      </c>
    </row>
    <row r="707">
      <c r="A707" s="3" t="s">
        <v>1646</v>
      </c>
      <c r="B707" s="3" t="s">
        <v>1647</v>
      </c>
      <c r="C707" s="3" t="str">
        <f t="shared" si="1"/>
        <v>PT. Digital Solusi Pratama</v>
      </c>
      <c r="D707" s="3" t="s">
        <v>84</v>
      </c>
      <c r="E707" s="3" t="s">
        <v>104</v>
      </c>
      <c r="F707" s="3" t="s">
        <v>134</v>
      </c>
      <c r="G707" s="3" t="s">
        <v>63</v>
      </c>
      <c r="H707" s="3" t="str">
        <f t="array" ref="H707">XLOOKUP(G:G,'Account Manager Data'!A:A,'Account Manager Data'!B:B,0)</f>
        <v>Hendra Gunawan</v>
      </c>
      <c r="I707" s="11" t="str">
        <f t="array" ref="I707">XLOOKUP($G:$G,'Account Manager Data'!$A:$A,'Account Manager Data'!C:C)</f>
        <v>Kalimantan</v>
      </c>
      <c r="J707" s="17">
        <v>7820048.0</v>
      </c>
      <c r="K707" s="17">
        <v>7031877.0</v>
      </c>
      <c r="L707" s="17">
        <v>2666101.0</v>
      </c>
      <c r="M707" s="17">
        <v>9180456.0</v>
      </c>
      <c r="N707" s="17">
        <v>2153842.0</v>
      </c>
      <c r="O707" s="17">
        <v>8410960.0</v>
      </c>
      <c r="P707" s="17">
        <v>3934044.0</v>
      </c>
      <c r="Q707" s="17">
        <v>2031791.0</v>
      </c>
      <c r="R707" s="17">
        <v>6690889.0</v>
      </c>
      <c r="S707" s="17">
        <v>703685.0</v>
      </c>
      <c r="T707" s="17">
        <v>4658931.0</v>
      </c>
      <c r="U707" s="17">
        <v>1544501.0</v>
      </c>
      <c r="V707" s="11">
        <f t="array" ref="V707">XLOOKUP(A:A,'Raw Revenue'!A:A,'Raw Revenue'!B:B,0)
</f>
        <v>0</v>
      </c>
      <c r="W707" s="11">
        <f t="array" ref="W707">XLOOKUP(A:A,'Raw Revenue'!C:C,'Raw Revenue'!D:D,0)</f>
        <v>0</v>
      </c>
      <c r="X707" s="11">
        <f t="array" ref="X707">XLOOKUP(A:A,'Raw Revenue'!E:E,'Raw Revenue'!F:F,0)</f>
        <v>0</v>
      </c>
      <c r="Y707" s="11">
        <f t="array" ref="Y707">XLOOKUP(A:A,'Raw Revenue'!G:G,'Raw Revenue'!H:H,0)</f>
        <v>0</v>
      </c>
      <c r="Z707" s="11">
        <f t="array" ref="Z707">XLOOKUP(A:A,'Raw Revenue'!I:I,'Raw Revenue'!J:J,0)</f>
        <v>0</v>
      </c>
      <c r="AA707" s="11">
        <f t="array" ref="AA707">XLOOKUP(A:A,'Raw Revenue'!K:K,'Raw Revenue'!L:L,0)</f>
        <v>0</v>
      </c>
      <c r="AB707" s="11">
        <f t="array" ref="AB707">XLOOKUP(A:A,'Raw Revenue'!M:M,'Raw Revenue'!N:N,0)</f>
        <v>0</v>
      </c>
      <c r="AC707" s="3">
        <v>0.0</v>
      </c>
      <c r="AD707" s="3">
        <v>0.0</v>
      </c>
      <c r="AE707" s="3">
        <v>0.0</v>
      </c>
      <c r="AF707" s="3">
        <v>0.0</v>
      </c>
      <c r="AG707" s="3">
        <v>0.0</v>
      </c>
    </row>
    <row r="708">
      <c r="A708" s="3" t="s">
        <v>1648</v>
      </c>
      <c r="B708" s="3" t="s">
        <v>1649</v>
      </c>
      <c r="C708" s="3" t="str">
        <f t="shared" si="1"/>
        <v>PT. Global Niaga Abadi</v>
      </c>
      <c r="D708" s="3" t="s">
        <v>195</v>
      </c>
      <c r="E708" s="3" t="s">
        <v>187</v>
      </c>
      <c r="F708" s="3" t="s">
        <v>269</v>
      </c>
      <c r="G708" s="3" t="s">
        <v>35</v>
      </c>
      <c r="H708" s="3" t="str">
        <f t="array" ref="H708">XLOOKUP(G:G,'Account Manager Data'!A:A,'Account Manager Data'!B:B,0)</f>
        <v>Ahmad Fauzi</v>
      </c>
      <c r="I708" s="11" t="str">
        <f t="array" ref="I708">XLOOKUP($G:$G,'Account Manager Data'!$A:$A,'Account Manager Data'!C:C)</f>
        <v>Sumatera</v>
      </c>
      <c r="J708" s="17">
        <v>1938631.0</v>
      </c>
      <c r="K708" s="17">
        <v>5266819.0</v>
      </c>
      <c r="L708" s="17">
        <v>2747555.0</v>
      </c>
      <c r="M708" s="17">
        <v>1.0089043E7</v>
      </c>
      <c r="N708" s="17">
        <v>8285311.0</v>
      </c>
      <c r="O708" s="17">
        <v>0.0</v>
      </c>
      <c r="P708" s="17">
        <v>0.0</v>
      </c>
      <c r="Q708" s="17">
        <v>1.0854809E7</v>
      </c>
      <c r="R708" s="17">
        <v>1.5770549E7</v>
      </c>
      <c r="S708" s="17">
        <v>0.0</v>
      </c>
      <c r="T708" s="17">
        <v>7056029.0</v>
      </c>
      <c r="U708" s="17">
        <v>1.3358314E7</v>
      </c>
      <c r="V708" s="11">
        <f t="array" ref="V708">XLOOKUP(A:A,'Raw Revenue'!A:A,'Raw Revenue'!B:B,0)
</f>
        <v>0</v>
      </c>
      <c r="W708" s="11">
        <f t="array" ref="W708">XLOOKUP(A:A,'Raw Revenue'!C:C,'Raw Revenue'!D:D,0)</f>
        <v>0</v>
      </c>
      <c r="X708" s="11">
        <f t="array" ref="X708">XLOOKUP(A:A,'Raw Revenue'!E:E,'Raw Revenue'!F:F,0)</f>
        <v>0</v>
      </c>
      <c r="Y708" s="11">
        <f t="array" ref="Y708">XLOOKUP(A:A,'Raw Revenue'!G:G,'Raw Revenue'!H:H,0)</f>
        <v>0</v>
      </c>
      <c r="Z708" s="11">
        <f t="array" ref="Z708">XLOOKUP(A:A,'Raw Revenue'!I:I,'Raw Revenue'!J:J,0)</f>
        <v>0</v>
      </c>
      <c r="AA708" s="11">
        <f t="array" ref="AA708">XLOOKUP(A:A,'Raw Revenue'!K:K,'Raw Revenue'!L:L,0)</f>
        <v>0</v>
      </c>
      <c r="AB708" s="11">
        <f t="array" ref="AB708">XLOOKUP(A:A,'Raw Revenue'!M:M,'Raw Revenue'!N:N,0)</f>
        <v>0</v>
      </c>
      <c r="AC708" s="3">
        <v>0.0</v>
      </c>
      <c r="AD708" s="3">
        <v>0.0</v>
      </c>
      <c r="AE708" s="3">
        <v>0.0</v>
      </c>
      <c r="AF708" s="3">
        <v>0.0</v>
      </c>
      <c r="AG708" s="3">
        <v>0.0</v>
      </c>
    </row>
    <row r="709">
      <c r="A709" s="3" t="s">
        <v>390</v>
      </c>
      <c r="B709" s="3" t="s">
        <v>1650</v>
      </c>
      <c r="C709" s="3" t="str">
        <f t="shared" si="1"/>
        <v>PT. Indo Makmur Sentosa</v>
      </c>
      <c r="D709" s="3" t="s">
        <v>103</v>
      </c>
      <c r="E709" s="3" t="s">
        <v>104</v>
      </c>
      <c r="F709" s="3" t="s">
        <v>134</v>
      </c>
      <c r="G709" s="3" t="s">
        <v>74</v>
      </c>
      <c r="H709" s="3" t="str">
        <f t="array" ref="H709">XLOOKUP(G:G,'Account Manager Data'!A:A,'Account Manager Data'!B:B,0)</f>
        <v>Budi Santoso</v>
      </c>
      <c r="I709" s="11" t="str">
        <f t="array" ref="I709">XLOOKUP($G:$G,'Account Manager Data'!$A:$A,'Account Manager Data'!C:C)</f>
        <v>Papua</v>
      </c>
      <c r="J709" s="17">
        <v>1022713.0</v>
      </c>
      <c r="K709" s="17">
        <v>5674728.0</v>
      </c>
      <c r="L709" s="17">
        <v>4306348.0</v>
      </c>
      <c r="M709" s="17">
        <v>0.0</v>
      </c>
      <c r="N709" s="17">
        <v>0.0</v>
      </c>
      <c r="O709" s="17">
        <v>5392322.0</v>
      </c>
      <c r="P709" s="17">
        <v>897653.0</v>
      </c>
      <c r="Q709" s="17">
        <v>1.5082759E7</v>
      </c>
      <c r="R709" s="17">
        <v>1.682302E7</v>
      </c>
      <c r="S709" s="17">
        <v>5139949.0</v>
      </c>
      <c r="T709" s="17">
        <v>8954746.0</v>
      </c>
      <c r="U709" s="17">
        <v>1.5662214E7</v>
      </c>
      <c r="V709" s="11">
        <f t="array" ref="V709">XLOOKUP(A:A,'Raw Revenue'!A:A,'Raw Revenue'!B:B,0)
</f>
        <v>732843.082</v>
      </c>
      <c r="W709" s="11">
        <f t="array" ref="W709">XLOOKUP(A:A,'Raw Revenue'!C:C,'Raw Revenue'!D:D,0)</f>
        <v>366421.541</v>
      </c>
      <c r="X709" s="11">
        <f t="array" ref="X709">XLOOKUP(A:A,'Raw Revenue'!E:E,'Raw Revenue'!F:F,0)</f>
        <v>219852.9246</v>
      </c>
      <c r="Y709" s="11">
        <f t="array" ref="Y709">XLOOKUP(A:A,'Raw Revenue'!G:G,'Raw Revenue'!H:H,0)</f>
        <v>2564950.787</v>
      </c>
      <c r="Z709" s="11">
        <f t="array" ref="Z709">XLOOKUP(A:A,'Raw Revenue'!I:I,'Raw Revenue'!J:J,0)</f>
        <v>586274.4656</v>
      </c>
      <c r="AA709" s="11">
        <f t="array" ref="AA709">XLOOKUP(A:A,'Raw Revenue'!K:K,'Raw Revenue'!L:L,0)</f>
        <v>16488.96935</v>
      </c>
      <c r="AB709" s="11">
        <f t="array" ref="AB709">XLOOKUP(A:A,'Raw Revenue'!M:M,'Raw Revenue'!N:N,0)</f>
        <v>2209521.892</v>
      </c>
      <c r="AC709" s="3">
        <v>0.0</v>
      </c>
      <c r="AD709" s="3">
        <v>0.0</v>
      </c>
      <c r="AE709" s="3">
        <v>0.0</v>
      </c>
      <c r="AF709" s="3">
        <v>0.0</v>
      </c>
      <c r="AG709" s="3">
        <v>0.0</v>
      </c>
    </row>
    <row r="710">
      <c r="A710" s="3" t="s">
        <v>1651</v>
      </c>
      <c r="B710" s="3" t="s">
        <v>1652</v>
      </c>
      <c r="C710" s="3" t="str">
        <f t="shared" si="1"/>
        <v>PT. Citra Mandiri Utama</v>
      </c>
      <c r="D710" s="3" t="s">
        <v>195</v>
      </c>
      <c r="E710" s="3" t="s">
        <v>215</v>
      </c>
      <c r="F710" s="3" t="s">
        <v>300</v>
      </c>
      <c r="G710" s="3" t="s">
        <v>43</v>
      </c>
      <c r="H710" s="3" t="str">
        <f t="array" ref="H710">XLOOKUP(G:G,'Account Manager Data'!A:A,'Account Manager Data'!B:B,0)</f>
        <v>Eko Prasetyo</v>
      </c>
      <c r="I710" s="11" t="str">
        <f t="array" ref="I710">XLOOKUP($G:$G,'Account Manager Data'!$A:$A,'Account Manager Data'!C:C)</f>
        <v>Papua</v>
      </c>
      <c r="J710" s="17">
        <v>2835960.0</v>
      </c>
      <c r="K710" s="17">
        <v>688673.0</v>
      </c>
      <c r="L710" s="17">
        <v>0.0</v>
      </c>
      <c r="M710" s="17">
        <v>5895096.0</v>
      </c>
      <c r="N710" s="17">
        <v>8247469.0</v>
      </c>
      <c r="O710" s="17">
        <v>2502542.0</v>
      </c>
      <c r="P710" s="17">
        <v>868521.0</v>
      </c>
      <c r="Q710" s="17">
        <v>6288683.0</v>
      </c>
      <c r="R710" s="17">
        <v>6963141.0</v>
      </c>
      <c r="S710" s="17">
        <v>1.2818555E7</v>
      </c>
      <c r="T710" s="17">
        <v>907230.0</v>
      </c>
      <c r="U710" s="17">
        <v>9489267.0</v>
      </c>
      <c r="V710" s="11">
        <f t="array" ref="V710">XLOOKUP(A:A,'Raw Revenue'!A:A,'Raw Revenue'!B:B,0)
</f>
        <v>0</v>
      </c>
      <c r="W710" s="11">
        <f t="array" ref="W710">XLOOKUP(A:A,'Raw Revenue'!C:C,'Raw Revenue'!D:D,0)</f>
        <v>0</v>
      </c>
      <c r="X710" s="11">
        <f t="array" ref="X710">XLOOKUP(A:A,'Raw Revenue'!E:E,'Raw Revenue'!F:F,0)</f>
        <v>0</v>
      </c>
      <c r="Y710" s="11">
        <f t="array" ref="Y710">XLOOKUP(A:A,'Raw Revenue'!G:G,'Raw Revenue'!H:H,0)</f>
        <v>0</v>
      </c>
      <c r="Z710" s="11">
        <f t="array" ref="Z710">XLOOKUP(A:A,'Raw Revenue'!I:I,'Raw Revenue'!J:J,0)</f>
        <v>0</v>
      </c>
      <c r="AA710" s="11">
        <f t="array" ref="AA710">XLOOKUP(A:A,'Raw Revenue'!K:K,'Raw Revenue'!L:L,0)</f>
        <v>0</v>
      </c>
      <c r="AB710" s="11">
        <f t="array" ref="AB710">XLOOKUP(A:A,'Raw Revenue'!M:M,'Raw Revenue'!N:N,0)</f>
        <v>0</v>
      </c>
      <c r="AC710" s="3">
        <v>0.0</v>
      </c>
      <c r="AD710" s="3">
        <v>0.0</v>
      </c>
      <c r="AE710" s="3">
        <v>0.0</v>
      </c>
      <c r="AF710" s="3">
        <v>0.0</v>
      </c>
      <c r="AG710" s="3">
        <v>0.0</v>
      </c>
    </row>
    <row r="711">
      <c r="A711" s="3" t="s">
        <v>1653</v>
      </c>
      <c r="B711" s="3" t="s">
        <v>1654</v>
      </c>
      <c r="C711" s="3" t="str">
        <f t="shared" si="1"/>
        <v>PT. Sinar Dunia Baru</v>
      </c>
      <c r="D711" s="3" t="s">
        <v>84</v>
      </c>
      <c r="E711" s="3" t="s">
        <v>104</v>
      </c>
      <c r="F711" s="3" t="s">
        <v>134</v>
      </c>
      <c r="G711" s="3" t="s">
        <v>76</v>
      </c>
      <c r="H711" s="3" t="str">
        <f t="array" ref="H711">XLOOKUP(G:G,'Account Manager Data'!A:A,'Account Manager Data'!B:B,0)</f>
        <v>Teguh Wijaya</v>
      </c>
      <c r="I711" s="11" t="str">
        <f t="array" ref="I711">XLOOKUP($G:$G,'Account Manager Data'!$A:$A,'Account Manager Data'!C:C)</f>
        <v>Sulawesi</v>
      </c>
      <c r="J711" s="17">
        <v>6562402.0</v>
      </c>
      <c r="K711" s="17">
        <v>3364602.0</v>
      </c>
      <c r="L711" s="17">
        <v>6116645.0</v>
      </c>
      <c r="M711" s="17">
        <v>198376.0</v>
      </c>
      <c r="N711" s="17">
        <v>1.0554566E7</v>
      </c>
      <c r="O711" s="17">
        <v>1.3328876E7</v>
      </c>
      <c r="P711" s="17">
        <v>8428883.0</v>
      </c>
      <c r="Q711" s="17">
        <v>4226265.0</v>
      </c>
      <c r="R711" s="17">
        <v>7215287.0</v>
      </c>
      <c r="S711" s="17">
        <v>0.0</v>
      </c>
      <c r="T711" s="17">
        <v>1.3863891E7</v>
      </c>
      <c r="U711" s="17">
        <v>1.887822E7</v>
      </c>
      <c r="V711" s="11">
        <f t="array" ref="V711">XLOOKUP(A:A,'Raw Revenue'!A:A,'Raw Revenue'!B:B,0)
</f>
        <v>0</v>
      </c>
      <c r="W711" s="11">
        <f t="array" ref="W711">XLOOKUP(A:A,'Raw Revenue'!C:C,'Raw Revenue'!D:D,0)</f>
        <v>0</v>
      </c>
      <c r="X711" s="11">
        <f t="array" ref="X711">XLOOKUP(A:A,'Raw Revenue'!E:E,'Raw Revenue'!F:F,0)</f>
        <v>0</v>
      </c>
      <c r="Y711" s="11">
        <f t="array" ref="Y711">XLOOKUP(A:A,'Raw Revenue'!G:G,'Raw Revenue'!H:H,0)</f>
        <v>0</v>
      </c>
      <c r="Z711" s="11">
        <f t="array" ref="Z711">XLOOKUP(A:A,'Raw Revenue'!I:I,'Raw Revenue'!J:J,0)</f>
        <v>0</v>
      </c>
      <c r="AA711" s="11">
        <f t="array" ref="AA711">XLOOKUP(A:A,'Raw Revenue'!K:K,'Raw Revenue'!L:L,0)</f>
        <v>0</v>
      </c>
      <c r="AB711" s="11">
        <f t="array" ref="AB711">XLOOKUP(A:A,'Raw Revenue'!M:M,'Raw Revenue'!N:N,0)</f>
        <v>0</v>
      </c>
      <c r="AC711" s="3">
        <v>0.0</v>
      </c>
      <c r="AD711" s="3">
        <v>0.0</v>
      </c>
      <c r="AE711" s="3">
        <v>0.0</v>
      </c>
      <c r="AF711" s="3">
        <v>0.0</v>
      </c>
      <c r="AG711" s="3">
        <v>0.0</v>
      </c>
    </row>
    <row r="712">
      <c r="A712" s="3" t="s">
        <v>1655</v>
      </c>
      <c r="B712" s="3" t="s">
        <v>1656</v>
      </c>
      <c r="C712" s="3" t="str">
        <f t="shared" si="1"/>
        <v>CV. Karya Utama Mandiri</v>
      </c>
      <c r="D712" s="3" t="s">
        <v>214</v>
      </c>
      <c r="E712" s="3" t="s">
        <v>187</v>
      </c>
      <c r="F712" s="3" t="s">
        <v>269</v>
      </c>
      <c r="G712" s="3" t="s">
        <v>70</v>
      </c>
      <c r="H712" s="3" t="str">
        <f t="array" ref="H712">XLOOKUP(G:G,'Account Manager Data'!A:A,'Account Manager Data'!B:B,0)</f>
        <v>Yusuf Hidayat</v>
      </c>
      <c r="I712" s="11" t="str">
        <f t="array" ref="I712">XLOOKUP($G:$G,'Account Manager Data'!$A:$A,'Account Manager Data'!C:C)</f>
        <v>Sumatera</v>
      </c>
      <c r="J712" s="17">
        <v>331183.0</v>
      </c>
      <c r="K712" s="17">
        <v>7461868.0</v>
      </c>
      <c r="L712" s="17">
        <v>2576311.0</v>
      </c>
      <c r="M712" s="17">
        <v>3141362.0</v>
      </c>
      <c r="N712" s="17">
        <v>1.3514649E7</v>
      </c>
      <c r="O712" s="17">
        <v>1.4358875E7</v>
      </c>
      <c r="P712" s="17">
        <v>0.0</v>
      </c>
      <c r="Q712" s="17">
        <v>5070859.0</v>
      </c>
      <c r="R712" s="17">
        <v>1989960.0</v>
      </c>
      <c r="S712" s="17">
        <v>3201727.0</v>
      </c>
      <c r="T712" s="17">
        <v>987044.0</v>
      </c>
      <c r="U712" s="17">
        <v>1.2849612E7</v>
      </c>
      <c r="V712" s="11">
        <f t="array" ref="V712">XLOOKUP(A:A,'Raw Revenue'!A:A,'Raw Revenue'!B:B,0)
</f>
        <v>0</v>
      </c>
      <c r="W712" s="11">
        <f t="array" ref="W712">XLOOKUP(A:A,'Raw Revenue'!C:C,'Raw Revenue'!D:D,0)</f>
        <v>0</v>
      </c>
      <c r="X712" s="11">
        <f t="array" ref="X712">XLOOKUP(A:A,'Raw Revenue'!E:E,'Raw Revenue'!F:F,0)</f>
        <v>0</v>
      </c>
      <c r="Y712" s="11">
        <f t="array" ref="Y712">XLOOKUP(A:A,'Raw Revenue'!G:G,'Raw Revenue'!H:H,0)</f>
        <v>0</v>
      </c>
      <c r="Z712" s="11">
        <f t="array" ref="Z712">XLOOKUP(A:A,'Raw Revenue'!I:I,'Raw Revenue'!J:J,0)</f>
        <v>0</v>
      </c>
      <c r="AA712" s="11">
        <f t="array" ref="AA712">XLOOKUP(A:A,'Raw Revenue'!K:K,'Raw Revenue'!L:L,0)</f>
        <v>0</v>
      </c>
      <c r="AB712" s="11">
        <f t="array" ref="AB712">XLOOKUP(A:A,'Raw Revenue'!M:M,'Raw Revenue'!N:N,0)</f>
        <v>0</v>
      </c>
      <c r="AC712" s="3">
        <v>0.0</v>
      </c>
      <c r="AD712" s="3">
        <v>0.0</v>
      </c>
      <c r="AE712" s="3">
        <v>0.0</v>
      </c>
      <c r="AF712" s="3">
        <v>0.0</v>
      </c>
      <c r="AG712" s="3">
        <v>0.0</v>
      </c>
    </row>
    <row r="713">
      <c r="A713" s="3" t="s">
        <v>1657</v>
      </c>
      <c r="B713" s="3" t="s">
        <v>1658</v>
      </c>
      <c r="C713" s="3" t="str">
        <f t="shared" si="1"/>
        <v>PT. Pratama Jaya Sentosa</v>
      </c>
      <c r="D713" s="3" t="s">
        <v>186</v>
      </c>
      <c r="E713" s="3" t="s">
        <v>187</v>
      </c>
      <c r="F713" s="3" t="s">
        <v>269</v>
      </c>
      <c r="G713" s="3" t="s">
        <v>15</v>
      </c>
      <c r="H713" s="3" t="str">
        <f t="array" ref="H713">XLOOKUP(G:G,'Account Manager Data'!A:A,'Account Manager Data'!B:B,0)</f>
        <v>Rizky Maulana</v>
      </c>
      <c r="I713" s="11" t="str">
        <f t="array" ref="I713">XLOOKUP($G:$G,'Account Manager Data'!$A:$A,'Account Manager Data'!C:C)</f>
        <v>Jawa</v>
      </c>
      <c r="J713" s="17">
        <v>7412858.0</v>
      </c>
      <c r="K713" s="17">
        <v>0.0</v>
      </c>
      <c r="L713" s="17">
        <v>6844697.0</v>
      </c>
      <c r="M713" s="17">
        <v>6740584.0</v>
      </c>
      <c r="N713" s="17">
        <v>7799543.0</v>
      </c>
      <c r="O713" s="17">
        <v>0.0</v>
      </c>
      <c r="P713" s="17">
        <v>0.0</v>
      </c>
      <c r="Q713" s="17">
        <v>0.0</v>
      </c>
      <c r="R713" s="17">
        <v>521197.0</v>
      </c>
      <c r="S713" s="17">
        <v>292685.0</v>
      </c>
      <c r="T713" s="17">
        <v>1.1831462E7</v>
      </c>
      <c r="U713" s="17">
        <v>1.9072354E7</v>
      </c>
      <c r="V713" s="11">
        <f t="array" ref="V713">XLOOKUP(A:A,'Raw Revenue'!A:A,'Raw Revenue'!B:B,0)
</f>
        <v>0</v>
      </c>
      <c r="W713" s="11">
        <f t="array" ref="W713">XLOOKUP(A:A,'Raw Revenue'!C:C,'Raw Revenue'!D:D,0)</f>
        <v>0</v>
      </c>
      <c r="X713" s="11">
        <f t="array" ref="X713">XLOOKUP(A:A,'Raw Revenue'!E:E,'Raw Revenue'!F:F,0)</f>
        <v>0</v>
      </c>
      <c r="Y713" s="11">
        <f t="array" ref="Y713">XLOOKUP(A:A,'Raw Revenue'!G:G,'Raw Revenue'!H:H,0)</f>
        <v>0</v>
      </c>
      <c r="Z713" s="11">
        <f t="array" ref="Z713">XLOOKUP(A:A,'Raw Revenue'!I:I,'Raw Revenue'!J:J,0)</f>
        <v>0</v>
      </c>
      <c r="AA713" s="11">
        <f t="array" ref="AA713">XLOOKUP(A:A,'Raw Revenue'!K:K,'Raw Revenue'!L:L,0)</f>
        <v>0</v>
      </c>
      <c r="AB713" s="11">
        <f t="array" ref="AB713">XLOOKUP(A:A,'Raw Revenue'!M:M,'Raw Revenue'!N:N,0)</f>
        <v>0</v>
      </c>
      <c r="AC713" s="3">
        <v>0.0</v>
      </c>
      <c r="AD713" s="3">
        <v>0.0</v>
      </c>
      <c r="AE713" s="3">
        <v>0.0</v>
      </c>
      <c r="AF713" s="3">
        <v>0.0</v>
      </c>
      <c r="AG713" s="3">
        <v>0.0</v>
      </c>
    </row>
    <row r="714">
      <c r="A714" s="3" t="s">
        <v>1659</v>
      </c>
      <c r="B714" s="3" t="s">
        <v>1660</v>
      </c>
      <c r="C714" s="3" t="str">
        <f t="shared" si="1"/>
        <v>PT. Abadi Selamanya Jaya</v>
      </c>
      <c r="D714" s="3" t="s">
        <v>214</v>
      </c>
      <c r="E714" s="3" t="s">
        <v>187</v>
      </c>
      <c r="F714" s="3" t="s">
        <v>188</v>
      </c>
      <c r="G714" s="3" t="s">
        <v>53</v>
      </c>
      <c r="H714" s="3" t="str">
        <f t="array" ref="H714">XLOOKUP(G:G,'Account Manager Data'!A:A,'Account Manager Data'!B:B,0)</f>
        <v>Fajar Ramadhan</v>
      </c>
      <c r="I714" s="11" t="str">
        <f t="array" ref="I714">XLOOKUP($G:$G,'Account Manager Data'!$A:$A,'Account Manager Data'!C:C)</f>
        <v>Sulawesi</v>
      </c>
      <c r="J714" s="17">
        <v>5706222.0</v>
      </c>
      <c r="K714" s="17">
        <v>2329814.0</v>
      </c>
      <c r="L714" s="17">
        <v>198745.0</v>
      </c>
      <c r="M714" s="17">
        <v>6711129.0</v>
      </c>
      <c r="N714" s="17">
        <v>8139957.0</v>
      </c>
      <c r="O714" s="17">
        <v>63076.0</v>
      </c>
      <c r="P714" s="17">
        <v>1.6160611E7</v>
      </c>
      <c r="Q714" s="17">
        <v>1085335.0</v>
      </c>
      <c r="R714" s="17">
        <v>0.0</v>
      </c>
      <c r="S714" s="17">
        <v>8392269.0</v>
      </c>
      <c r="T714" s="17">
        <v>1.1042639E7</v>
      </c>
      <c r="U714" s="17">
        <v>1.4147805E7</v>
      </c>
      <c r="V714" s="11">
        <f t="array" ref="V714">XLOOKUP(A:A,'Raw Revenue'!A:A,'Raw Revenue'!B:B,0)
</f>
        <v>0</v>
      </c>
      <c r="W714" s="11">
        <f t="array" ref="W714">XLOOKUP(A:A,'Raw Revenue'!C:C,'Raw Revenue'!D:D,0)</f>
        <v>0</v>
      </c>
      <c r="X714" s="11">
        <f t="array" ref="X714">XLOOKUP(A:A,'Raw Revenue'!E:E,'Raw Revenue'!F:F,0)</f>
        <v>0</v>
      </c>
      <c r="Y714" s="11">
        <f t="array" ref="Y714">XLOOKUP(A:A,'Raw Revenue'!G:G,'Raw Revenue'!H:H,0)</f>
        <v>0</v>
      </c>
      <c r="Z714" s="11">
        <f t="array" ref="Z714">XLOOKUP(A:A,'Raw Revenue'!I:I,'Raw Revenue'!J:J,0)</f>
        <v>0</v>
      </c>
      <c r="AA714" s="11">
        <f t="array" ref="AA714">XLOOKUP(A:A,'Raw Revenue'!K:K,'Raw Revenue'!L:L,0)</f>
        <v>0</v>
      </c>
      <c r="AB714" s="11">
        <f t="array" ref="AB714">XLOOKUP(A:A,'Raw Revenue'!M:M,'Raw Revenue'!N:N,0)</f>
        <v>0</v>
      </c>
      <c r="AC714" s="3">
        <v>0.0</v>
      </c>
      <c r="AD714" s="3">
        <v>0.0</v>
      </c>
      <c r="AE714" s="3">
        <v>0.0</v>
      </c>
      <c r="AF714" s="3">
        <v>0.0</v>
      </c>
      <c r="AG714" s="3">
        <v>0.0</v>
      </c>
    </row>
    <row r="715">
      <c r="A715" s="3" t="s">
        <v>200</v>
      </c>
      <c r="B715" s="3" t="s">
        <v>1661</v>
      </c>
      <c r="C715" s="3" t="str">
        <f t="shared" si="1"/>
        <v>PT. Mandiri Sejahtera Bersama</v>
      </c>
      <c r="D715" s="3" t="s">
        <v>103</v>
      </c>
      <c r="E715" s="3" t="s">
        <v>187</v>
      </c>
      <c r="F715" s="3" t="s">
        <v>188</v>
      </c>
      <c r="G715" s="3" t="s">
        <v>27</v>
      </c>
      <c r="H715" s="3" t="str">
        <f t="array" ref="H715">XLOOKUP(G:G,'Account Manager Data'!A:A,'Account Manager Data'!B:B,0)</f>
        <v>Dedi Kurniawan</v>
      </c>
      <c r="I715" s="11" t="str">
        <f t="array" ref="I715">XLOOKUP($G:$G,'Account Manager Data'!$A:$A,'Account Manager Data'!C:C)</f>
        <v>Kalimantan</v>
      </c>
      <c r="J715" s="17">
        <v>285978.0</v>
      </c>
      <c r="K715" s="17">
        <v>5886262.0</v>
      </c>
      <c r="L715" s="17">
        <v>2278654.0</v>
      </c>
      <c r="M715" s="17">
        <v>2809370.0</v>
      </c>
      <c r="N715" s="17">
        <v>7867273.0</v>
      </c>
      <c r="O715" s="17">
        <v>1796174.0</v>
      </c>
      <c r="P715" s="17">
        <v>1.2070206E7</v>
      </c>
      <c r="Q715" s="17">
        <v>1.3265109E7</v>
      </c>
      <c r="R715" s="17">
        <v>1.306153E7</v>
      </c>
      <c r="S715" s="17">
        <v>7608350.0</v>
      </c>
      <c r="T715" s="17">
        <v>2019842.0</v>
      </c>
      <c r="U715" s="17">
        <v>5452229.0</v>
      </c>
      <c r="V715" s="11">
        <f t="array" ref="V715">XLOOKUP(A:A,'Raw Revenue'!A:A,'Raw Revenue'!B:B,0)
</f>
        <v>2784803.712</v>
      </c>
      <c r="W715" s="11">
        <f t="array" ref="W715">XLOOKUP(A:A,'Raw Revenue'!C:C,'Raw Revenue'!D:D,0)</f>
        <v>2784803.712</v>
      </c>
      <c r="X715" s="11">
        <f t="array" ref="X715">XLOOKUP(A:A,'Raw Revenue'!E:E,'Raw Revenue'!F:F,0)</f>
        <v>5569607.424</v>
      </c>
      <c r="Y715" s="11">
        <f t="array" ref="Y715">XLOOKUP(A:A,'Raw Revenue'!G:G,'Raw Revenue'!H:H,0)</f>
        <v>4548512.729</v>
      </c>
      <c r="Z715" s="11">
        <f t="array" ref="Z715">XLOOKUP(A:A,'Raw Revenue'!I:I,'Raw Revenue'!J:J,0)</f>
        <v>4084378.777</v>
      </c>
      <c r="AA715" s="11">
        <f t="array" ref="AA715">XLOOKUP(A:A,'Raw Revenue'!K:K,'Raw Revenue'!L:L,0)</f>
        <v>10443013.92</v>
      </c>
      <c r="AB715" s="11">
        <f t="array" ref="AB715">XLOOKUP(A:A,'Raw Revenue'!M:M,'Raw Revenue'!N:N,0)</f>
        <v>9607572.806</v>
      </c>
      <c r="AC715" s="3">
        <v>0.0</v>
      </c>
      <c r="AD715" s="3">
        <v>0.0</v>
      </c>
      <c r="AE715" s="3">
        <v>0.0</v>
      </c>
      <c r="AF715" s="3">
        <v>0.0</v>
      </c>
      <c r="AG715" s="3">
        <v>0.0</v>
      </c>
    </row>
    <row r="716">
      <c r="A716" s="3" t="s">
        <v>1662</v>
      </c>
      <c r="B716" s="3" t="s">
        <v>1663</v>
      </c>
      <c r="C716" s="3" t="str">
        <f t="shared" si="1"/>
        <v>PT. Sejahtera Alam Indonesia</v>
      </c>
      <c r="D716" s="3" t="s">
        <v>186</v>
      </c>
      <c r="E716" s="3" t="s">
        <v>85</v>
      </c>
      <c r="F716" s="3" t="s">
        <v>407</v>
      </c>
      <c r="G716" s="3" t="s">
        <v>78</v>
      </c>
      <c r="H716" s="3" t="str">
        <f t="array" ref="H716">XLOOKUP(G:G,'Account Manager Data'!A:A,'Account Manager Data'!B:B,0)</f>
        <v>Ilham Saputra</v>
      </c>
      <c r="I716" s="11" t="str">
        <f t="array" ref="I716">XLOOKUP($G:$G,'Account Manager Data'!$A:$A,'Account Manager Data'!C:C)</f>
        <v>Jawa</v>
      </c>
      <c r="J716" s="17">
        <v>2258096.0</v>
      </c>
      <c r="K716" s="17">
        <v>2607747.0</v>
      </c>
      <c r="L716" s="17">
        <v>6649887.0</v>
      </c>
      <c r="M716" s="17">
        <v>1135430.0</v>
      </c>
      <c r="N716" s="17">
        <v>1.1151979E7</v>
      </c>
      <c r="O716" s="17">
        <v>0.0</v>
      </c>
      <c r="P716" s="17">
        <v>4446498.0</v>
      </c>
      <c r="Q716" s="17">
        <v>7348915.0</v>
      </c>
      <c r="R716" s="17">
        <v>2375466.0</v>
      </c>
      <c r="S716" s="17">
        <v>1.2860045E7</v>
      </c>
      <c r="T716" s="17">
        <v>1.7439333E7</v>
      </c>
      <c r="U716" s="17">
        <v>143450.0</v>
      </c>
      <c r="V716" s="11">
        <f t="array" ref="V716">XLOOKUP(A:A,'Raw Revenue'!A:A,'Raw Revenue'!B:B,0)
</f>
        <v>0</v>
      </c>
      <c r="W716" s="11">
        <f t="array" ref="W716">XLOOKUP(A:A,'Raw Revenue'!C:C,'Raw Revenue'!D:D,0)</f>
        <v>0</v>
      </c>
      <c r="X716" s="11">
        <f t="array" ref="X716">XLOOKUP(A:A,'Raw Revenue'!E:E,'Raw Revenue'!F:F,0)</f>
        <v>0</v>
      </c>
      <c r="Y716" s="11">
        <f t="array" ref="Y716">XLOOKUP(A:A,'Raw Revenue'!G:G,'Raw Revenue'!H:H,0)</f>
        <v>0</v>
      </c>
      <c r="Z716" s="11">
        <f t="array" ref="Z716">XLOOKUP(A:A,'Raw Revenue'!I:I,'Raw Revenue'!J:J,0)</f>
        <v>0</v>
      </c>
      <c r="AA716" s="11">
        <f t="array" ref="AA716">XLOOKUP(A:A,'Raw Revenue'!K:K,'Raw Revenue'!L:L,0)</f>
        <v>0</v>
      </c>
      <c r="AB716" s="11">
        <f t="array" ref="AB716">XLOOKUP(A:A,'Raw Revenue'!M:M,'Raw Revenue'!N:N,0)</f>
        <v>0</v>
      </c>
      <c r="AC716" s="3">
        <v>0.0</v>
      </c>
      <c r="AD716" s="3">
        <v>0.0</v>
      </c>
      <c r="AE716" s="3">
        <v>0.0</v>
      </c>
      <c r="AF716" s="3">
        <v>0.0</v>
      </c>
      <c r="AG716" s="3">
        <v>0.0</v>
      </c>
    </row>
    <row r="717">
      <c r="A717" s="3" t="s">
        <v>1664</v>
      </c>
      <c r="B717" s="3" t="s">
        <v>1665</v>
      </c>
      <c r="C717" s="3" t="str">
        <f t="shared" si="1"/>
        <v>PT. Indah Kargo Logistik</v>
      </c>
      <c r="D717" s="3" t="s">
        <v>214</v>
      </c>
      <c r="E717" s="3" t="s">
        <v>215</v>
      </c>
      <c r="F717" s="3" t="s">
        <v>227</v>
      </c>
      <c r="G717" s="3" t="s">
        <v>63</v>
      </c>
      <c r="H717" s="3" t="str">
        <f t="array" ref="H717">XLOOKUP(G:G,'Account Manager Data'!A:A,'Account Manager Data'!B:B,0)</f>
        <v>Hendra Gunawan</v>
      </c>
      <c r="I717" s="11" t="str">
        <f t="array" ref="I717">XLOOKUP($G:$G,'Account Manager Data'!$A:$A,'Account Manager Data'!C:C)</f>
        <v>Kalimantan</v>
      </c>
      <c r="J717" s="17">
        <v>8067361.0</v>
      </c>
      <c r="K717" s="17">
        <v>8820692.0</v>
      </c>
      <c r="L717" s="17">
        <v>8690895.0</v>
      </c>
      <c r="M717" s="17">
        <v>8276927.0</v>
      </c>
      <c r="N717" s="17">
        <v>3918997.0</v>
      </c>
      <c r="O717" s="17">
        <v>1.1049705E7</v>
      </c>
      <c r="P717" s="17">
        <v>2930724.0</v>
      </c>
      <c r="Q717" s="17">
        <v>0.0</v>
      </c>
      <c r="R717" s="17">
        <v>1.619537E7</v>
      </c>
      <c r="S717" s="17">
        <v>1.5254408E7</v>
      </c>
      <c r="T717" s="17">
        <v>2046139.0</v>
      </c>
      <c r="U717" s="17">
        <v>0.0</v>
      </c>
      <c r="V717" s="11">
        <f t="array" ref="V717">XLOOKUP(A:A,'Raw Revenue'!A:A,'Raw Revenue'!B:B,0)
</f>
        <v>0</v>
      </c>
      <c r="W717" s="11">
        <f t="array" ref="W717">XLOOKUP(A:A,'Raw Revenue'!C:C,'Raw Revenue'!D:D,0)</f>
        <v>0</v>
      </c>
      <c r="X717" s="11">
        <f t="array" ref="X717">XLOOKUP(A:A,'Raw Revenue'!E:E,'Raw Revenue'!F:F,0)</f>
        <v>0</v>
      </c>
      <c r="Y717" s="11">
        <f t="array" ref="Y717">XLOOKUP(A:A,'Raw Revenue'!G:G,'Raw Revenue'!H:H,0)</f>
        <v>0</v>
      </c>
      <c r="Z717" s="11">
        <f t="array" ref="Z717">XLOOKUP(A:A,'Raw Revenue'!I:I,'Raw Revenue'!J:J,0)</f>
        <v>0</v>
      </c>
      <c r="AA717" s="11">
        <f t="array" ref="AA717">XLOOKUP(A:A,'Raw Revenue'!K:K,'Raw Revenue'!L:L,0)</f>
        <v>0</v>
      </c>
      <c r="AB717" s="11">
        <f t="array" ref="AB717">XLOOKUP(A:A,'Raw Revenue'!M:M,'Raw Revenue'!N:N,0)</f>
        <v>0</v>
      </c>
      <c r="AC717" s="3">
        <v>0.0</v>
      </c>
      <c r="AD717" s="3">
        <v>0.0</v>
      </c>
      <c r="AE717" s="3">
        <v>0.0</v>
      </c>
      <c r="AF717" s="3">
        <v>0.0</v>
      </c>
      <c r="AG717" s="3">
        <v>0.0</v>
      </c>
    </row>
    <row r="718">
      <c r="A718" s="3" t="s">
        <v>1666</v>
      </c>
      <c r="B718" s="3" t="s">
        <v>1667</v>
      </c>
      <c r="C718" s="3" t="str">
        <f t="shared" si="1"/>
        <v>PT. Berkah Alam Semesta</v>
      </c>
      <c r="D718" s="3" t="s">
        <v>84</v>
      </c>
      <c r="E718" s="3" t="s">
        <v>215</v>
      </c>
      <c r="F718" s="3" t="s">
        <v>300</v>
      </c>
      <c r="G718" s="3" t="s">
        <v>35</v>
      </c>
      <c r="H718" s="3" t="str">
        <f t="array" ref="H718">XLOOKUP(G:G,'Account Manager Data'!A:A,'Account Manager Data'!B:B,0)</f>
        <v>Ahmad Fauzi</v>
      </c>
      <c r="I718" s="11" t="str">
        <f t="array" ref="I718">XLOOKUP($G:$G,'Account Manager Data'!$A:$A,'Account Manager Data'!C:C)</f>
        <v>Sumatera</v>
      </c>
      <c r="J718" s="17">
        <v>2678764.0</v>
      </c>
      <c r="K718" s="17">
        <v>4066139.0</v>
      </c>
      <c r="L718" s="17">
        <v>9035838.0</v>
      </c>
      <c r="M718" s="17">
        <v>9446548.0</v>
      </c>
      <c r="N718" s="17">
        <v>1.2433534E7</v>
      </c>
      <c r="O718" s="17">
        <v>0.0</v>
      </c>
      <c r="P718" s="17">
        <v>1.0494344E7</v>
      </c>
      <c r="Q718" s="17">
        <v>4020374.0</v>
      </c>
      <c r="R718" s="17">
        <v>1319707.0</v>
      </c>
      <c r="S718" s="17">
        <v>242436.0</v>
      </c>
      <c r="T718" s="17">
        <v>0.0</v>
      </c>
      <c r="U718" s="17">
        <v>2504850.0</v>
      </c>
      <c r="V718" s="11">
        <f t="array" ref="V718">XLOOKUP(A:A,'Raw Revenue'!A:A,'Raw Revenue'!B:B,0)
</f>
        <v>0</v>
      </c>
      <c r="W718" s="11">
        <f t="array" ref="W718">XLOOKUP(A:A,'Raw Revenue'!C:C,'Raw Revenue'!D:D,0)</f>
        <v>0</v>
      </c>
      <c r="X718" s="11">
        <f t="array" ref="X718">XLOOKUP(A:A,'Raw Revenue'!E:E,'Raw Revenue'!F:F,0)</f>
        <v>0</v>
      </c>
      <c r="Y718" s="11">
        <f t="array" ref="Y718">XLOOKUP(A:A,'Raw Revenue'!G:G,'Raw Revenue'!H:H,0)</f>
        <v>0</v>
      </c>
      <c r="Z718" s="11">
        <f t="array" ref="Z718">XLOOKUP(A:A,'Raw Revenue'!I:I,'Raw Revenue'!J:J,0)</f>
        <v>0</v>
      </c>
      <c r="AA718" s="11">
        <f t="array" ref="AA718">XLOOKUP(A:A,'Raw Revenue'!K:K,'Raw Revenue'!L:L,0)</f>
        <v>0</v>
      </c>
      <c r="AB718" s="11">
        <f t="array" ref="AB718">XLOOKUP(A:A,'Raw Revenue'!M:M,'Raw Revenue'!N:N,0)</f>
        <v>0</v>
      </c>
      <c r="AC718" s="3">
        <v>0.0</v>
      </c>
      <c r="AD718" s="3">
        <v>0.0</v>
      </c>
      <c r="AE718" s="3">
        <v>0.0</v>
      </c>
      <c r="AF718" s="3">
        <v>0.0</v>
      </c>
      <c r="AG718" s="3">
        <v>0.0</v>
      </c>
    </row>
    <row r="719">
      <c r="A719" s="3" t="s">
        <v>1668</v>
      </c>
      <c r="B719" s="3" t="s">
        <v>1669</v>
      </c>
      <c r="C719" s="3" t="str">
        <f t="shared" si="1"/>
        <v>PT. Cahaya Baru Indonesia</v>
      </c>
      <c r="D719" s="3" t="s">
        <v>214</v>
      </c>
      <c r="E719" s="3" t="s">
        <v>187</v>
      </c>
      <c r="F719" s="3" t="s">
        <v>269</v>
      </c>
      <c r="G719" s="3" t="s">
        <v>43</v>
      </c>
      <c r="H719" s="3" t="str">
        <f t="array" ref="H719">XLOOKUP(G:G,'Account Manager Data'!A:A,'Account Manager Data'!B:B,0)</f>
        <v>Eko Prasetyo</v>
      </c>
      <c r="I719" s="11" t="str">
        <f t="array" ref="I719">XLOOKUP($G:$G,'Account Manager Data'!$A:$A,'Account Manager Data'!C:C)</f>
        <v>Papua</v>
      </c>
      <c r="J719" s="17">
        <v>2368056.0</v>
      </c>
      <c r="K719" s="17">
        <v>2397244.0</v>
      </c>
      <c r="L719" s="17">
        <v>6843205.0</v>
      </c>
      <c r="M719" s="17">
        <v>984905.0</v>
      </c>
      <c r="N719" s="17">
        <v>1.0250062E7</v>
      </c>
      <c r="O719" s="17">
        <v>9621386.0</v>
      </c>
      <c r="P719" s="17">
        <v>333839.0</v>
      </c>
      <c r="Q719" s="17">
        <v>1.5866558E7</v>
      </c>
      <c r="R719" s="17">
        <v>8156344.0</v>
      </c>
      <c r="S719" s="17">
        <v>0.0</v>
      </c>
      <c r="T719" s="17">
        <v>5299257.0</v>
      </c>
      <c r="U719" s="17">
        <v>1212675.0</v>
      </c>
      <c r="V719" s="11">
        <f t="array" ref="V719">XLOOKUP(A:A,'Raw Revenue'!A:A,'Raw Revenue'!B:B,0)
</f>
        <v>0</v>
      </c>
      <c r="W719" s="11">
        <f t="array" ref="W719">XLOOKUP(A:A,'Raw Revenue'!C:C,'Raw Revenue'!D:D,0)</f>
        <v>0</v>
      </c>
      <c r="X719" s="11">
        <f t="array" ref="X719">XLOOKUP(A:A,'Raw Revenue'!E:E,'Raw Revenue'!F:F,0)</f>
        <v>0</v>
      </c>
      <c r="Y719" s="11">
        <f t="array" ref="Y719">XLOOKUP(A:A,'Raw Revenue'!G:G,'Raw Revenue'!H:H,0)</f>
        <v>0</v>
      </c>
      <c r="Z719" s="11">
        <f t="array" ref="Z719">XLOOKUP(A:A,'Raw Revenue'!I:I,'Raw Revenue'!J:J,0)</f>
        <v>0</v>
      </c>
      <c r="AA719" s="11">
        <f t="array" ref="AA719">XLOOKUP(A:A,'Raw Revenue'!K:K,'Raw Revenue'!L:L,0)</f>
        <v>0</v>
      </c>
      <c r="AB719" s="11">
        <f t="array" ref="AB719">XLOOKUP(A:A,'Raw Revenue'!M:M,'Raw Revenue'!N:N,0)</f>
        <v>0</v>
      </c>
      <c r="AC719" s="3">
        <v>0.0</v>
      </c>
      <c r="AD719" s="3">
        <v>0.0</v>
      </c>
      <c r="AE719" s="3">
        <v>0.0</v>
      </c>
      <c r="AF719" s="3">
        <v>0.0</v>
      </c>
      <c r="AG719" s="3">
        <v>0.0</v>
      </c>
    </row>
    <row r="720">
      <c r="A720" s="3" t="s">
        <v>1670</v>
      </c>
      <c r="B720" s="3" t="s">
        <v>1671</v>
      </c>
      <c r="C720" s="3" t="str">
        <f t="shared" si="1"/>
        <v>PT. Mentari Pagi Sejahtera</v>
      </c>
      <c r="D720" s="3" t="s">
        <v>84</v>
      </c>
      <c r="E720" s="3" t="s">
        <v>215</v>
      </c>
      <c r="F720" s="3" t="s">
        <v>227</v>
      </c>
      <c r="G720" s="3" t="s">
        <v>74</v>
      </c>
      <c r="H720" s="3" t="str">
        <f t="array" ref="H720">XLOOKUP(G:G,'Account Manager Data'!A:A,'Account Manager Data'!B:B,0)</f>
        <v>Budi Santoso</v>
      </c>
      <c r="I720" s="11" t="str">
        <f t="array" ref="I720">XLOOKUP($G:$G,'Account Manager Data'!$A:$A,'Account Manager Data'!C:C)</f>
        <v>Papua</v>
      </c>
      <c r="J720" s="17">
        <v>5951086.0</v>
      </c>
      <c r="K720" s="17">
        <v>6256238.0</v>
      </c>
      <c r="L720" s="17">
        <v>2182214.0</v>
      </c>
      <c r="M720" s="17">
        <v>1276200.0</v>
      </c>
      <c r="N720" s="17">
        <v>8968431.0</v>
      </c>
      <c r="O720" s="17">
        <v>7666151.0</v>
      </c>
      <c r="P720" s="17">
        <v>1.0478654E7</v>
      </c>
      <c r="Q720" s="17">
        <v>0.0</v>
      </c>
      <c r="R720" s="17">
        <v>7816525.0</v>
      </c>
      <c r="S720" s="17">
        <v>1.5759403E7</v>
      </c>
      <c r="T720" s="17">
        <v>3359404.0</v>
      </c>
      <c r="U720" s="17">
        <v>0.0</v>
      </c>
      <c r="V720" s="11">
        <f t="array" ref="V720">XLOOKUP(A:A,'Raw Revenue'!A:A,'Raw Revenue'!B:B,0)
</f>
        <v>0</v>
      </c>
      <c r="W720" s="11">
        <f t="array" ref="W720">XLOOKUP(A:A,'Raw Revenue'!C:C,'Raw Revenue'!D:D,0)</f>
        <v>0</v>
      </c>
      <c r="X720" s="11">
        <f t="array" ref="X720">XLOOKUP(A:A,'Raw Revenue'!E:E,'Raw Revenue'!F:F,0)</f>
        <v>0</v>
      </c>
      <c r="Y720" s="11">
        <f t="array" ref="Y720">XLOOKUP(A:A,'Raw Revenue'!G:G,'Raw Revenue'!H:H,0)</f>
        <v>0</v>
      </c>
      <c r="Z720" s="11">
        <f t="array" ref="Z720">XLOOKUP(A:A,'Raw Revenue'!I:I,'Raw Revenue'!J:J,0)</f>
        <v>0</v>
      </c>
      <c r="AA720" s="11">
        <f t="array" ref="AA720">XLOOKUP(A:A,'Raw Revenue'!K:K,'Raw Revenue'!L:L,0)</f>
        <v>0</v>
      </c>
      <c r="AB720" s="11">
        <f t="array" ref="AB720">XLOOKUP(A:A,'Raw Revenue'!M:M,'Raw Revenue'!N:N,0)</f>
        <v>0</v>
      </c>
      <c r="AC720" s="3">
        <v>0.0</v>
      </c>
      <c r="AD720" s="3">
        <v>0.0</v>
      </c>
      <c r="AE720" s="3">
        <v>0.0</v>
      </c>
      <c r="AF720" s="3">
        <v>0.0</v>
      </c>
      <c r="AG720" s="3">
        <v>0.0</v>
      </c>
    </row>
    <row r="721">
      <c r="A721" s="3" t="s">
        <v>1672</v>
      </c>
      <c r="B721" s="3" t="s">
        <v>1673</v>
      </c>
      <c r="C721" s="3" t="str">
        <f t="shared" si="1"/>
        <v>PT. Bintang Kejora Nusantara</v>
      </c>
      <c r="D721" s="3" t="s">
        <v>195</v>
      </c>
      <c r="E721" s="3" t="s">
        <v>215</v>
      </c>
      <c r="F721" s="3" t="s">
        <v>300</v>
      </c>
      <c r="G721" s="3" t="s">
        <v>76</v>
      </c>
      <c r="H721" s="3" t="str">
        <f t="array" ref="H721">XLOOKUP(G:G,'Account Manager Data'!A:A,'Account Manager Data'!B:B,0)</f>
        <v>Teguh Wijaya</v>
      </c>
      <c r="I721" s="11" t="str">
        <f t="array" ref="I721">XLOOKUP($G:$G,'Account Manager Data'!$A:$A,'Account Manager Data'!C:C)</f>
        <v>Sulawesi</v>
      </c>
      <c r="J721" s="17">
        <v>4925783.0</v>
      </c>
      <c r="K721" s="17">
        <v>4142396.0</v>
      </c>
      <c r="L721" s="17">
        <v>0.0</v>
      </c>
      <c r="M721" s="17">
        <v>1.1668413E7</v>
      </c>
      <c r="N721" s="17">
        <v>4256650.0</v>
      </c>
      <c r="O721" s="17">
        <v>1.3041095E7</v>
      </c>
      <c r="P721" s="17">
        <v>2264378.0</v>
      </c>
      <c r="Q721" s="17">
        <v>1.3596195E7</v>
      </c>
      <c r="R721" s="17">
        <v>9159071.0</v>
      </c>
      <c r="S721" s="17">
        <v>1.3944282E7</v>
      </c>
      <c r="T721" s="17">
        <v>0.0</v>
      </c>
      <c r="U721" s="17">
        <v>1.201391E7</v>
      </c>
      <c r="V721" s="11">
        <f t="array" ref="V721">XLOOKUP(A:A,'Raw Revenue'!A:A,'Raw Revenue'!B:B,0)
</f>
        <v>0</v>
      </c>
      <c r="W721" s="11">
        <f t="array" ref="W721">XLOOKUP(A:A,'Raw Revenue'!C:C,'Raw Revenue'!D:D,0)</f>
        <v>0</v>
      </c>
      <c r="X721" s="11">
        <f t="array" ref="X721">XLOOKUP(A:A,'Raw Revenue'!E:E,'Raw Revenue'!F:F,0)</f>
        <v>0</v>
      </c>
      <c r="Y721" s="11">
        <f t="array" ref="Y721">XLOOKUP(A:A,'Raw Revenue'!G:G,'Raw Revenue'!H:H,0)</f>
        <v>0</v>
      </c>
      <c r="Z721" s="11">
        <f t="array" ref="Z721">XLOOKUP(A:A,'Raw Revenue'!I:I,'Raw Revenue'!J:J,0)</f>
        <v>0</v>
      </c>
      <c r="AA721" s="11">
        <f t="array" ref="AA721">XLOOKUP(A:A,'Raw Revenue'!K:K,'Raw Revenue'!L:L,0)</f>
        <v>0</v>
      </c>
      <c r="AB721" s="11">
        <f t="array" ref="AB721">XLOOKUP(A:A,'Raw Revenue'!M:M,'Raw Revenue'!N:N,0)</f>
        <v>0</v>
      </c>
      <c r="AC721" s="3">
        <v>0.0</v>
      </c>
      <c r="AD721" s="3">
        <v>0.0</v>
      </c>
      <c r="AE721" s="3">
        <v>0.0</v>
      </c>
      <c r="AF721" s="3">
        <v>0.0</v>
      </c>
      <c r="AG721" s="3">
        <v>0.0</v>
      </c>
    </row>
    <row r="722">
      <c r="A722" s="3" t="s">
        <v>1674</v>
      </c>
      <c r="B722" s="3" t="s">
        <v>1675</v>
      </c>
      <c r="C722" s="3" t="str">
        <f t="shared" si="1"/>
        <v>PT. Maju Jaya</v>
      </c>
      <c r="D722" s="3" t="s">
        <v>84</v>
      </c>
      <c r="E722" s="3" t="s">
        <v>85</v>
      </c>
      <c r="F722" s="3" t="s">
        <v>86</v>
      </c>
      <c r="G722" s="3" t="s">
        <v>70</v>
      </c>
      <c r="H722" s="3" t="str">
        <f t="array" ref="H722">XLOOKUP(G:G,'Account Manager Data'!A:A,'Account Manager Data'!B:B,0)</f>
        <v>Yusuf Hidayat</v>
      </c>
      <c r="I722" s="11" t="str">
        <f t="array" ref="I722">XLOOKUP($G:$G,'Account Manager Data'!$A:$A,'Account Manager Data'!C:C)</f>
        <v>Sumatera</v>
      </c>
      <c r="J722" s="17">
        <v>8132757.0</v>
      </c>
      <c r="K722" s="17">
        <v>0.0</v>
      </c>
      <c r="L722" s="17">
        <v>998750.0</v>
      </c>
      <c r="M722" s="17">
        <v>8255766.0</v>
      </c>
      <c r="N722" s="17">
        <v>1.1584223E7</v>
      </c>
      <c r="O722" s="17">
        <v>5660783.0</v>
      </c>
      <c r="P722" s="17">
        <v>1611142.0</v>
      </c>
      <c r="Q722" s="17">
        <v>0.0</v>
      </c>
      <c r="R722" s="17">
        <v>1.2731726E7</v>
      </c>
      <c r="S722" s="17">
        <v>1010110.0</v>
      </c>
      <c r="T722" s="17">
        <v>1.7464462E7</v>
      </c>
      <c r="U722" s="17">
        <v>1.1150751E7</v>
      </c>
      <c r="V722" s="11">
        <f t="array" ref="V722">XLOOKUP(A:A,'Raw Revenue'!A:A,'Raw Revenue'!B:B,0)
</f>
        <v>0</v>
      </c>
      <c r="W722" s="11">
        <f t="array" ref="W722">XLOOKUP(A:A,'Raw Revenue'!C:C,'Raw Revenue'!D:D,0)</f>
        <v>0</v>
      </c>
      <c r="X722" s="11">
        <f t="array" ref="X722">XLOOKUP(A:A,'Raw Revenue'!E:E,'Raw Revenue'!F:F,0)</f>
        <v>0</v>
      </c>
      <c r="Y722" s="11">
        <f t="array" ref="Y722">XLOOKUP(A:A,'Raw Revenue'!G:G,'Raw Revenue'!H:H,0)</f>
        <v>0</v>
      </c>
      <c r="Z722" s="11">
        <f t="array" ref="Z722">XLOOKUP(A:A,'Raw Revenue'!I:I,'Raw Revenue'!J:J,0)</f>
        <v>0</v>
      </c>
      <c r="AA722" s="11">
        <f t="array" ref="AA722">XLOOKUP(A:A,'Raw Revenue'!K:K,'Raw Revenue'!L:L,0)</f>
        <v>0</v>
      </c>
      <c r="AB722" s="11">
        <f t="array" ref="AB722">XLOOKUP(A:A,'Raw Revenue'!M:M,'Raw Revenue'!N:N,0)</f>
        <v>0</v>
      </c>
      <c r="AC722" s="3">
        <v>0.0</v>
      </c>
      <c r="AD722" s="3">
        <v>0.0</v>
      </c>
      <c r="AE722" s="3">
        <v>0.0</v>
      </c>
      <c r="AF722" s="3">
        <v>0.0</v>
      </c>
      <c r="AG722" s="3">
        <v>0.0</v>
      </c>
    </row>
    <row r="723">
      <c r="A723" s="3" t="s">
        <v>1676</v>
      </c>
      <c r="B723" s="3" t="s">
        <v>1677</v>
      </c>
      <c r="C723" s="3" t="str">
        <f t="shared" si="1"/>
        <v>CV. Sumber Makmur</v>
      </c>
      <c r="D723" s="3" t="s">
        <v>84</v>
      </c>
      <c r="E723" s="3" t="s">
        <v>85</v>
      </c>
      <c r="F723" s="3" t="s">
        <v>407</v>
      </c>
      <c r="G723" s="3" t="s">
        <v>15</v>
      </c>
      <c r="H723" s="3" t="str">
        <f t="array" ref="H723">XLOOKUP(G:G,'Account Manager Data'!A:A,'Account Manager Data'!B:B,0)</f>
        <v>Rizky Maulana</v>
      </c>
      <c r="I723" s="11" t="str">
        <f t="array" ref="I723">XLOOKUP($G:$G,'Account Manager Data'!$A:$A,'Account Manager Data'!C:C)</f>
        <v>Jawa</v>
      </c>
      <c r="J723" s="17">
        <v>1552288.0</v>
      </c>
      <c r="K723" s="17">
        <v>7654963.0</v>
      </c>
      <c r="L723" s="17">
        <v>4929263.0</v>
      </c>
      <c r="M723" s="17">
        <v>422171.0</v>
      </c>
      <c r="N723" s="17">
        <v>5801832.0</v>
      </c>
      <c r="O723" s="17">
        <v>1.3417751E7</v>
      </c>
      <c r="P723" s="17">
        <v>4699607.0</v>
      </c>
      <c r="Q723" s="17">
        <v>1.1843214E7</v>
      </c>
      <c r="R723" s="17">
        <v>4769989.0</v>
      </c>
      <c r="S723" s="17">
        <v>1.4557045E7</v>
      </c>
      <c r="T723" s="17">
        <v>1192207.0</v>
      </c>
      <c r="U723" s="17">
        <v>8656719.0</v>
      </c>
      <c r="V723" s="11">
        <f t="array" ref="V723">XLOOKUP(A:A,'Raw Revenue'!A:A,'Raw Revenue'!B:B,0)
</f>
        <v>0</v>
      </c>
      <c r="W723" s="11">
        <f t="array" ref="W723">XLOOKUP(A:A,'Raw Revenue'!C:C,'Raw Revenue'!D:D,0)</f>
        <v>0</v>
      </c>
      <c r="X723" s="11">
        <f t="array" ref="X723">XLOOKUP(A:A,'Raw Revenue'!E:E,'Raw Revenue'!F:F,0)</f>
        <v>0</v>
      </c>
      <c r="Y723" s="11">
        <f t="array" ref="Y723">XLOOKUP(A:A,'Raw Revenue'!G:G,'Raw Revenue'!H:H,0)</f>
        <v>0</v>
      </c>
      <c r="Z723" s="11">
        <f t="array" ref="Z723">XLOOKUP(A:A,'Raw Revenue'!I:I,'Raw Revenue'!J:J,0)</f>
        <v>0</v>
      </c>
      <c r="AA723" s="11">
        <f t="array" ref="AA723">XLOOKUP(A:A,'Raw Revenue'!K:K,'Raw Revenue'!L:L,0)</f>
        <v>0</v>
      </c>
      <c r="AB723" s="11">
        <f t="array" ref="AB723">XLOOKUP(A:A,'Raw Revenue'!M:M,'Raw Revenue'!N:N,0)</f>
        <v>0</v>
      </c>
      <c r="AC723" s="3">
        <v>0.0</v>
      </c>
      <c r="AD723" s="3">
        <v>0.0</v>
      </c>
      <c r="AE723" s="3">
        <v>0.0</v>
      </c>
      <c r="AF723" s="3">
        <v>0.0</v>
      </c>
      <c r="AG723" s="3">
        <v>0.0</v>
      </c>
    </row>
    <row r="724">
      <c r="A724" s="3" t="s">
        <v>201</v>
      </c>
      <c r="B724" s="3" t="s">
        <v>1678</v>
      </c>
      <c r="C724" s="3" t="str">
        <f t="shared" si="1"/>
        <v>PT. Teknologi Nusantara</v>
      </c>
      <c r="D724" s="3" t="s">
        <v>103</v>
      </c>
      <c r="E724" s="3" t="s">
        <v>104</v>
      </c>
      <c r="F724" s="3" t="s">
        <v>105</v>
      </c>
      <c r="G724" s="3" t="s">
        <v>27</v>
      </c>
      <c r="H724" s="3" t="str">
        <f t="array" ref="H724">XLOOKUP(G:G,'Account Manager Data'!A:A,'Account Manager Data'!B:B,0)</f>
        <v>Dedi Kurniawan</v>
      </c>
      <c r="I724" s="11" t="str">
        <f t="array" ref="I724">XLOOKUP($G:$G,'Account Manager Data'!$A:$A,'Account Manager Data'!C:C)</f>
        <v>Kalimantan</v>
      </c>
      <c r="J724" s="17">
        <v>3327704.0</v>
      </c>
      <c r="K724" s="17">
        <v>3951385.0</v>
      </c>
      <c r="L724" s="17">
        <v>3361036.0</v>
      </c>
      <c r="M724" s="17">
        <v>5274541.0</v>
      </c>
      <c r="N724" s="17">
        <v>0.0</v>
      </c>
      <c r="O724" s="17">
        <v>2377386.0</v>
      </c>
      <c r="P724" s="17">
        <v>1151942.0</v>
      </c>
      <c r="Q724" s="17">
        <v>2861412.0</v>
      </c>
      <c r="R724" s="17">
        <v>226997.0</v>
      </c>
      <c r="S724" s="17">
        <v>8894490.0</v>
      </c>
      <c r="T724" s="17">
        <v>2008768.0</v>
      </c>
      <c r="U724" s="17">
        <v>3278786.0</v>
      </c>
      <c r="V724" s="11">
        <f t="array" ref="V724">XLOOKUP(A:A,'Raw Revenue'!A:A,'Raw Revenue'!B:B,0)
</f>
        <v>0</v>
      </c>
      <c r="W724" s="11">
        <f t="array" ref="W724">XLOOKUP(A:A,'Raw Revenue'!C:C,'Raw Revenue'!D:D,0)</f>
        <v>0</v>
      </c>
      <c r="X724" s="11">
        <f t="array" ref="X724">XLOOKUP(A:A,'Raw Revenue'!E:E,'Raw Revenue'!F:F,0)</f>
        <v>0</v>
      </c>
      <c r="Y724" s="11">
        <f t="array" ref="Y724">XLOOKUP(A:A,'Raw Revenue'!G:G,'Raw Revenue'!H:H,0)</f>
        <v>0</v>
      </c>
      <c r="Z724" s="11">
        <f t="array" ref="Z724">XLOOKUP(A:A,'Raw Revenue'!I:I,'Raw Revenue'!J:J,0)</f>
        <v>0</v>
      </c>
      <c r="AA724" s="11">
        <f t="array" ref="AA724">XLOOKUP(A:A,'Raw Revenue'!K:K,'Raw Revenue'!L:L,0)</f>
        <v>0</v>
      </c>
      <c r="AB724" s="11">
        <f t="array" ref="AB724">XLOOKUP(A:A,'Raw Revenue'!M:M,'Raw Revenue'!N:N,0)</f>
        <v>0</v>
      </c>
      <c r="AC724" s="3">
        <v>0.0</v>
      </c>
      <c r="AD724" s="3">
        <v>0.0</v>
      </c>
      <c r="AE724" s="3">
        <v>0.0</v>
      </c>
      <c r="AF724" s="3">
        <v>0.0</v>
      </c>
      <c r="AG724" s="3">
        <v>0.0</v>
      </c>
    </row>
    <row r="725">
      <c r="A725" s="3" t="s">
        <v>1679</v>
      </c>
      <c r="B725" s="3" t="s">
        <v>1680</v>
      </c>
      <c r="C725" s="3" t="str">
        <f t="shared" si="1"/>
        <v>PT. Bakti Indonesia</v>
      </c>
      <c r="D725" s="3" t="s">
        <v>130</v>
      </c>
      <c r="E725" s="3" t="s">
        <v>187</v>
      </c>
      <c r="F725" s="3" t="s">
        <v>295</v>
      </c>
      <c r="G725" s="3" t="s">
        <v>78</v>
      </c>
      <c r="H725" s="3" t="str">
        <f t="array" ref="H725">XLOOKUP(G:G,'Account Manager Data'!A:A,'Account Manager Data'!B:B,0)</f>
        <v>Ilham Saputra</v>
      </c>
      <c r="I725" s="11" t="str">
        <f t="array" ref="I725">XLOOKUP($G:$G,'Account Manager Data'!$A:$A,'Account Manager Data'!C:C)</f>
        <v>Jawa</v>
      </c>
      <c r="J725" s="17">
        <v>1215365.0</v>
      </c>
      <c r="K725" s="17">
        <v>8117897.0</v>
      </c>
      <c r="L725" s="17">
        <v>5271511.0</v>
      </c>
      <c r="M725" s="17">
        <v>1.145262E7</v>
      </c>
      <c r="N725" s="17">
        <v>9398877.0</v>
      </c>
      <c r="O725" s="17">
        <v>1.1532641E7</v>
      </c>
      <c r="P725" s="17">
        <v>1.0359773E7</v>
      </c>
      <c r="Q725" s="17">
        <v>6340984.0</v>
      </c>
      <c r="R725" s="17">
        <v>1.5521826E7</v>
      </c>
      <c r="S725" s="17">
        <v>1.3834636E7</v>
      </c>
      <c r="T725" s="17">
        <v>1.3972025E7</v>
      </c>
      <c r="U725" s="17">
        <v>0.0</v>
      </c>
      <c r="V725" s="11">
        <f t="array" ref="V725">XLOOKUP(A:A,'Raw Revenue'!A:A,'Raw Revenue'!B:B,0)
</f>
        <v>0</v>
      </c>
      <c r="W725" s="11">
        <f t="array" ref="W725">XLOOKUP(A:A,'Raw Revenue'!C:C,'Raw Revenue'!D:D,0)</f>
        <v>0</v>
      </c>
      <c r="X725" s="11">
        <f t="array" ref="X725">XLOOKUP(A:A,'Raw Revenue'!E:E,'Raw Revenue'!F:F,0)</f>
        <v>0</v>
      </c>
      <c r="Y725" s="11">
        <f t="array" ref="Y725">XLOOKUP(A:A,'Raw Revenue'!G:G,'Raw Revenue'!H:H,0)</f>
        <v>0</v>
      </c>
      <c r="Z725" s="11">
        <f t="array" ref="Z725">XLOOKUP(A:A,'Raw Revenue'!I:I,'Raw Revenue'!J:J,0)</f>
        <v>0</v>
      </c>
      <c r="AA725" s="11">
        <f t="array" ref="AA725">XLOOKUP(A:A,'Raw Revenue'!K:K,'Raw Revenue'!L:L,0)</f>
        <v>0</v>
      </c>
      <c r="AB725" s="11">
        <f t="array" ref="AB725">XLOOKUP(A:A,'Raw Revenue'!M:M,'Raw Revenue'!N:N,0)</f>
        <v>0</v>
      </c>
      <c r="AC725" s="3">
        <v>0.0</v>
      </c>
      <c r="AD725" s="3">
        <v>0.0</v>
      </c>
      <c r="AE725" s="3">
        <v>0.0</v>
      </c>
      <c r="AF725" s="3">
        <v>0.0</v>
      </c>
      <c r="AG725" s="3">
        <v>0.0</v>
      </c>
    </row>
    <row r="726">
      <c r="A726" s="3" t="s">
        <v>1681</v>
      </c>
      <c r="B726" s="3" t="s">
        <v>1682</v>
      </c>
      <c r="C726" s="3" t="str">
        <f t="shared" si="1"/>
        <v>CV. Amanah Sejahtera</v>
      </c>
      <c r="D726" s="3" t="s">
        <v>186</v>
      </c>
      <c r="E726" s="3" t="s">
        <v>85</v>
      </c>
      <c r="F726" s="3" t="s">
        <v>407</v>
      </c>
      <c r="G726" s="3" t="s">
        <v>53</v>
      </c>
      <c r="H726" s="3" t="str">
        <f t="array" ref="H726">XLOOKUP(G:G,'Account Manager Data'!A:A,'Account Manager Data'!B:B,0)</f>
        <v>Fajar Ramadhan</v>
      </c>
      <c r="I726" s="11" t="str">
        <f t="array" ref="I726">XLOOKUP($G:$G,'Account Manager Data'!$A:$A,'Account Manager Data'!C:C)</f>
        <v>Sulawesi</v>
      </c>
      <c r="J726" s="17">
        <v>2510799.0</v>
      </c>
      <c r="K726" s="17">
        <v>8002304.0</v>
      </c>
      <c r="L726" s="17">
        <v>8153779.0</v>
      </c>
      <c r="M726" s="17">
        <v>1505656.0</v>
      </c>
      <c r="N726" s="17">
        <v>2805138.0</v>
      </c>
      <c r="O726" s="17">
        <v>4760253.0</v>
      </c>
      <c r="P726" s="17">
        <v>1.4389714E7</v>
      </c>
      <c r="Q726" s="17">
        <v>8256455.0</v>
      </c>
      <c r="R726" s="17">
        <v>1.6419439E7</v>
      </c>
      <c r="S726" s="17">
        <v>1.6469681E7</v>
      </c>
      <c r="T726" s="17">
        <v>1.0353751E7</v>
      </c>
      <c r="U726" s="17">
        <v>1.2148446E7</v>
      </c>
      <c r="V726" s="11">
        <f t="array" ref="V726">XLOOKUP(A:A,'Raw Revenue'!A:A,'Raw Revenue'!B:B,0)
</f>
        <v>0</v>
      </c>
      <c r="W726" s="11">
        <f t="array" ref="W726">XLOOKUP(A:A,'Raw Revenue'!C:C,'Raw Revenue'!D:D,0)</f>
        <v>0</v>
      </c>
      <c r="X726" s="11">
        <f t="array" ref="X726">XLOOKUP(A:A,'Raw Revenue'!E:E,'Raw Revenue'!F:F,0)</f>
        <v>0</v>
      </c>
      <c r="Y726" s="11">
        <f t="array" ref="Y726">XLOOKUP(A:A,'Raw Revenue'!G:G,'Raw Revenue'!H:H,0)</f>
        <v>0</v>
      </c>
      <c r="Z726" s="11">
        <f t="array" ref="Z726">XLOOKUP(A:A,'Raw Revenue'!I:I,'Raw Revenue'!J:J,0)</f>
        <v>0</v>
      </c>
      <c r="AA726" s="11">
        <f t="array" ref="AA726">XLOOKUP(A:A,'Raw Revenue'!K:K,'Raw Revenue'!L:L,0)</f>
        <v>0</v>
      </c>
      <c r="AB726" s="11">
        <f t="array" ref="AB726">XLOOKUP(A:A,'Raw Revenue'!M:M,'Raw Revenue'!N:N,0)</f>
        <v>0</v>
      </c>
      <c r="AC726" s="3">
        <v>0.0</v>
      </c>
      <c r="AD726" s="3">
        <v>0.0</v>
      </c>
      <c r="AE726" s="3">
        <v>0.0</v>
      </c>
      <c r="AF726" s="3">
        <v>0.0</v>
      </c>
      <c r="AG726" s="3">
        <v>0.0</v>
      </c>
    </row>
    <row r="727">
      <c r="A727" s="3" t="s">
        <v>458</v>
      </c>
      <c r="B727" s="3" t="s">
        <v>1683</v>
      </c>
      <c r="C727" s="3" t="str">
        <f t="shared" si="1"/>
        <v>PT. Digital Solusi Pratama</v>
      </c>
      <c r="D727" s="3" t="s">
        <v>103</v>
      </c>
      <c r="E727" s="3" t="s">
        <v>187</v>
      </c>
      <c r="F727" s="3" t="s">
        <v>188</v>
      </c>
      <c r="G727" s="3" t="s">
        <v>63</v>
      </c>
      <c r="H727" s="3" t="str">
        <f t="array" ref="H727">XLOOKUP(G:G,'Account Manager Data'!A:A,'Account Manager Data'!B:B,0)</f>
        <v>Hendra Gunawan</v>
      </c>
      <c r="I727" s="11" t="str">
        <f t="array" ref="I727">XLOOKUP($G:$G,'Account Manager Data'!$A:$A,'Account Manager Data'!C:C)</f>
        <v>Kalimantan</v>
      </c>
      <c r="J727" s="17">
        <v>1582913.0</v>
      </c>
      <c r="K727" s="17">
        <v>3495361.0</v>
      </c>
      <c r="L727" s="17">
        <v>9741467.0</v>
      </c>
      <c r="M727" s="17">
        <v>1710060.0</v>
      </c>
      <c r="N727" s="17">
        <v>7478756.0</v>
      </c>
      <c r="O727" s="17">
        <v>2398725.0</v>
      </c>
      <c r="P727" s="17">
        <v>2414322.0</v>
      </c>
      <c r="Q727" s="17">
        <v>9027330.0</v>
      </c>
      <c r="R727" s="17">
        <v>1.481836E7</v>
      </c>
      <c r="S727" s="17">
        <v>7516300.0</v>
      </c>
      <c r="T727" s="17">
        <v>1.5564209E7</v>
      </c>
      <c r="U727" s="17">
        <v>1.8936517E7</v>
      </c>
      <c r="V727" s="11">
        <f t="array" ref="V727">XLOOKUP(A:A,'Raw Revenue'!A:A,'Raw Revenue'!B:B,0)
</f>
        <v>9282679.039</v>
      </c>
      <c r="W727" s="11">
        <f t="array" ref="W727">XLOOKUP(A:A,'Raw Revenue'!C:C,'Raw Revenue'!D:D,0)</f>
        <v>9282679.039</v>
      </c>
      <c r="X727" s="11">
        <f t="array" ref="X727">XLOOKUP(A:A,'Raw Revenue'!E:E,'Raw Revenue'!F:F,0)</f>
        <v>18565358.08</v>
      </c>
      <c r="Y727" s="11">
        <f t="array" ref="Y727">XLOOKUP(A:A,'Raw Revenue'!G:G,'Raw Revenue'!H:H,0)</f>
        <v>15161709.1</v>
      </c>
      <c r="Z727" s="11">
        <f t="array" ref="Z727">XLOOKUP(A:A,'Raw Revenue'!I:I,'Raw Revenue'!J:J,0)</f>
        <v>13614595.92</v>
      </c>
      <c r="AA727" s="11">
        <f t="array" ref="AA727">XLOOKUP(A:A,'Raw Revenue'!K:K,'Raw Revenue'!L:L,0)</f>
        <v>34810046.4</v>
      </c>
      <c r="AB727" s="11">
        <f t="array" ref="AB727">XLOOKUP(A:A,'Raw Revenue'!M:M,'Raw Revenue'!N:N,0)</f>
        <v>32025242.69</v>
      </c>
      <c r="AC727" s="3">
        <v>0.0</v>
      </c>
      <c r="AD727" s="3">
        <v>0.0</v>
      </c>
      <c r="AE727" s="3">
        <v>0.0</v>
      </c>
      <c r="AF727" s="3">
        <v>0.0</v>
      </c>
      <c r="AG727" s="3">
        <v>0.0</v>
      </c>
    </row>
    <row r="728">
      <c r="A728" s="3" t="s">
        <v>1684</v>
      </c>
      <c r="B728" s="3" t="s">
        <v>1685</v>
      </c>
      <c r="C728" s="3" t="str">
        <f t="shared" si="1"/>
        <v>PT. Global Niaga Abadi</v>
      </c>
      <c r="D728" s="3" t="s">
        <v>195</v>
      </c>
      <c r="E728" s="3" t="s">
        <v>104</v>
      </c>
      <c r="F728" s="3" t="s">
        <v>134</v>
      </c>
      <c r="G728" s="3" t="s">
        <v>35</v>
      </c>
      <c r="H728" s="3" t="str">
        <f t="array" ref="H728">XLOOKUP(G:G,'Account Manager Data'!A:A,'Account Manager Data'!B:B,0)</f>
        <v>Ahmad Fauzi</v>
      </c>
      <c r="I728" s="11" t="str">
        <f t="array" ref="I728">XLOOKUP($G:$G,'Account Manager Data'!$A:$A,'Account Manager Data'!C:C)</f>
        <v>Sumatera</v>
      </c>
      <c r="J728" s="17">
        <v>717734.0</v>
      </c>
      <c r="K728" s="17">
        <v>5419600.0</v>
      </c>
      <c r="L728" s="17">
        <v>1824004.0</v>
      </c>
      <c r="M728" s="17">
        <v>7456237.0</v>
      </c>
      <c r="N728" s="17">
        <v>4119724.0</v>
      </c>
      <c r="O728" s="17">
        <v>2194681.0</v>
      </c>
      <c r="P728" s="17">
        <v>387211.0</v>
      </c>
      <c r="Q728" s="17">
        <v>2706814.0</v>
      </c>
      <c r="R728" s="17">
        <v>1.0036244E7</v>
      </c>
      <c r="S728" s="17">
        <v>747493.0</v>
      </c>
      <c r="T728" s="17">
        <v>1.6130195E7</v>
      </c>
      <c r="U728" s="17">
        <v>359814.0</v>
      </c>
      <c r="V728" s="11">
        <f t="array" ref="V728">XLOOKUP(A:A,'Raw Revenue'!A:A,'Raw Revenue'!B:B,0)
</f>
        <v>0</v>
      </c>
      <c r="W728" s="11">
        <f t="array" ref="W728">XLOOKUP(A:A,'Raw Revenue'!C:C,'Raw Revenue'!D:D,0)</f>
        <v>0</v>
      </c>
      <c r="X728" s="11">
        <f t="array" ref="X728">XLOOKUP(A:A,'Raw Revenue'!E:E,'Raw Revenue'!F:F,0)</f>
        <v>0</v>
      </c>
      <c r="Y728" s="11">
        <f t="array" ref="Y728">XLOOKUP(A:A,'Raw Revenue'!G:G,'Raw Revenue'!H:H,0)</f>
        <v>0</v>
      </c>
      <c r="Z728" s="11">
        <f t="array" ref="Z728">XLOOKUP(A:A,'Raw Revenue'!I:I,'Raw Revenue'!J:J,0)</f>
        <v>0</v>
      </c>
      <c r="AA728" s="11">
        <f t="array" ref="AA728">XLOOKUP(A:A,'Raw Revenue'!K:K,'Raw Revenue'!L:L,0)</f>
        <v>0</v>
      </c>
      <c r="AB728" s="11">
        <f t="array" ref="AB728">XLOOKUP(A:A,'Raw Revenue'!M:M,'Raw Revenue'!N:N,0)</f>
        <v>0</v>
      </c>
      <c r="AC728" s="3">
        <v>0.0</v>
      </c>
      <c r="AD728" s="3">
        <v>0.0</v>
      </c>
      <c r="AE728" s="3">
        <v>0.0</v>
      </c>
      <c r="AF728" s="3">
        <v>0.0</v>
      </c>
      <c r="AG728" s="3">
        <v>0.0</v>
      </c>
    </row>
    <row r="729">
      <c r="A729" s="3" t="s">
        <v>1686</v>
      </c>
      <c r="B729" s="3" t="s">
        <v>1687</v>
      </c>
      <c r="C729" s="3" t="str">
        <f t="shared" si="1"/>
        <v>PT. Indo Makmur Sentosa</v>
      </c>
      <c r="D729" s="3" t="s">
        <v>195</v>
      </c>
      <c r="E729" s="3" t="s">
        <v>187</v>
      </c>
      <c r="F729" s="3" t="s">
        <v>188</v>
      </c>
      <c r="G729" s="3" t="s">
        <v>74</v>
      </c>
      <c r="H729" s="3" t="str">
        <f t="array" ref="H729">XLOOKUP(G:G,'Account Manager Data'!A:A,'Account Manager Data'!B:B,0)</f>
        <v>Budi Santoso</v>
      </c>
      <c r="I729" s="11" t="str">
        <f t="array" ref="I729">XLOOKUP($G:$G,'Account Manager Data'!$A:$A,'Account Manager Data'!C:C)</f>
        <v>Papua</v>
      </c>
      <c r="J729" s="17">
        <v>1350361.0</v>
      </c>
      <c r="K729" s="17">
        <v>6926858.0</v>
      </c>
      <c r="L729" s="17">
        <v>3927326.0</v>
      </c>
      <c r="M729" s="17">
        <v>243862.0</v>
      </c>
      <c r="N729" s="17">
        <v>3293330.0</v>
      </c>
      <c r="O729" s="17">
        <v>1.0038845E7</v>
      </c>
      <c r="P729" s="17">
        <v>2119283.0</v>
      </c>
      <c r="Q729" s="17">
        <v>1.3034136E7</v>
      </c>
      <c r="R729" s="17">
        <v>398187.0</v>
      </c>
      <c r="S729" s="17">
        <v>0.0</v>
      </c>
      <c r="T729" s="17">
        <v>2914331.0</v>
      </c>
      <c r="U729" s="17">
        <v>357950.0</v>
      </c>
      <c r="V729" s="11">
        <f t="array" ref="V729">XLOOKUP(A:A,'Raw Revenue'!A:A,'Raw Revenue'!B:B,0)
</f>
        <v>0</v>
      </c>
      <c r="W729" s="11">
        <f t="array" ref="W729">XLOOKUP(A:A,'Raw Revenue'!C:C,'Raw Revenue'!D:D,0)</f>
        <v>0</v>
      </c>
      <c r="X729" s="11">
        <f t="array" ref="X729">XLOOKUP(A:A,'Raw Revenue'!E:E,'Raw Revenue'!F:F,0)</f>
        <v>0</v>
      </c>
      <c r="Y729" s="11">
        <f t="array" ref="Y729">XLOOKUP(A:A,'Raw Revenue'!G:G,'Raw Revenue'!H:H,0)</f>
        <v>0</v>
      </c>
      <c r="Z729" s="11">
        <f t="array" ref="Z729">XLOOKUP(A:A,'Raw Revenue'!I:I,'Raw Revenue'!J:J,0)</f>
        <v>0</v>
      </c>
      <c r="AA729" s="11">
        <f t="array" ref="AA729">XLOOKUP(A:A,'Raw Revenue'!K:K,'Raw Revenue'!L:L,0)</f>
        <v>0</v>
      </c>
      <c r="AB729" s="11">
        <f t="array" ref="AB729">XLOOKUP(A:A,'Raw Revenue'!M:M,'Raw Revenue'!N:N,0)</f>
        <v>0</v>
      </c>
      <c r="AC729" s="3">
        <v>0.0</v>
      </c>
      <c r="AD729" s="3">
        <v>0.0</v>
      </c>
      <c r="AE729" s="3">
        <v>0.0</v>
      </c>
      <c r="AF729" s="3">
        <v>0.0</v>
      </c>
      <c r="AG729" s="3">
        <v>0.0</v>
      </c>
    </row>
    <row r="730">
      <c r="A730" s="3" t="s">
        <v>1688</v>
      </c>
      <c r="B730" s="3" t="s">
        <v>1689</v>
      </c>
      <c r="C730" s="3" t="str">
        <f t="shared" si="1"/>
        <v>PT. Citra Mandiri Utama</v>
      </c>
      <c r="D730" s="3" t="s">
        <v>214</v>
      </c>
      <c r="E730" s="3" t="s">
        <v>187</v>
      </c>
      <c r="F730" s="3" t="s">
        <v>295</v>
      </c>
      <c r="G730" s="3" t="s">
        <v>43</v>
      </c>
      <c r="H730" s="3" t="str">
        <f t="array" ref="H730">XLOOKUP(G:G,'Account Manager Data'!A:A,'Account Manager Data'!B:B,0)</f>
        <v>Eko Prasetyo</v>
      </c>
      <c r="I730" s="11" t="str">
        <f t="array" ref="I730">XLOOKUP($G:$G,'Account Manager Data'!$A:$A,'Account Manager Data'!C:C)</f>
        <v>Papua</v>
      </c>
      <c r="J730" s="17">
        <v>2743625.0</v>
      </c>
      <c r="K730" s="17">
        <v>229230.0</v>
      </c>
      <c r="L730" s="17">
        <v>2082550.0</v>
      </c>
      <c r="M730" s="17">
        <v>5260139.0</v>
      </c>
      <c r="N730" s="17">
        <v>0.0</v>
      </c>
      <c r="O730" s="17">
        <v>1.3539894E7</v>
      </c>
      <c r="P730" s="17">
        <v>1699092.0</v>
      </c>
      <c r="Q730" s="17">
        <v>1.2703822E7</v>
      </c>
      <c r="R730" s="17">
        <v>1.2334946E7</v>
      </c>
      <c r="S730" s="17">
        <v>0.0</v>
      </c>
      <c r="T730" s="17">
        <v>1.8476856E7</v>
      </c>
      <c r="U730" s="17">
        <v>1.8827698E7</v>
      </c>
      <c r="V730" s="11">
        <f t="array" ref="V730">XLOOKUP(A:A,'Raw Revenue'!A:A,'Raw Revenue'!B:B,0)
</f>
        <v>0</v>
      </c>
      <c r="W730" s="11">
        <f t="array" ref="W730">XLOOKUP(A:A,'Raw Revenue'!C:C,'Raw Revenue'!D:D,0)</f>
        <v>0</v>
      </c>
      <c r="X730" s="11">
        <f t="array" ref="X730">XLOOKUP(A:A,'Raw Revenue'!E:E,'Raw Revenue'!F:F,0)</f>
        <v>0</v>
      </c>
      <c r="Y730" s="11">
        <f t="array" ref="Y730">XLOOKUP(A:A,'Raw Revenue'!G:G,'Raw Revenue'!H:H,0)</f>
        <v>0</v>
      </c>
      <c r="Z730" s="11">
        <f t="array" ref="Z730">XLOOKUP(A:A,'Raw Revenue'!I:I,'Raw Revenue'!J:J,0)</f>
        <v>0</v>
      </c>
      <c r="AA730" s="11">
        <f t="array" ref="AA730">XLOOKUP(A:A,'Raw Revenue'!K:K,'Raw Revenue'!L:L,0)</f>
        <v>0</v>
      </c>
      <c r="AB730" s="11">
        <f t="array" ref="AB730">XLOOKUP(A:A,'Raw Revenue'!M:M,'Raw Revenue'!N:N,0)</f>
        <v>0</v>
      </c>
      <c r="AC730" s="3">
        <v>0.0</v>
      </c>
      <c r="AD730" s="3">
        <v>0.0</v>
      </c>
      <c r="AE730" s="3">
        <v>0.0</v>
      </c>
      <c r="AF730" s="3">
        <v>0.0</v>
      </c>
      <c r="AG730" s="3">
        <v>0.0</v>
      </c>
    </row>
    <row r="731">
      <c r="A731" s="3" t="s">
        <v>1690</v>
      </c>
      <c r="B731" s="3" t="s">
        <v>1691</v>
      </c>
      <c r="C731" s="3" t="str">
        <f t="shared" si="1"/>
        <v>PT. Sinar Dunia Baru</v>
      </c>
      <c r="D731" s="3" t="s">
        <v>130</v>
      </c>
      <c r="E731" s="3" t="s">
        <v>85</v>
      </c>
      <c r="F731" s="3" t="s">
        <v>248</v>
      </c>
      <c r="G731" s="3" t="s">
        <v>76</v>
      </c>
      <c r="H731" s="3" t="str">
        <f t="array" ref="H731">XLOOKUP(G:G,'Account Manager Data'!A:A,'Account Manager Data'!B:B,0)</f>
        <v>Teguh Wijaya</v>
      </c>
      <c r="I731" s="11" t="str">
        <f t="array" ref="I731">XLOOKUP($G:$G,'Account Manager Data'!$A:$A,'Account Manager Data'!C:C)</f>
        <v>Sulawesi</v>
      </c>
      <c r="J731" s="17">
        <v>2391206.0</v>
      </c>
      <c r="K731" s="17">
        <v>3298860.0</v>
      </c>
      <c r="L731" s="17">
        <v>4645418.0</v>
      </c>
      <c r="M731" s="17">
        <v>3095694.0</v>
      </c>
      <c r="N731" s="17">
        <v>1.0355904E7</v>
      </c>
      <c r="O731" s="17">
        <v>1796653.0</v>
      </c>
      <c r="P731" s="17">
        <v>1822265.0</v>
      </c>
      <c r="Q731" s="17">
        <v>1.3851125E7</v>
      </c>
      <c r="R731" s="17">
        <v>6061974.0</v>
      </c>
      <c r="S731" s="17">
        <v>6614703.0</v>
      </c>
      <c r="T731" s="17">
        <v>0.0</v>
      </c>
      <c r="U731" s="17">
        <v>3699555.0</v>
      </c>
      <c r="V731" s="11">
        <f t="array" ref="V731">XLOOKUP(A:A,'Raw Revenue'!A:A,'Raw Revenue'!B:B,0)
</f>
        <v>0</v>
      </c>
      <c r="W731" s="11">
        <f t="array" ref="W731">XLOOKUP(A:A,'Raw Revenue'!C:C,'Raw Revenue'!D:D,0)</f>
        <v>0</v>
      </c>
      <c r="X731" s="11">
        <f t="array" ref="X731">XLOOKUP(A:A,'Raw Revenue'!E:E,'Raw Revenue'!F:F,0)</f>
        <v>0</v>
      </c>
      <c r="Y731" s="11">
        <f t="array" ref="Y731">XLOOKUP(A:A,'Raw Revenue'!G:G,'Raw Revenue'!H:H,0)</f>
        <v>0</v>
      </c>
      <c r="Z731" s="11">
        <f t="array" ref="Z731">XLOOKUP(A:A,'Raw Revenue'!I:I,'Raw Revenue'!J:J,0)</f>
        <v>0</v>
      </c>
      <c r="AA731" s="11">
        <f t="array" ref="AA731">XLOOKUP(A:A,'Raw Revenue'!K:K,'Raw Revenue'!L:L,0)</f>
        <v>0</v>
      </c>
      <c r="AB731" s="11">
        <f t="array" ref="AB731">XLOOKUP(A:A,'Raw Revenue'!M:M,'Raw Revenue'!N:N,0)</f>
        <v>0</v>
      </c>
      <c r="AC731" s="3">
        <v>0.0</v>
      </c>
      <c r="AD731" s="3">
        <v>0.0</v>
      </c>
      <c r="AE731" s="3">
        <v>0.0</v>
      </c>
      <c r="AF731" s="3">
        <v>0.0</v>
      </c>
      <c r="AG731" s="3">
        <v>0.0</v>
      </c>
    </row>
    <row r="732">
      <c r="A732" s="3" t="s">
        <v>1692</v>
      </c>
      <c r="B732" s="3" t="s">
        <v>1693</v>
      </c>
      <c r="C732" s="3" t="str">
        <f t="shared" si="1"/>
        <v>CV. Karya Utama Mandiri</v>
      </c>
      <c r="D732" s="3" t="s">
        <v>214</v>
      </c>
      <c r="E732" s="3" t="s">
        <v>215</v>
      </c>
      <c r="F732" s="3" t="s">
        <v>227</v>
      </c>
      <c r="G732" s="3" t="s">
        <v>70</v>
      </c>
      <c r="H732" s="3" t="str">
        <f t="array" ref="H732">XLOOKUP(G:G,'Account Manager Data'!A:A,'Account Manager Data'!B:B,0)</f>
        <v>Yusuf Hidayat</v>
      </c>
      <c r="I732" s="11" t="str">
        <f t="array" ref="I732">XLOOKUP($G:$G,'Account Manager Data'!$A:$A,'Account Manager Data'!C:C)</f>
        <v>Sumatera</v>
      </c>
      <c r="J732" s="17">
        <v>4523514.0</v>
      </c>
      <c r="K732" s="17">
        <v>6410323.0</v>
      </c>
      <c r="L732" s="17">
        <v>7218523.0</v>
      </c>
      <c r="M732" s="17">
        <v>900157.0</v>
      </c>
      <c r="N732" s="17">
        <v>1.3454935E7</v>
      </c>
      <c r="O732" s="17">
        <v>9101009.0</v>
      </c>
      <c r="P732" s="17">
        <v>1.0429083E7</v>
      </c>
      <c r="Q732" s="17">
        <v>1.0922768E7</v>
      </c>
      <c r="R732" s="17">
        <v>1.445485E7</v>
      </c>
      <c r="S732" s="17">
        <v>1.0157576E7</v>
      </c>
      <c r="T732" s="17">
        <v>4924935.0</v>
      </c>
      <c r="U732" s="17">
        <v>1.17587E7</v>
      </c>
      <c r="V732" s="11">
        <f t="array" ref="V732">XLOOKUP(A:A,'Raw Revenue'!A:A,'Raw Revenue'!B:B,0)
</f>
        <v>0</v>
      </c>
      <c r="W732" s="11">
        <f t="array" ref="W732">XLOOKUP(A:A,'Raw Revenue'!C:C,'Raw Revenue'!D:D,0)</f>
        <v>0</v>
      </c>
      <c r="X732" s="11">
        <f t="array" ref="X732">XLOOKUP(A:A,'Raw Revenue'!E:E,'Raw Revenue'!F:F,0)</f>
        <v>0</v>
      </c>
      <c r="Y732" s="11">
        <f t="array" ref="Y732">XLOOKUP(A:A,'Raw Revenue'!G:G,'Raw Revenue'!H:H,0)</f>
        <v>0</v>
      </c>
      <c r="Z732" s="11">
        <f t="array" ref="Z732">XLOOKUP(A:A,'Raw Revenue'!I:I,'Raw Revenue'!J:J,0)</f>
        <v>0</v>
      </c>
      <c r="AA732" s="11">
        <f t="array" ref="AA732">XLOOKUP(A:A,'Raw Revenue'!K:K,'Raw Revenue'!L:L,0)</f>
        <v>0</v>
      </c>
      <c r="AB732" s="11">
        <f t="array" ref="AB732">XLOOKUP(A:A,'Raw Revenue'!M:M,'Raw Revenue'!N:N,0)</f>
        <v>0</v>
      </c>
      <c r="AC732" s="3">
        <v>0.0</v>
      </c>
      <c r="AD732" s="3">
        <v>0.0</v>
      </c>
      <c r="AE732" s="3">
        <v>0.0</v>
      </c>
      <c r="AF732" s="3">
        <v>0.0</v>
      </c>
      <c r="AG732" s="3">
        <v>0.0</v>
      </c>
    </row>
    <row r="733">
      <c r="A733" s="3" t="s">
        <v>1694</v>
      </c>
      <c r="B733" s="3" t="s">
        <v>1695</v>
      </c>
      <c r="C733" s="3" t="str">
        <f t="shared" si="1"/>
        <v>PT. Pratama Jaya Sentosa</v>
      </c>
      <c r="D733" s="3" t="s">
        <v>186</v>
      </c>
      <c r="E733" s="3" t="s">
        <v>215</v>
      </c>
      <c r="F733" s="3" t="s">
        <v>300</v>
      </c>
      <c r="G733" s="3" t="s">
        <v>15</v>
      </c>
      <c r="H733" s="3" t="str">
        <f t="array" ref="H733">XLOOKUP(G:G,'Account Manager Data'!A:A,'Account Manager Data'!B:B,0)</f>
        <v>Rizky Maulana</v>
      </c>
      <c r="I733" s="11" t="str">
        <f t="array" ref="I733">XLOOKUP($G:$G,'Account Manager Data'!$A:$A,'Account Manager Data'!C:C)</f>
        <v>Jawa</v>
      </c>
      <c r="J733" s="17">
        <v>3866385.0</v>
      </c>
      <c r="K733" s="17">
        <v>6549078.0</v>
      </c>
      <c r="L733" s="17">
        <v>8959169.0</v>
      </c>
      <c r="M733" s="17">
        <v>1.188925E7</v>
      </c>
      <c r="N733" s="17">
        <v>5337288.0</v>
      </c>
      <c r="O733" s="17">
        <v>1698004.0</v>
      </c>
      <c r="P733" s="17">
        <v>5982429.0</v>
      </c>
      <c r="Q733" s="17">
        <v>2483608.0</v>
      </c>
      <c r="R733" s="17">
        <v>3425123.0</v>
      </c>
      <c r="S733" s="17">
        <v>1.0171251E7</v>
      </c>
      <c r="T733" s="17">
        <v>1896392.0</v>
      </c>
      <c r="U733" s="17">
        <v>9322649.0</v>
      </c>
      <c r="V733" s="11">
        <f t="array" ref="V733">XLOOKUP(A:A,'Raw Revenue'!A:A,'Raw Revenue'!B:B,0)
</f>
        <v>0</v>
      </c>
      <c r="W733" s="11">
        <f t="array" ref="W733">XLOOKUP(A:A,'Raw Revenue'!C:C,'Raw Revenue'!D:D,0)</f>
        <v>0</v>
      </c>
      <c r="X733" s="11">
        <f t="array" ref="X733">XLOOKUP(A:A,'Raw Revenue'!E:E,'Raw Revenue'!F:F,0)</f>
        <v>0</v>
      </c>
      <c r="Y733" s="11">
        <f t="array" ref="Y733">XLOOKUP(A:A,'Raw Revenue'!G:G,'Raw Revenue'!H:H,0)</f>
        <v>0</v>
      </c>
      <c r="Z733" s="11">
        <f t="array" ref="Z733">XLOOKUP(A:A,'Raw Revenue'!I:I,'Raw Revenue'!J:J,0)</f>
        <v>0</v>
      </c>
      <c r="AA733" s="11">
        <f t="array" ref="AA733">XLOOKUP(A:A,'Raw Revenue'!K:K,'Raw Revenue'!L:L,0)</f>
        <v>0</v>
      </c>
      <c r="AB733" s="11">
        <f t="array" ref="AB733">XLOOKUP(A:A,'Raw Revenue'!M:M,'Raw Revenue'!N:N,0)</f>
        <v>0</v>
      </c>
      <c r="AC733" s="3">
        <v>0.0</v>
      </c>
      <c r="AD733" s="3">
        <v>0.0</v>
      </c>
      <c r="AE733" s="3">
        <v>0.0</v>
      </c>
      <c r="AF733" s="3">
        <v>0.0</v>
      </c>
      <c r="AG733" s="3">
        <v>0.0</v>
      </c>
    </row>
    <row r="734">
      <c r="A734" s="3" t="s">
        <v>308</v>
      </c>
      <c r="B734" s="3" t="s">
        <v>1696</v>
      </c>
      <c r="C734" s="3" t="str">
        <f t="shared" si="1"/>
        <v>PT. Abadi Selamanya Jaya</v>
      </c>
      <c r="D734" s="3" t="s">
        <v>103</v>
      </c>
      <c r="E734" s="3" t="s">
        <v>104</v>
      </c>
      <c r="F734" s="3" t="s">
        <v>105</v>
      </c>
      <c r="G734" s="3" t="s">
        <v>53</v>
      </c>
      <c r="H734" s="3" t="str">
        <f t="array" ref="H734">XLOOKUP(G:G,'Account Manager Data'!A:A,'Account Manager Data'!B:B,0)</f>
        <v>Fajar Ramadhan</v>
      </c>
      <c r="I734" s="11" t="str">
        <f t="array" ref="I734">XLOOKUP($G:$G,'Account Manager Data'!$A:$A,'Account Manager Data'!C:C)</f>
        <v>Sulawesi</v>
      </c>
      <c r="J734" s="17">
        <v>5469079.0</v>
      </c>
      <c r="K734" s="17">
        <v>6267632.0</v>
      </c>
      <c r="L734" s="17">
        <v>6241033.0</v>
      </c>
      <c r="M734" s="17">
        <v>102964.0</v>
      </c>
      <c r="N734" s="17">
        <v>1.019267E7</v>
      </c>
      <c r="O734" s="17">
        <v>1.3614947E7</v>
      </c>
      <c r="P734" s="17">
        <v>7092996.0</v>
      </c>
      <c r="Q734" s="17">
        <v>1570393.0</v>
      </c>
      <c r="R734" s="17">
        <v>7476797.0</v>
      </c>
      <c r="S734" s="17">
        <v>4372614.0</v>
      </c>
      <c r="T734" s="17">
        <v>4286618.0</v>
      </c>
      <c r="U734" s="17">
        <v>270823.0</v>
      </c>
      <c r="V734" s="11">
        <f t="array" ref="V734">XLOOKUP(A:A,'Raw Revenue'!A:A,'Raw Revenue'!B:B,0)
</f>
        <v>2227842.969</v>
      </c>
      <c r="W734" s="11">
        <f t="array" ref="W734">XLOOKUP(A:A,'Raw Revenue'!C:C,'Raw Revenue'!D:D,0)</f>
        <v>2227842.969</v>
      </c>
      <c r="X734" s="11">
        <f t="array" ref="X734">XLOOKUP(A:A,'Raw Revenue'!E:E,'Raw Revenue'!F:F,0)</f>
        <v>4455685.939</v>
      </c>
      <c r="Y734" s="11">
        <f t="array" ref="Y734">XLOOKUP(A:A,'Raw Revenue'!G:G,'Raw Revenue'!H:H,0)</f>
        <v>3638810.183</v>
      </c>
      <c r="Z734" s="11">
        <f t="array" ref="Z734">XLOOKUP(A:A,'Raw Revenue'!I:I,'Raw Revenue'!J:J,0)</f>
        <v>3267503.022</v>
      </c>
      <c r="AA734" s="11">
        <f t="array" ref="AA734">XLOOKUP(A:A,'Raw Revenue'!K:K,'Raw Revenue'!L:L,0)</f>
        <v>8354411.135</v>
      </c>
      <c r="AB734" s="11">
        <f t="array" ref="AB734">XLOOKUP(A:A,'Raw Revenue'!M:M,'Raw Revenue'!N:N,0)</f>
        <v>7686058.244</v>
      </c>
      <c r="AC734" s="3">
        <v>0.0</v>
      </c>
      <c r="AD734" s="3">
        <v>0.0</v>
      </c>
      <c r="AE734" s="3">
        <v>0.0</v>
      </c>
      <c r="AF734" s="3">
        <v>0.0</v>
      </c>
      <c r="AG734" s="3">
        <v>0.0</v>
      </c>
    </row>
    <row r="735">
      <c r="A735" s="3" t="s">
        <v>1697</v>
      </c>
      <c r="B735" s="3" t="s">
        <v>1698</v>
      </c>
      <c r="C735" s="3" t="str">
        <f t="shared" si="1"/>
        <v>PT. Mandiri Sejahtera Bersama</v>
      </c>
      <c r="D735" s="3" t="s">
        <v>214</v>
      </c>
      <c r="E735" s="3" t="s">
        <v>187</v>
      </c>
      <c r="F735" s="3" t="s">
        <v>295</v>
      </c>
      <c r="G735" s="3" t="s">
        <v>27</v>
      </c>
      <c r="H735" s="3" t="str">
        <f t="array" ref="H735">XLOOKUP(G:G,'Account Manager Data'!A:A,'Account Manager Data'!B:B,0)</f>
        <v>Dedi Kurniawan</v>
      </c>
      <c r="I735" s="11" t="str">
        <f t="array" ref="I735">XLOOKUP($G:$G,'Account Manager Data'!$A:$A,'Account Manager Data'!C:C)</f>
        <v>Kalimantan</v>
      </c>
      <c r="J735" s="17">
        <v>3860954.0</v>
      </c>
      <c r="K735" s="17">
        <v>5854018.0</v>
      </c>
      <c r="L735" s="17">
        <v>2016291.0</v>
      </c>
      <c r="M735" s="17">
        <v>0.0</v>
      </c>
      <c r="N735" s="17">
        <v>1.2357595E7</v>
      </c>
      <c r="O735" s="17">
        <v>1761830.0</v>
      </c>
      <c r="P735" s="17">
        <v>1192143.0</v>
      </c>
      <c r="Q735" s="17">
        <v>1.1137576E7</v>
      </c>
      <c r="R735" s="17">
        <v>3812533.0</v>
      </c>
      <c r="S735" s="17">
        <v>770210.0</v>
      </c>
      <c r="T735" s="17">
        <v>1616670.0</v>
      </c>
      <c r="U735" s="17">
        <v>1.9294378E7</v>
      </c>
      <c r="V735" s="11">
        <f t="array" ref="V735">XLOOKUP(A:A,'Raw Revenue'!A:A,'Raw Revenue'!B:B,0)
</f>
        <v>0</v>
      </c>
      <c r="W735" s="11">
        <f t="array" ref="W735">XLOOKUP(A:A,'Raw Revenue'!C:C,'Raw Revenue'!D:D,0)</f>
        <v>0</v>
      </c>
      <c r="X735" s="11">
        <f t="array" ref="X735">XLOOKUP(A:A,'Raw Revenue'!E:E,'Raw Revenue'!F:F,0)</f>
        <v>0</v>
      </c>
      <c r="Y735" s="11">
        <f t="array" ref="Y735">XLOOKUP(A:A,'Raw Revenue'!G:G,'Raw Revenue'!H:H,0)</f>
        <v>0</v>
      </c>
      <c r="Z735" s="11">
        <f t="array" ref="Z735">XLOOKUP(A:A,'Raw Revenue'!I:I,'Raw Revenue'!J:J,0)</f>
        <v>0</v>
      </c>
      <c r="AA735" s="11">
        <f t="array" ref="AA735">XLOOKUP(A:A,'Raw Revenue'!K:K,'Raw Revenue'!L:L,0)</f>
        <v>0</v>
      </c>
      <c r="AB735" s="11">
        <f t="array" ref="AB735">XLOOKUP(A:A,'Raw Revenue'!M:M,'Raw Revenue'!N:N,0)</f>
        <v>0</v>
      </c>
      <c r="AC735" s="3">
        <v>0.0</v>
      </c>
      <c r="AD735" s="3">
        <v>0.0</v>
      </c>
      <c r="AE735" s="3">
        <v>0.0</v>
      </c>
      <c r="AF735" s="3">
        <v>0.0</v>
      </c>
      <c r="AG735" s="3">
        <v>0.0</v>
      </c>
    </row>
    <row r="736">
      <c r="A736" s="3" t="s">
        <v>1699</v>
      </c>
      <c r="B736" s="3" t="s">
        <v>1700</v>
      </c>
      <c r="C736" s="3" t="str">
        <f t="shared" si="1"/>
        <v>PT. Sejahtera Alam Indonesia</v>
      </c>
      <c r="D736" s="3" t="s">
        <v>214</v>
      </c>
      <c r="E736" s="3" t="s">
        <v>196</v>
      </c>
      <c r="F736" s="3" t="s">
        <v>197</v>
      </c>
      <c r="G736" s="3" t="s">
        <v>78</v>
      </c>
      <c r="H736" s="3" t="str">
        <f t="array" ref="H736">XLOOKUP(G:G,'Account Manager Data'!A:A,'Account Manager Data'!B:B,0)</f>
        <v>Ilham Saputra</v>
      </c>
      <c r="I736" s="11" t="str">
        <f t="array" ref="I736">XLOOKUP($G:$G,'Account Manager Data'!$A:$A,'Account Manager Data'!C:C)</f>
        <v>Jawa</v>
      </c>
      <c r="J736" s="17">
        <v>2330784.0</v>
      </c>
      <c r="K736" s="17">
        <v>2872205.0</v>
      </c>
      <c r="L736" s="17">
        <v>7730979.0</v>
      </c>
      <c r="M736" s="17">
        <v>7188432.0</v>
      </c>
      <c r="N736" s="17">
        <v>8006803.0</v>
      </c>
      <c r="O736" s="17">
        <v>5267408.0</v>
      </c>
      <c r="P736" s="17">
        <v>1.1873863E7</v>
      </c>
      <c r="Q736" s="17">
        <v>5624240.0</v>
      </c>
      <c r="R736" s="17">
        <v>8931229.0</v>
      </c>
      <c r="S736" s="17">
        <v>2504005.0</v>
      </c>
      <c r="T736" s="17">
        <v>6375836.0</v>
      </c>
      <c r="U736" s="17">
        <v>7355356.0</v>
      </c>
      <c r="V736" s="11">
        <f t="array" ref="V736">XLOOKUP(A:A,'Raw Revenue'!A:A,'Raw Revenue'!B:B,0)
</f>
        <v>0</v>
      </c>
      <c r="W736" s="11">
        <f t="array" ref="W736">XLOOKUP(A:A,'Raw Revenue'!C:C,'Raw Revenue'!D:D,0)</f>
        <v>0</v>
      </c>
      <c r="X736" s="11">
        <f t="array" ref="X736">XLOOKUP(A:A,'Raw Revenue'!E:E,'Raw Revenue'!F:F,0)</f>
        <v>0</v>
      </c>
      <c r="Y736" s="11">
        <f t="array" ref="Y736">XLOOKUP(A:A,'Raw Revenue'!G:G,'Raw Revenue'!H:H,0)</f>
        <v>0</v>
      </c>
      <c r="Z736" s="11">
        <f t="array" ref="Z736">XLOOKUP(A:A,'Raw Revenue'!I:I,'Raw Revenue'!J:J,0)</f>
        <v>0</v>
      </c>
      <c r="AA736" s="11">
        <f t="array" ref="AA736">XLOOKUP(A:A,'Raw Revenue'!K:K,'Raw Revenue'!L:L,0)</f>
        <v>0</v>
      </c>
      <c r="AB736" s="11">
        <f t="array" ref="AB736">XLOOKUP(A:A,'Raw Revenue'!M:M,'Raw Revenue'!N:N,0)</f>
        <v>0</v>
      </c>
      <c r="AC736" s="3">
        <v>0.0</v>
      </c>
      <c r="AD736" s="3">
        <v>0.0</v>
      </c>
      <c r="AE736" s="3">
        <v>0.0</v>
      </c>
      <c r="AF736" s="3">
        <v>0.0</v>
      </c>
      <c r="AG736" s="3">
        <v>0.0</v>
      </c>
    </row>
    <row r="737">
      <c r="A737" s="3" t="s">
        <v>1701</v>
      </c>
      <c r="B737" s="3" t="s">
        <v>1702</v>
      </c>
      <c r="C737" s="3" t="str">
        <f t="shared" si="1"/>
        <v>PT. Indah Kargo Logistik</v>
      </c>
      <c r="D737" s="3" t="s">
        <v>84</v>
      </c>
      <c r="E737" s="3" t="s">
        <v>215</v>
      </c>
      <c r="F737" s="3" t="s">
        <v>227</v>
      </c>
      <c r="G737" s="3" t="s">
        <v>63</v>
      </c>
      <c r="H737" s="3" t="str">
        <f t="array" ref="H737">XLOOKUP(G:G,'Account Manager Data'!A:A,'Account Manager Data'!B:B,0)</f>
        <v>Hendra Gunawan</v>
      </c>
      <c r="I737" s="11" t="str">
        <f t="array" ref="I737">XLOOKUP($G:$G,'Account Manager Data'!$A:$A,'Account Manager Data'!C:C)</f>
        <v>Kalimantan</v>
      </c>
      <c r="J737" s="17">
        <v>49213.0</v>
      </c>
      <c r="K737" s="17">
        <v>6349589.0</v>
      </c>
      <c r="L737" s="17">
        <v>532285.0</v>
      </c>
      <c r="M737" s="17">
        <v>7128348.0</v>
      </c>
      <c r="N737" s="17">
        <v>4161807.0</v>
      </c>
      <c r="O737" s="17">
        <v>4878774.0</v>
      </c>
      <c r="P737" s="17">
        <v>843881.0</v>
      </c>
      <c r="Q737" s="17">
        <v>1514582.0</v>
      </c>
      <c r="R737" s="17">
        <v>1.7253305E7</v>
      </c>
      <c r="S737" s="17">
        <v>8371144.0</v>
      </c>
      <c r="T737" s="17">
        <v>1.3781565E7</v>
      </c>
      <c r="U737" s="17">
        <v>1.3192506E7</v>
      </c>
      <c r="V737" s="11">
        <f t="array" ref="V737">XLOOKUP(A:A,'Raw Revenue'!A:A,'Raw Revenue'!B:B,0)
</f>
        <v>0</v>
      </c>
      <c r="W737" s="11">
        <f t="array" ref="W737">XLOOKUP(A:A,'Raw Revenue'!C:C,'Raw Revenue'!D:D,0)</f>
        <v>0</v>
      </c>
      <c r="X737" s="11">
        <f t="array" ref="X737">XLOOKUP(A:A,'Raw Revenue'!E:E,'Raw Revenue'!F:F,0)</f>
        <v>0</v>
      </c>
      <c r="Y737" s="11">
        <f t="array" ref="Y737">XLOOKUP(A:A,'Raw Revenue'!G:G,'Raw Revenue'!H:H,0)</f>
        <v>0</v>
      </c>
      <c r="Z737" s="11">
        <f t="array" ref="Z737">XLOOKUP(A:A,'Raw Revenue'!I:I,'Raw Revenue'!J:J,0)</f>
        <v>0</v>
      </c>
      <c r="AA737" s="11">
        <f t="array" ref="AA737">XLOOKUP(A:A,'Raw Revenue'!K:K,'Raw Revenue'!L:L,0)</f>
        <v>0</v>
      </c>
      <c r="AB737" s="11">
        <f t="array" ref="AB737">XLOOKUP(A:A,'Raw Revenue'!M:M,'Raw Revenue'!N:N,0)</f>
        <v>0</v>
      </c>
      <c r="AC737" s="3">
        <v>0.0</v>
      </c>
      <c r="AD737" s="3">
        <v>0.0</v>
      </c>
      <c r="AE737" s="3">
        <v>0.0</v>
      </c>
      <c r="AF737" s="3">
        <v>0.0</v>
      </c>
      <c r="AG737" s="3">
        <v>0.0</v>
      </c>
    </row>
    <row r="738">
      <c r="A738" s="3" t="s">
        <v>1703</v>
      </c>
      <c r="B738" s="3" t="s">
        <v>1704</v>
      </c>
      <c r="C738" s="3" t="str">
        <f t="shared" si="1"/>
        <v>PT. Berkah Alam Semesta</v>
      </c>
      <c r="D738" s="3" t="s">
        <v>195</v>
      </c>
      <c r="E738" s="3" t="s">
        <v>85</v>
      </c>
      <c r="F738" s="3" t="s">
        <v>407</v>
      </c>
      <c r="G738" s="3" t="s">
        <v>35</v>
      </c>
      <c r="H738" s="3" t="str">
        <f t="array" ref="H738">XLOOKUP(G:G,'Account Manager Data'!A:A,'Account Manager Data'!B:B,0)</f>
        <v>Ahmad Fauzi</v>
      </c>
      <c r="I738" s="11" t="str">
        <f t="array" ref="I738">XLOOKUP($G:$G,'Account Manager Data'!$A:$A,'Account Manager Data'!C:C)</f>
        <v>Sumatera</v>
      </c>
      <c r="J738" s="17">
        <v>1929276.0</v>
      </c>
      <c r="K738" s="17">
        <v>8877539.0</v>
      </c>
      <c r="L738" s="17">
        <v>1166143.0</v>
      </c>
      <c r="M738" s="17">
        <v>877478.0</v>
      </c>
      <c r="N738" s="17">
        <v>0.0</v>
      </c>
      <c r="O738" s="17">
        <v>0.0</v>
      </c>
      <c r="P738" s="17">
        <v>0.0</v>
      </c>
      <c r="Q738" s="17">
        <v>4096890.0</v>
      </c>
      <c r="R738" s="17">
        <v>119516.0</v>
      </c>
      <c r="S738" s="17">
        <v>1.3619725E7</v>
      </c>
      <c r="T738" s="17">
        <v>0.0</v>
      </c>
      <c r="U738" s="17">
        <v>0.0</v>
      </c>
      <c r="V738" s="11">
        <f t="array" ref="V738">XLOOKUP(A:A,'Raw Revenue'!A:A,'Raw Revenue'!B:B,0)
</f>
        <v>0</v>
      </c>
      <c r="W738" s="11">
        <f t="array" ref="W738">XLOOKUP(A:A,'Raw Revenue'!C:C,'Raw Revenue'!D:D,0)</f>
        <v>0</v>
      </c>
      <c r="X738" s="11">
        <f t="array" ref="X738">XLOOKUP(A:A,'Raw Revenue'!E:E,'Raw Revenue'!F:F,0)</f>
        <v>0</v>
      </c>
      <c r="Y738" s="11">
        <f t="array" ref="Y738">XLOOKUP(A:A,'Raw Revenue'!G:G,'Raw Revenue'!H:H,0)</f>
        <v>0</v>
      </c>
      <c r="Z738" s="11">
        <f t="array" ref="Z738">XLOOKUP(A:A,'Raw Revenue'!I:I,'Raw Revenue'!J:J,0)</f>
        <v>0</v>
      </c>
      <c r="AA738" s="11">
        <f t="array" ref="AA738">XLOOKUP(A:A,'Raw Revenue'!K:K,'Raw Revenue'!L:L,0)</f>
        <v>0</v>
      </c>
      <c r="AB738" s="11">
        <f t="array" ref="AB738">XLOOKUP(A:A,'Raw Revenue'!M:M,'Raw Revenue'!N:N,0)</f>
        <v>0</v>
      </c>
      <c r="AC738" s="3">
        <v>0.0</v>
      </c>
      <c r="AD738" s="3">
        <v>0.0</v>
      </c>
      <c r="AE738" s="3">
        <v>0.0</v>
      </c>
      <c r="AF738" s="3">
        <v>0.0</v>
      </c>
      <c r="AG738" s="3">
        <v>0.0</v>
      </c>
    </row>
    <row r="739">
      <c r="A739" s="3" t="s">
        <v>1705</v>
      </c>
      <c r="B739" s="3" t="s">
        <v>1706</v>
      </c>
      <c r="C739" s="3" t="str">
        <f t="shared" si="1"/>
        <v>PT. Cahaya Baru Indonesia</v>
      </c>
      <c r="D739" s="3" t="s">
        <v>84</v>
      </c>
      <c r="E739" s="3" t="s">
        <v>187</v>
      </c>
      <c r="F739" s="3" t="s">
        <v>269</v>
      </c>
      <c r="G739" s="3" t="s">
        <v>43</v>
      </c>
      <c r="H739" s="3" t="str">
        <f t="array" ref="H739">XLOOKUP(G:G,'Account Manager Data'!A:A,'Account Manager Data'!B:B,0)</f>
        <v>Eko Prasetyo</v>
      </c>
      <c r="I739" s="11" t="str">
        <f t="array" ref="I739">XLOOKUP($G:$G,'Account Manager Data'!$A:$A,'Account Manager Data'!C:C)</f>
        <v>Papua</v>
      </c>
      <c r="J739" s="17">
        <v>954834.0</v>
      </c>
      <c r="K739" s="17">
        <v>4741369.0</v>
      </c>
      <c r="L739" s="17">
        <v>4662616.0</v>
      </c>
      <c r="M739" s="17">
        <v>3139580.0</v>
      </c>
      <c r="N739" s="17">
        <v>5163757.0</v>
      </c>
      <c r="O739" s="17">
        <v>7702072.0</v>
      </c>
      <c r="P739" s="17">
        <v>5582990.0</v>
      </c>
      <c r="Q739" s="17">
        <v>573992.0</v>
      </c>
      <c r="R739" s="17">
        <v>3725845.0</v>
      </c>
      <c r="S739" s="17">
        <v>3983954.0</v>
      </c>
      <c r="T739" s="17">
        <v>8700365.0</v>
      </c>
      <c r="U739" s="17">
        <v>1.6616898E7</v>
      </c>
      <c r="V739" s="11">
        <f t="array" ref="V739">XLOOKUP(A:A,'Raw Revenue'!A:A,'Raw Revenue'!B:B,0)
</f>
        <v>0</v>
      </c>
      <c r="W739" s="11">
        <f t="array" ref="W739">XLOOKUP(A:A,'Raw Revenue'!C:C,'Raw Revenue'!D:D,0)</f>
        <v>0</v>
      </c>
      <c r="X739" s="11">
        <f t="array" ref="X739">XLOOKUP(A:A,'Raw Revenue'!E:E,'Raw Revenue'!F:F,0)</f>
        <v>0</v>
      </c>
      <c r="Y739" s="11">
        <f t="array" ref="Y739">XLOOKUP(A:A,'Raw Revenue'!G:G,'Raw Revenue'!H:H,0)</f>
        <v>0</v>
      </c>
      <c r="Z739" s="11">
        <f t="array" ref="Z739">XLOOKUP(A:A,'Raw Revenue'!I:I,'Raw Revenue'!J:J,0)</f>
        <v>0</v>
      </c>
      <c r="AA739" s="11">
        <f t="array" ref="AA739">XLOOKUP(A:A,'Raw Revenue'!K:K,'Raw Revenue'!L:L,0)</f>
        <v>0</v>
      </c>
      <c r="AB739" s="11">
        <f t="array" ref="AB739">XLOOKUP(A:A,'Raw Revenue'!M:M,'Raw Revenue'!N:N,0)</f>
        <v>0</v>
      </c>
      <c r="AC739" s="3">
        <v>0.0</v>
      </c>
      <c r="AD739" s="3">
        <v>0.0</v>
      </c>
      <c r="AE739" s="3">
        <v>0.0</v>
      </c>
      <c r="AF739" s="3">
        <v>0.0</v>
      </c>
      <c r="AG739" s="3">
        <v>0.0</v>
      </c>
    </row>
    <row r="740">
      <c r="A740" s="3" t="s">
        <v>1707</v>
      </c>
      <c r="B740" s="3" t="s">
        <v>1708</v>
      </c>
      <c r="C740" s="3" t="str">
        <f t="shared" si="1"/>
        <v>PT. Mentari Pagi Sejahtera</v>
      </c>
      <c r="D740" s="3" t="s">
        <v>130</v>
      </c>
      <c r="E740" s="3" t="s">
        <v>215</v>
      </c>
      <c r="F740" s="3" t="s">
        <v>300</v>
      </c>
      <c r="G740" s="3" t="s">
        <v>74</v>
      </c>
      <c r="H740" s="3" t="str">
        <f t="array" ref="H740">XLOOKUP(G:G,'Account Manager Data'!A:A,'Account Manager Data'!B:B,0)</f>
        <v>Budi Santoso</v>
      </c>
      <c r="I740" s="11" t="str">
        <f t="array" ref="I740">XLOOKUP($G:$G,'Account Manager Data'!$A:$A,'Account Manager Data'!C:C)</f>
        <v>Papua</v>
      </c>
      <c r="J740" s="17">
        <v>4680497.0</v>
      </c>
      <c r="K740" s="17">
        <v>2759073.0</v>
      </c>
      <c r="L740" s="17">
        <v>3133621.0</v>
      </c>
      <c r="M740" s="17">
        <v>5264615.0</v>
      </c>
      <c r="N740" s="17">
        <v>8459065.0</v>
      </c>
      <c r="O740" s="17">
        <v>7887902.0</v>
      </c>
      <c r="P740" s="17">
        <v>1.3603582E7</v>
      </c>
      <c r="Q740" s="17">
        <v>1.4851468E7</v>
      </c>
      <c r="R740" s="17">
        <v>5184472.0</v>
      </c>
      <c r="S740" s="17">
        <v>1.4178738E7</v>
      </c>
      <c r="T740" s="17">
        <v>1.1411597E7</v>
      </c>
      <c r="U740" s="17">
        <v>9154003.0</v>
      </c>
      <c r="V740" s="11">
        <f t="array" ref="V740">XLOOKUP(A:A,'Raw Revenue'!A:A,'Raw Revenue'!B:B,0)
</f>
        <v>0</v>
      </c>
      <c r="W740" s="11">
        <f t="array" ref="W740">XLOOKUP(A:A,'Raw Revenue'!C:C,'Raw Revenue'!D:D,0)</f>
        <v>0</v>
      </c>
      <c r="X740" s="11">
        <f t="array" ref="X740">XLOOKUP(A:A,'Raw Revenue'!E:E,'Raw Revenue'!F:F,0)</f>
        <v>0</v>
      </c>
      <c r="Y740" s="11">
        <f t="array" ref="Y740">XLOOKUP(A:A,'Raw Revenue'!G:G,'Raw Revenue'!H:H,0)</f>
        <v>0</v>
      </c>
      <c r="Z740" s="11">
        <f t="array" ref="Z740">XLOOKUP(A:A,'Raw Revenue'!I:I,'Raw Revenue'!J:J,0)</f>
        <v>0</v>
      </c>
      <c r="AA740" s="11">
        <f t="array" ref="AA740">XLOOKUP(A:A,'Raw Revenue'!K:K,'Raw Revenue'!L:L,0)</f>
        <v>0</v>
      </c>
      <c r="AB740" s="11">
        <f t="array" ref="AB740">XLOOKUP(A:A,'Raw Revenue'!M:M,'Raw Revenue'!N:N,0)</f>
        <v>0</v>
      </c>
      <c r="AC740" s="3">
        <v>0.0</v>
      </c>
      <c r="AD740" s="3">
        <v>0.0</v>
      </c>
      <c r="AE740" s="3">
        <v>0.0</v>
      </c>
      <c r="AF740" s="3">
        <v>0.0</v>
      </c>
      <c r="AG740" s="3">
        <v>0.0</v>
      </c>
    </row>
    <row r="741">
      <c r="A741" s="3" t="s">
        <v>1709</v>
      </c>
      <c r="B741" s="3" t="s">
        <v>1710</v>
      </c>
      <c r="C741" s="3" t="str">
        <f t="shared" si="1"/>
        <v>PT. Bintang Kejora Nusantara</v>
      </c>
      <c r="D741" s="3" t="s">
        <v>130</v>
      </c>
      <c r="E741" s="3" t="s">
        <v>187</v>
      </c>
      <c r="F741" s="3" t="s">
        <v>269</v>
      </c>
      <c r="G741" s="3" t="s">
        <v>76</v>
      </c>
      <c r="H741" s="3" t="str">
        <f t="array" ref="H741">XLOOKUP(G:G,'Account Manager Data'!A:A,'Account Manager Data'!B:B,0)</f>
        <v>Teguh Wijaya</v>
      </c>
      <c r="I741" s="11" t="str">
        <f t="array" ref="I741">XLOOKUP($G:$G,'Account Manager Data'!$A:$A,'Account Manager Data'!C:C)</f>
        <v>Sulawesi</v>
      </c>
      <c r="J741" s="17">
        <v>1121561.0</v>
      </c>
      <c r="K741" s="17">
        <v>7680452.0</v>
      </c>
      <c r="L741" s="17">
        <v>1582365.0</v>
      </c>
      <c r="M741" s="17">
        <v>9487637.0</v>
      </c>
      <c r="N741" s="17">
        <v>0.0</v>
      </c>
      <c r="O741" s="17">
        <v>1245896.0</v>
      </c>
      <c r="P741" s="17">
        <v>0.0</v>
      </c>
      <c r="Q741" s="17">
        <v>9983135.0</v>
      </c>
      <c r="R741" s="17">
        <v>4590984.0</v>
      </c>
      <c r="S741" s="17">
        <v>8091865.0</v>
      </c>
      <c r="T741" s="17">
        <v>0.0</v>
      </c>
      <c r="U741" s="17">
        <v>3989435.0</v>
      </c>
      <c r="V741" s="11">
        <f t="array" ref="V741">XLOOKUP(A:A,'Raw Revenue'!A:A,'Raw Revenue'!B:B,0)
</f>
        <v>0</v>
      </c>
      <c r="W741" s="11">
        <f t="array" ref="W741">XLOOKUP(A:A,'Raw Revenue'!C:C,'Raw Revenue'!D:D,0)</f>
        <v>0</v>
      </c>
      <c r="X741" s="11">
        <f t="array" ref="X741">XLOOKUP(A:A,'Raw Revenue'!E:E,'Raw Revenue'!F:F,0)</f>
        <v>0</v>
      </c>
      <c r="Y741" s="11">
        <f t="array" ref="Y741">XLOOKUP(A:A,'Raw Revenue'!G:G,'Raw Revenue'!H:H,0)</f>
        <v>0</v>
      </c>
      <c r="Z741" s="11">
        <f t="array" ref="Z741">XLOOKUP(A:A,'Raw Revenue'!I:I,'Raw Revenue'!J:J,0)</f>
        <v>0</v>
      </c>
      <c r="AA741" s="11">
        <f t="array" ref="AA741">XLOOKUP(A:A,'Raw Revenue'!K:K,'Raw Revenue'!L:L,0)</f>
        <v>0</v>
      </c>
      <c r="AB741" s="11">
        <f t="array" ref="AB741">XLOOKUP(A:A,'Raw Revenue'!M:M,'Raw Revenue'!N:N,0)</f>
        <v>0</v>
      </c>
      <c r="AC741" s="3">
        <v>0.0</v>
      </c>
      <c r="AD741" s="3">
        <v>0.0</v>
      </c>
      <c r="AE741" s="3">
        <v>0.0</v>
      </c>
      <c r="AF741" s="3">
        <v>0.0</v>
      </c>
      <c r="AG741" s="3">
        <v>0.0</v>
      </c>
    </row>
    <row r="742">
      <c r="A742" s="3" t="s">
        <v>1711</v>
      </c>
      <c r="B742" s="3" t="s">
        <v>1712</v>
      </c>
      <c r="C742" s="3" t="str">
        <f t="shared" si="1"/>
        <v>PT. Maju Jaya</v>
      </c>
      <c r="D742" s="3" t="s">
        <v>84</v>
      </c>
      <c r="E742" s="3" t="s">
        <v>85</v>
      </c>
      <c r="F742" s="3" t="s">
        <v>407</v>
      </c>
      <c r="G742" s="3" t="s">
        <v>70</v>
      </c>
      <c r="H742" s="3" t="str">
        <f t="array" ref="H742">XLOOKUP(G:G,'Account Manager Data'!A:A,'Account Manager Data'!B:B,0)</f>
        <v>Yusuf Hidayat</v>
      </c>
      <c r="I742" s="11" t="str">
        <f t="array" ref="I742">XLOOKUP($G:$G,'Account Manager Data'!$A:$A,'Account Manager Data'!C:C)</f>
        <v>Sumatera</v>
      </c>
      <c r="J742" s="17">
        <v>4246210.0</v>
      </c>
      <c r="K742" s="17">
        <v>2526992.0</v>
      </c>
      <c r="L742" s="17">
        <v>8210584.0</v>
      </c>
      <c r="M742" s="17">
        <v>1.049439E7</v>
      </c>
      <c r="N742" s="17">
        <v>2002978.0</v>
      </c>
      <c r="O742" s="17">
        <v>3164241.0</v>
      </c>
      <c r="P742" s="17">
        <v>3960374.0</v>
      </c>
      <c r="Q742" s="17">
        <v>0.0</v>
      </c>
      <c r="R742" s="17">
        <v>247728.0</v>
      </c>
      <c r="S742" s="17">
        <v>8819224.0</v>
      </c>
      <c r="T742" s="17">
        <v>1.8815846E7</v>
      </c>
      <c r="U742" s="17">
        <v>7020012.0</v>
      </c>
      <c r="V742" s="11">
        <f t="array" ref="V742">XLOOKUP(A:A,'Raw Revenue'!A:A,'Raw Revenue'!B:B,0)
</f>
        <v>0</v>
      </c>
      <c r="W742" s="11">
        <f t="array" ref="W742">XLOOKUP(A:A,'Raw Revenue'!C:C,'Raw Revenue'!D:D,0)</f>
        <v>0</v>
      </c>
      <c r="X742" s="11">
        <f t="array" ref="X742">XLOOKUP(A:A,'Raw Revenue'!E:E,'Raw Revenue'!F:F,0)</f>
        <v>0</v>
      </c>
      <c r="Y742" s="11">
        <f t="array" ref="Y742">XLOOKUP(A:A,'Raw Revenue'!G:G,'Raw Revenue'!H:H,0)</f>
        <v>0</v>
      </c>
      <c r="Z742" s="11">
        <f t="array" ref="Z742">XLOOKUP(A:A,'Raw Revenue'!I:I,'Raw Revenue'!J:J,0)</f>
        <v>0</v>
      </c>
      <c r="AA742" s="11">
        <f t="array" ref="AA742">XLOOKUP(A:A,'Raw Revenue'!K:K,'Raw Revenue'!L:L,0)</f>
        <v>0</v>
      </c>
      <c r="AB742" s="11">
        <f t="array" ref="AB742">XLOOKUP(A:A,'Raw Revenue'!M:M,'Raw Revenue'!N:N,0)</f>
        <v>0</v>
      </c>
      <c r="AC742" s="3">
        <v>0.0</v>
      </c>
      <c r="AD742" s="3">
        <v>0.0</v>
      </c>
      <c r="AE742" s="3">
        <v>0.0</v>
      </c>
      <c r="AF742" s="3">
        <v>0.0</v>
      </c>
      <c r="AG742" s="3">
        <v>0.0</v>
      </c>
    </row>
    <row r="743">
      <c r="A743" s="3" t="s">
        <v>1713</v>
      </c>
      <c r="B743" s="3" t="s">
        <v>1714</v>
      </c>
      <c r="C743" s="3" t="str">
        <f t="shared" si="1"/>
        <v>CV. Sumber Makmur</v>
      </c>
      <c r="D743" s="3" t="s">
        <v>195</v>
      </c>
      <c r="E743" s="3" t="s">
        <v>85</v>
      </c>
      <c r="F743" s="3" t="s">
        <v>86</v>
      </c>
      <c r="G743" s="3" t="s">
        <v>15</v>
      </c>
      <c r="H743" s="3" t="str">
        <f t="array" ref="H743">XLOOKUP(G:G,'Account Manager Data'!A:A,'Account Manager Data'!B:B,0)</f>
        <v>Rizky Maulana</v>
      </c>
      <c r="I743" s="11" t="str">
        <f t="array" ref="I743">XLOOKUP($G:$G,'Account Manager Data'!$A:$A,'Account Manager Data'!C:C)</f>
        <v>Jawa</v>
      </c>
      <c r="J743" s="17">
        <v>6330532.0</v>
      </c>
      <c r="K743" s="17">
        <v>8255510.0</v>
      </c>
      <c r="L743" s="17">
        <v>9330733.0</v>
      </c>
      <c r="M743" s="17">
        <v>1.0172735E7</v>
      </c>
      <c r="N743" s="17">
        <v>1.0504168E7</v>
      </c>
      <c r="O743" s="17">
        <v>3159771.0</v>
      </c>
      <c r="P743" s="17">
        <v>1.4808999E7</v>
      </c>
      <c r="Q743" s="17">
        <v>1.5086029E7</v>
      </c>
      <c r="R743" s="17">
        <v>1.007299E7</v>
      </c>
      <c r="S743" s="17">
        <v>5810397.0</v>
      </c>
      <c r="T743" s="17">
        <v>3145930.0</v>
      </c>
      <c r="U743" s="17">
        <v>1.183603E7</v>
      </c>
      <c r="V743" s="11">
        <f t="array" ref="V743">XLOOKUP(A:A,'Raw Revenue'!A:A,'Raw Revenue'!B:B,0)
</f>
        <v>0</v>
      </c>
      <c r="W743" s="11">
        <f t="array" ref="W743">XLOOKUP(A:A,'Raw Revenue'!C:C,'Raw Revenue'!D:D,0)</f>
        <v>0</v>
      </c>
      <c r="X743" s="11">
        <f t="array" ref="X743">XLOOKUP(A:A,'Raw Revenue'!E:E,'Raw Revenue'!F:F,0)</f>
        <v>0</v>
      </c>
      <c r="Y743" s="11">
        <f t="array" ref="Y743">XLOOKUP(A:A,'Raw Revenue'!G:G,'Raw Revenue'!H:H,0)</f>
        <v>0</v>
      </c>
      <c r="Z743" s="11">
        <f t="array" ref="Z743">XLOOKUP(A:A,'Raw Revenue'!I:I,'Raw Revenue'!J:J,0)</f>
        <v>0</v>
      </c>
      <c r="AA743" s="11">
        <f t="array" ref="AA743">XLOOKUP(A:A,'Raw Revenue'!K:K,'Raw Revenue'!L:L,0)</f>
        <v>0</v>
      </c>
      <c r="AB743" s="11">
        <f t="array" ref="AB743">XLOOKUP(A:A,'Raw Revenue'!M:M,'Raw Revenue'!N:N,0)</f>
        <v>0</v>
      </c>
      <c r="AC743" s="3">
        <v>0.0</v>
      </c>
      <c r="AD743" s="3">
        <v>0.0</v>
      </c>
      <c r="AE743" s="3">
        <v>0.0</v>
      </c>
      <c r="AF743" s="3">
        <v>0.0</v>
      </c>
      <c r="AG743" s="3">
        <v>0.0</v>
      </c>
    </row>
    <row r="744">
      <c r="A744" s="3" t="s">
        <v>1715</v>
      </c>
      <c r="B744" s="3" t="s">
        <v>1716</v>
      </c>
      <c r="C744" s="3" t="str">
        <f t="shared" si="1"/>
        <v>PT. Teknologi Nusantara</v>
      </c>
      <c r="D744" s="3" t="s">
        <v>195</v>
      </c>
      <c r="E744" s="3" t="s">
        <v>196</v>
      </c>
      <c r="F744" s="3" t="s">
        <v>315</v>
      </c>
      <c r="G744" s="3" t="s">
        <v>27</v>
      </c>
      <c r="H744" s="3" t="str">
        <f t="array" ref="H744">XLOOKUP(G:G,'Account Manager Data'!A:A,'Account Manager Data'!B:B,0)</f>
        <v>Dedi Kurniawan</v>
      </c>
      <c r="I744" s="11" t="str">
        <f t="array" ref="I744">XLOOKUP($G:$G,'Account Manager Data'!$A:$A,'Account Manager Data'!C:C)</f>
        <v>Kalimantan</v>
      </c>
      <c r="J744" s="17">
        <v>2507986.0</v>
      </c>
      <c r="K744" s="17">
        <v>6225930.0</v>
      </c>
      <c r="L744" s="17">
        <v>3620816.0</v>
      </c>
      <c r="M744" s="17">
        <v>0.0</v>
      </c>
      <c r="N744" s="17">
        <v>9239280.0</v>
      </c>
      <c r="O744" s="17">
        <v>7487569.0</v>
      </c>
      <c r="P744" s="17">
        <v>103525.0</v>
      </c>
      <c r="Q744" s="17">
        <v>5810694.0</v>
      </c>
      <c r="R744" s="17">
        <v>7502587.0</v>
      </c>
      <c r="S744" s="17">
        <v>1.5164502E7</v>
      </c>
      <c r="T744" s="17">
        <v>1.556735E7</v>
      </c>
      <c r="U744" s="17">
        <v>1.3694544E7</v>
      </c>
      <c r="V744" s="11">
        <f t="array" ref="V744">XLOOKUP(A:A,'Raw Revenue'!A:A,'Raw Revenue'!B:B,0)
</f>
        <v>0</v>
      </c>
      <c r="W744" s="11">
        <f t="array" ref="W744">XLOOKUP(A:A,'Raw Revenue'!C:C,'Raw Revenue'!D:D,0)</f>
        <v>0</v>
      </c>
      <c r="X744" s="11">
        <f t="array" ref="X744">XLOOKUP(A:A,'Raw Revenue'!E:E,'Raw Revenue'!F:F,0)</f>
        <v>0</v>
      </c>
      <c r="Y744" s="11">
        <f t="array" ref="Y744">XLOOKUP(A:A,'Raw Revenue'!G:G,'Raw Revenue'!H:H,0)</f>
        <v>0</v>
      </c>
      <c r="Z744" s="11">
        <f t="array" ref="Z744">XLOOKUP(A:A,'Raw Revenue'!I:I,'Raw Revenue'!J:J,0)</f>
        <v>0</v>
      </c>
      <c r="AA744" s="11">
        <f t="array" ref="AA744">XLOOKUP(A:A,'Raw Revenue'!K:K,'Raw Revenue'!L:L,0)</f>
        <v>0</v>
      </c>
      <c r="AB744" s="11">
        <f t="array" ref="AB744">XLOOKUP(A:A,'Raw Revenue'!M:M,'Raw Revenue'!N:N,0)</f>
        <v>0</v>
      </c>
      <c r="AC744" s="3">
        <v>0.0</v>
      </c>
      <c r="AD744" s="3">
        <v>0.0</v>
      </c>
      <c r="AE744" s="3">
        <v>0.0</v>
      </c>
      <c r="AF744" s="3">
        <v>0.0</v>
      </c>
      <c r="AG744" s="3">
        <v>0.0</v>
      </c>
    </row>
    <row r="745">
      <c r="A745" s="3" t="s">
        <v>1717</v>
      </c>
      <c r="B745" s="3" t="s">
        <v>1718</v>
      </c>
      <c r="C745" s="3" t="str">
        <f t="shared" si="1"/>
        <v>PT. Bakti Indonesia</v>
      </c>
      <c r="D745" s="3" t="s">
        <v>84</v>
      </c>
      <c r="E745" s="3" t="s">
        <v>215</v>
      </c>
      <c r="F745" s="3" t="s">
        <v>300</v>
      </c>
      <c r="G745" s="3" t="s">
        <v>78</v>
      </c>
      <c r="H745" s="3" t="str">
        <f t="array" ref="H745">XLOOKUP(G:G,'Account Manager Data'!A:A,'Account Manager Data'!B:B,0)</f>
        <v>Ilham Saputra</v>
      </c>
      <c r="I745" s="11" t="str">
        <f t="array" ref="I745">XLOOKUP($G:$G,'Account Manager Data'!$A:$A,'Account Manager Data'!C:C)</f>
        <v>Jawa</v>
      </c>
      <c r="J745" s="17">
        <v>4606467.0</v>
      </c>
      <c r="K745" s="17">
        <v>728668.0</v>
      </c>
      <c r="L745" s="17">
        <v>1810996.0</v>
      </c>
      <c r="M745" s="17">
        <v>6614121.0</v>
      </c>
      <c r="N745" s="17">
        <v>945015.0</v>
      </c>
      <c r="O745" s="17">
        <v>3559991.0</v>
      </c>
      <c r="P745" s="17">
        <v>1.0913988E7</v>
      </c>
      <c r="Q745" s="17">
        <v>1141448.0</v>
      </c>
      <c r="R745" s="17">
        <v>1.5759891E7</v>
      </c>
      <c r="S745" s="17">
        <v>0.0</v>
      </c>
      <c r="T745" s="17">
        <v>3040761.0</v>
      </c>
      <c r="U745" s="17">
        <v>5638908.0</v>
      </c>
      <c r="V745" s="11">
        <f t="array" ref="V745">XLOOKUP(A:A,'Raw Revenue'!A:A,'Raw Revenue'!B:B,0)
</f>
        <v>0</v>
      </c>
      <c r="W745" s="11">
        <f t="array" ref="W745">XLOOKUP(A:A,'Raw Revenue'!C:C,'Raw Revenue'!D:D,0)</f>
        <v>0</v>
      </c>
      <c r="X745" s="11">
        <f t="array" ref="X745">XLOOKUP(A:A,'Raw Revenue'!E:E,'Raw Revenue'!F:F,0)</f>
        <v>0</v>
      </c>
      <c r="Y745" s="11">
        <f t="array" ref="Y745">XLOOKUP(A:A,'Raw Revenue'!G:G,'Raw Revenue'!H:H,0)</f>
        <v>0</v>
      </c>
      <c r="Z745" s="11">
        <f t="array" ref="Z745">XLOOKUP(A:A,'Raw Revenue'!I:I,'Raw Revenue'!J:J,0)</f>
        <v>0</v>
      </c>
      <c r="AA745" s="11">
        <f t="array" ref="AA745">XLOOKUP(A:A,'Raw Revenue'!K:K,'Raw Revenue'!L:L,0)</f>
        <v>0</v>
      </c>
      <c r="AB745" s="11">
        <f t="array" ref="AB745">XLOOKUP(A:A,'Raw Revenue'!M:M,'Raw Revenue'!N:N,0)</f>
        <v>0</v>
      </c>
      <c r="AC745" s="3">
        <v>0.0</v>
      </c>
      <c r="AD745" s="3">
        <v>0.0</v>
      </c>
      <c r="AE745" s="3">
        <v>0.0</v>
      </c>
      <c r="AF745" s="3">
        <v>0.0</v>
      </c>
      <c r="AG745" s="3">
        <v>0.0</v>
      </c>
    </row>
    <row r="746">
      <c r="A746" s="3" t="s">
        <v>1719</v>
      </c>
      <c r="B746" s="3" t="s">
        <v>1720</v>
      </c>
      <c r="C746" s="3" t="str">
        <f t="shared" si="1"/>
        <v>CV. Amanah Sejahtera</v>
      </c>
      <c r="D746" s="3" t="s">
        <v>130</v>
      </c>
      <c r="E746" s="3" t="s">
        <v>104</v>
      </c>
      <c r="F746" s="3" t="s">
        <v>105</v>
      </c>
      <c r="G746" s="3" t="s">
        <v>53</v>
      </c>
      <c r="H746" s="3" t="str">
        <f t="array" ref="H746">XLOOKUP(G:G,'Account Manager Data'!A:A,'Account Manager Data'!B:B,0)</f>
        <v>Fajar Ramadhan</v>
      </c>
      <c r="I746" s="11" t="str">
        <f t="array" ref="I746">XLOOKUP($G:$G,'Account Manager Data'!$A:$A,'Account Manager Data'!C:C)</f>
        <v>Sulawesi</v>
      </c>
      <c r="J746" s="17">
        <v>327097.0</v>
      </c>
      <c r="K746" s="17">
        <v>5611226.0</v>
      </c>
      <c r="L746" s="17">
        <v>7249529.0</v>
      </c>
      <c r="M746" s="17">
        <v>1213531.0</v>
      </c>
      <c r="N746" s="17">
        <v>2431725.0</v>
      </c>
      <c r="O746" s="17">
        <v>6251352.0</v>
      </c>
      <c r="P746" s="17">
        <v>8102427.0</v>
      </c>
      <c r="Q746" s="17">
        <v>1.1287811E7</v>
      </c>
      <c r="R746" s="17">
        <v>1.0316506E7</v>
      </c>
      <c r="S746" s="17">
        <v>0.0</v>
      </c>
      <c r="T746" s="17">
        <v>3262431.0</v>
      </c>
      <c r="U746" s="17">
        <v>1.1297587E7</v>
      </c>
      <c r="V746" s="11">
        <f t="array" ref="V746">XLOOKUP(A:A,'Raw Revenue'!A:A,'Raw Revenue'!B:B,0)
</f>
        <v>0</v>
      </c>
      <c r="W746" s="11">
        <f t="array" ref="W746">XLOOKUP(A:A,'Raw Revenue'!C:C,'Raw Revenue'!D:D,0)</f>
        <v>0</v>
      </c>
      <c r="X746" s="11">
        <f t="array" ref="X746">XLOOKUP(A:A,'Raw Revenue'!E:E,'Raw Revenue'!F:F,0)</f>
        <v>0</v>
      </c>
      <c r="Y746" s="11">
        <f t="array" ref="Y746">XLOOKUP(A:A,'Raw Revenue'!G:G,'Raw Revenue'!H:H,0)</f>
        <v>0</v>
      </c>
      <c r="Z746" s="11">
        <f t="array" ref="Z746">XLOOKUP(A:A,'Raw Revenue'!I:I,'Raw Revenue'!J:J,0)</f>
        <v>0</v>
      </c>
      <c r="AA746" s="11">
        <f t="array" ref="AA746">XLOOKUP(A:A,'Raw Revenue'!K:K,'Raw Revenue'!L:L,0)</f>
        <v>0</v>
      </c>
      <c r="AB746" s="11">
        <f t="array" ref="AB746">XLOOKUP(A:A,'Raw Revenue'!M:M,'Raw Revenue'!N:N,0)</f>
        <v>0</v>
      </c>
      <c r="AC746" s="3">
        <v>0.0</v>
      </c>
      <c r="AD746" s="3">
        <v>0.0</v>
      </c>
      <c r="AE746" s="3">
        <v>0.0</v>
      </c>
      <c r="AF746" s="3">
        <v>0.0</v>
      </c>
      <c r="AG746" s="3">
        <v>0.0</v>
      </c>
    </row>
    <row r="747">
      <c r="A747" s="3" t="s">
        <v>1721</v>
      </c>
      <c r="B747" s="3" t="s">
        <v>1722</v>
      </c>
      <c r="C747" s="3" t="str">
        <f t="shared" si="1"/>
        <v>PT. Digital Solusi Pratama</v>
      </c>
      <c r="D747" s="3" t="s">
        <v>186</v>
      </c>
      <c r="E747" s="3" t="s">
        <v>215</v>
      </c>
      <c r="F747" s="3" t="s">
        <v>300</v>
      </c>
      <c r="G747" s="3" t="s">
        <v>63</v>
      </c>
      <c r="H747" s="3" t="str">
        <f t="array" ref="H747">XLOOKUP(G:G,'Account Manager Data'!A:A,'Account Manager Data'!B:B,0)</f>
        <v>Hendra Gunawan</v>
      </c>
      <c r="I747" s="11" t="str">
        <f t="array" ref="I747">XLOOKUP($G:$G,'Account Manager Data'!$A:$A,'Account Manager Data'!C:C)</f>
        <v>Kalimantan</v>
      </c>
      <c r="J747" s="17">
        <v>8003996.0</v>
      </c>
      <c r="K747" s="17">
        <v>2048614.0</v>
      </c>
      <c r="L747" s="17">
        <v>9858878.0</v>
      </c>
      <c r="M747" s="17">
        <v>8554373.0</v>
      </c>
      <c r="N747" s="17">
        <v>612636.0</v>
      </c>
      <c r="O747" s="17">
        <v>3104219.0</v>
      </c>
      <c r="P747" s="17">
        <v>242726.0</v>
      </c>
      <c r="Q747" s="17">
        <v>1.4980067E7</v>
      </c>
      <c r="R747" s="17">
        <v>1.6584339E7</v>
      </c>
      <c r="S747" s="17">
        <v>1.5516713E7</v>
      </c>
      <c r="T747" s="17">
        <v>903927.0</v>
      </c>
      <c r="U747" s="17">
        <v>0.0</v>
      </c>
      <c r="V747" s="11">
        <f t="array" ref="V747">XLOOKUP(A:A,'Raw Revenue'!A:A,'Raw Revenue'!B:B,0)
</f>
        <v>0</v>
      </c>
      <c r="W747" s="11">
        <f t="array" ref="W747">XLOOKUP(A:A,'Raw Revenue'!C:C,'Raw Revenue'!D:D,0)</f>
        <v>0</v>
      </c>
      <c r="X747" s="11">
        <f t="array" ref="X747">XLOOKUP(A:A,'Raw Revenue'!E:E,'Raw Revenue'!F:F,0)</f>
        <v>0</v>
      </c>
      <c r="Y747" s="11">
        <f t="array" ref="Y747">XLOOKUP(A:A,'Raw Revenue'!G:G,'Raw Revenue'!H:H,0)</f>
        <v>0</v>
      </c>
      <c r="Z747" s="11">
        <f t="array" ref="Z747">XLOOKUP(A:A,'Raw Revenue'!I:I,'Raw Revenue'!J:J,0)</f>
        <v>0</v>
      </c>
      <c r="AA747" s="11">
        <f t="array" ref="AA747">XLOOKUP(A:A,'Raw Revenue'!K:K,'Raw Revenue'!L:L,0)</f>
        <v>0</v>
      </c>
      <c r="AB747" s="11">
        <f t="array" ref="AB747">XLOOKUP(A:A,'Raw Revenue'!M:M,'Raw Revenue'!N:N,0)</f>
        <v>0</v>
      </c>
      <c r="AC747" s="3">
        <v>0.0</v>
      </c>
      <c r="AD747" s="3">
        <v>0.0</v>
      </c>
      <c r="AE747" s="3">
        <v>0.0</v>
      </c>
      <c r="AF747" s="3">
        <v>0.0</v>
      </c>
      <c r="AG747" s="3">
        <v>0.0</v>
      </c>
    </row>
    <row r="748">
      <c r="A748" s="3" t="s">
        <v>1723</v>
      </c>
      <c r="B748" s="3" t="s">
        <v>1724</v>
      </c>
      <c r="C748" s="3" t="str">
        <f t="shared" si="1"/>
        <v>PT. Global Niaga Abadi</v>
      </c>
      <c r="D748" s="3" t="s">
        <v>84</v>
      </c>
      <c r="E748" s="3" t="s">
        <v>215</v>
      </c>
      <c r="F748" s="3" t="s">
        <v>300</v>
      </c>
      <c r="G748" s="3" t="s">
        <v>35</v>
      </c>
      <c r="H748" s="3" t="str">
        <f t="array" ref="H748">XLOOKUP(G:G,'Account Manager Data'!A:A,'Account Manager Data'!B:B,0)</f>
        <v>Ahmad Fauzi</v>
      </c>
      <c r="I748" s="11" t="str">
        <f t="array" ref="I748">XLOOKUP($G:$G,'Account Manager Data'!$A:$A,'Account Manager Data'!C:C)</f>
        <v>Sumatera</v>
      </c>
      <c r="J748" s="17">
        <v>0.0</v>
      </c>
      <c r="K748" s="17">
        <v>5504485.0</v>
      </c>
      <c r="L748" s="17">
        <v>9682186.0</v>
      </c>
      <c r="M748" s="17">
        <v>9108620.0</v>
      </c>
      <c r="N748" s="17">
        <v>0.0</v>
      </c>
      <c r="O748" s="17">
        <v>5313538.0</v>
      </c>
      <c r="P748" s="17">
        <v>1.3471026E7</v>
      </c>
      <c r="Q748" s="17">
        <v>5601417.0</v>
      </c>
      <c r="R748" s="17">
        <v>6022385.0</v>
      </c>
      <c r="S748" s="17">
        <v>2191209.0</v>
      </c>
      <c r="T748" s="17">
        <v>1.8642967E7</v>
      </c>
      <c r="U748" s="17">
        <v>5193357.0</v>
      </c>
      <c r="V748" s="11">
        <f t="array" ref="V748">XLOOKUP(A:A,'Raw Revenue'!A:A,'Raw Revenue'!B:B,0)
</f>
        <v>0</v>
      </c>
      <c r="W748" s="11">
        <f t="array" ref="W748">XLOOKUP(A:A,'Raw Revenue'!C:C,'Raw Revenue'!D:D,0)</f>
        <v>0</v>
      </c>
      <c r="X748" s="11">
        <f t="array" ref="X748">XLOOKUP(A:A,'Raw Revenue'!E:E,'Raw Revenue'!F:F,0)</f>
        <v>0</v>
      </c>
      <c r="Y748" s="11">
        <f t="array" ref="Y748">XLOOKUP(A:A,'Raw Revenue'!G:G,'Raw Revenue'!H:H,0)</f>
        <v>0</v>
      </c>
      <c r="Z748" s="11">
        <f t="array" ref="Z748">XLOOKUP(A:A,'Raw Revenue'!I:I,'Raw Revenue'!J:J,0)</f>
        <v>0</v>
      </c>
      <c r="AA748" s="11">
        <f t="array" ref="AA748">XLOOKUP(A:A,'Raw Revenue'!K:K,'Raw Revenue'!L:L,0)</f>
        <v>0</v>
      </c>
      <c r="AB748" s="11">
        <f t="array" ref="AB748">XLOOKUP(A:A,'Raw Revenue'!M:M,'Raw Revenue'!N:N,0)</f>
        <v>0</v>
      </c>
      <c r="AC748" s="3">
        <v>0.0</v>
      </c>
      <c r="AD748" s="3">
        <v>0.0</v>
      </c>
      <c r="AE748" s="3">
        <v>0.0</v>
      </c>
      <c r="AF748" s="3">
        <v>0.0</v>
      </c>
      <c r="AG748" s="3">
        <v>0.0</v>
      </c>
    </row>
    <row r="749">
      <c r="A749" s="3" t="s">
        <v>1725</v>
      </c>
      <c r="B749" s="3" t="s">
        <v>1726</v>
      </c>
      <c r="C749" s="3" t="str">
        <f t="shared" si="1"/>
        <v>PT. Indo Makmur Sentosa</v>
      </c>
      <c r="D749" s="3" t="s">
        <v>130</v>
      </c>
      <c r="E749" s="3" t="s">
        <v>104</v>
      </c>
      <c r="F749" s="3" t="s">
        <v>134</v>
      </c>
      <c r="G749" s="3" t="s">
        <v>74</v>
      </c>
      <c r="H749" s="3" t="str">
        <f t="array" ref="H749">XLOOKUP(G:G,'Account Manager Data'!A:A,'Account Manager Data'!B:B,0)</f>
        <v>Budi Santoso</v>
      </c>
      <c r="I749" s="11" t="str">
        <f t="array" ref="I749">XLOOKUP($G:$G,'Account Manager Data'!$A:$A,'Account Manager Data'!C:C)</f>
        <v>Papua</v>
      </c>
      <c r="J749" s="17">
        <v>7004028.0</v>
      </c>
      <c r="K749" s="17">
        <v>504921.0</v>
      </c>
      <c r="L749" s="17">
        <v>8463327.0</v>
      </c>
      <c r="M749" s="17">
        <v>1684611.0</v>
      </c>
      <c r="N749" s="17">
        <v>3990434.0</v>
      </c>
      <c r="O749" s="17">
        <v>1.2665482E7</v>
      </c>
      <c r="P749" s="17">
        <v>1.2699374E7</v>
      </c>
      <c r="Q749" s="17">
        <v>5227352.0</v>
      </c>
      <c r="R749" s="17">
        <v>9803718.0</v>
      </c>
      <c r="S749" s="17">
        <v>0.0</v>
      </c>
      <c r="T749" s="17">
        <v>1783763.0</v>
      </c>
      <c r="U749" s="17">
        <v>0.0</v>
      </c>
      <c r="V749" s="11">
        <f t="array" ref="V749">XLOOKUP(A:A,'Raw Revenue'!A:A,'Raw Revenue'!B:B,0)
</f>
        <v>0</v>
      </c>
      <c r="W749" s="11">
        <f t="array" ref="W749">XLOOKUP(A:A,'Raw Revenue'!C:C,'Raw Revenue'!D:D,0)</f>
        <v>0</v>
      </c>
      <c r="X749" s="11">
        <f t="array" ref="X749">XLOOKUP(A:A,'Raw Revenue'!E:E,'Raw Revenue'!F:F,0)</f>
        <v>0</v>
      </c>
      <c r="Y749" s="11">
        <f t="array" ref="Y749">XLOOKUP(A:A,'Raw Revenue'!G:G,'Raw Revenue'!H:H,0)</f>
        <v>0</v>
      </c>
      <c r="Z749" s="11">
        <f t="array" ref="Z749">XLOOKUP(A:A,'Raw Revenue'!I:I,'Raw Revenue'!J:J,0)</f>
        <v>0</v>
      </c>
      <c r="AA749" s="11">
        <f t="array" ref="AA749">XLOOKUP(A:A,'Raw Revenue'!K:K,'Raw Revenue'!L:L,0)</f>
        <v>0</v>
      </c>
      <c r="AB749" s="11">
        <f t="array" ref="AB749">XLOOKUP(A:A,'Raw Revenue'!M:M,'Raw Revenue'!N:N,0)</f>
        <v>0</v>
      </c>
      <c r="AC749" s="3">
        <v>0.0</v>
      </c>
      <c r="AD749" s="3">
        <v>0.0</v>
      </c>
      <c r="AE749" s="3">
        <v>0.0</v>
      </c>
      <c r="AF749" s="3">
        <v>0.0</v>
      </c>
      <c r="AG749" s="3">
        <v>0.0</v>
      </c>
    </row>
    <row r="750">
      <c r="A750" s="3" t="s">
        <v>1727</v>
      </c>
      <c r="B750" s="3" t="s">
        <v>1728</v>
      </c>
      <c r="C750" s="3" t="str">
        <f t="shared" si="1"/>
        <v>PT. Citra Mandiri Utama</v>
      </c>
      <c r="D750" s="3" t="s">
        <v>130</v>
      </c>
      <c r="E750" s="3" t="s">
        <v>104</v>
      </c>
      <c r="F750" s="3" t="s">
        <v>105</v>
      </c>
      <c r="G750" s="3" t="s">
        <v>43</v>
      </c>
      <c r="H750" s="3" t="str">
        <f t="array" ref="H750">XLOOKUP(G:G,'Account Manager Data'!A:A,'Account Manager Data'!B:B,0)</f>
        <v>Eko Prasetyo</v>
      </c>
      <c r="I750" s="11" t="str">
        <f t="array" ref="I750">XLOOKUP($G:$G,'Account Manager Data'!$A:$A,'Account Manager Data'!C:C)</f>
        <v>Papua</v>
      </c>
      <c r="J750" s="17">
        <v>7094451.0</v>
      </c>
      <c r="K750" s="17">
        <v>5052685.0</v>
      </c>
      <c r="L750" s="17">
        <v>2083798.0</v>
      </c>
      <c r="M750" s="17">
        <v>1.1670496E7</v>
      </c>
      <c r="N750" s="17">
        <v>2399964.0</v>
      </c>
      <c r="O750" s="17">
        <v>8727055.0</v>
      </c>
      <c r="P750" s="17">
        <v>1.4044633E7</v>
      </c>
      <c r="Q750" s="17">
        <v>0.0</v>
      </c>
      <c r="R750" s="17">
        <v>1.5864971E7</v>
      </c>
      <c r="S750" s="17">
        <v>9412427.0</v>
      </c>
      <c r="T750" s="17">
        <v>1.1229913E7</v>
      </c>
      <c r="U750" s="17">
        <v>830421.0</v>
      </c>
      <c r="V750" s="11">
        <f t="array" ref="V750">XLOOKUP(A:A,'Raw Revenue'!A:A,'Raw Revenue'!B:B,0)
</f>
        <v>0</v>
      </c>
      <c r="W750" s="11">
        <f t="array" ref="W750">XLOOKUP(A:A,'Raw Revenue'!C:C,'Raw Revenue'!D:D,0)</f>
        <v>0</v>
      </c>
      <c r="X750" s="11">
        <f t="array" ref="X750">XLOOKUP(A:A,'Raw Revenue'!E:E,'Raw Revenue'!F:F,0)</f>
        <v>0</v>
      </c>
      <c r="Y750" s="11">
        <f t="array" ref="Y750">XLOOKUP(A:A,'Raw Revenue'!G:G,'Raw Revenue'!H:H,0)</f>
        <v>0</v>
      </c>
      <c r="Z750" s="11">
        <f t="array" ref="Z750">XLOOKUP(A:A,'Raw Revenue'!I:I,'Raw Revenue'!J:J,0)</f>
        <v>0</v>
      </c>
      <c r="AA750" s="11">
        <f t="array" ref="AA750">XLOOKUP(A:A,'Raw Revenue'!K:K,'Raw Revenue'!L:L,0)</f>
        <v>0</v>
      </c>
      <c r="AB750" s="11">
        <f t="array" ref="AB750">XLOOKUP(A:A,'Raw Revenue'!M:M,'Raw Revenue'!N:N,0)</f>
        <v>0</v>
      </c>
      <c r="AC750" s="3">
        <v>0.0</v>
      </c>
      <c r="AD750" s="3">
        <v>0.0</v>
      </c>
      <c r="AE750" s="3">
        <v>0.0</v>
      </c>
      <c r="AF750" s="3">
        <v>0.0</v>
      </c>
      <c r="AG750" s="3">
        <v>0.0</v>
      </c>
    </row>
    <row r="751">
      <c r="A751" s="3" t="s">
        <v>1729</v>
      </c>
      <c r="B751" s="3" t="s">
        <v>1730</v>
      </c>
      <c r="C751" s="3" t="str">
        <f t="shared" si="1"/>
        <v>PT. Sinar Dunia Baru</v>
      </c>
      <c r="D751" s="3" t="s">
        <v>186</v>
      </c>
      <c r="E751" s="3" t="s">
        <v>85</v>
      </c>
      <c r="F751" s="3" t="s">
        <v>407</v>
      </c>
      <c r="G751" s="3" t="s">
        <v>76</v>
      </c>
      <c r="H751" s="3" t="str">
        <f t="array" ref="H751">XLOOKUP(G:G,'Account Manager Data'!A:A,'Account Manager Data'!B:B,0)</f>
        <v>Teguh Wijaya</v>
      </c>
      <c r="I751" s="11" t="str">
        <f t="array" ref="I751">XLOOKUP($G:$G,'Account Manager Data'!$A:$A,'Account Manager Data'!C:C)</f>
        <v>Sulawesi</v>
      </c>
      <c r="J751" s="17">
        <v>7966398.0</v>
      </c>
      <c r="K751" s="17">
        <v>5918366.0</v>
      </c>
      <c r="L751" s="17">
        <v>3570419.0</v>
      </c>
      <c r="M751" s="17">
        <v>41771.0</v>
      </c>
      <c r="N751" s="17">
        <v>3981749.0</v>
      </c>
      <c r="O751" s="17">
        <v>3269474.0</v>
      </c>
      <c r="P751" s="17">
        <v>1.5155268E7</v>
      </c>
      <c r="Q751" s="17">
        <v>6931169.0</v>
      </c>
      <c r="R751" s="17">
        <v>1.0744798E7</v>
      </c>
      <c r="S751" s="17">
        <v>1.5677451E7</v>
      </c>
      <c r="T751" s="17">
        <v>6097816.0</v>
      </c>
      <c r="U751" s="17">
        <v>8464171.0</v>
      </c>
      <c r="V751" s="11">
        <f t="array" ref="V751">XLOOKUP(A:A,'Raw Revenue'!A:A,'Raw Revenue'!B:B,0)
</f>
        <v>0</v>
      </c>
      <c r="W751" s="11">
        <f t="array" ref="W751">XLOOKUP(A:A,'Raw Revenue'!C:C,'Raw Revenue'!D:D,0)</f>
        <v>0</v>
      </c>
      <c r="X751" s="11">
        <f t="array" ref="X751">XLOOKUP(A:A,'Raw Revenue'!E:E,'Raw Revenue'!F:F,0)</f>
        <v>0</v>
      </c>
      <c r="Y751" s="11">
        <f t="array" ref="Y751">XLOOKUP(A:A,'Raw Revenue'!G:G,'Raw Revenue'!H:H,0)</f>
        <v>0</v>
      </c>
      <c r="Z751" s="11">
        <f t="array" ref="Z751">XLOOKUP(A:A,'Raw Revenue'!I:I,'Raw Revenue'!J:J,0)</f>
        <v>0</v>
      </c>
      <c r="AA751" s="11">
        <f t="array" ref="AA751">XLOOKUP(A:A,'Raw Revenue'!K:K,'Raw Revenue'!L:L,0)</f>
        <v>0</v>
      </c>
      <c r="AB751" s="11">
        <f t="array" ref="AB751">XLOOKUP(A:A,'Raw Revenue'!M:M,'Raw Revenue'!N:N,0)</f>
        <v>0</v>
      </c>
      <c r="AC751" s="3">
        <v>0.0</v>
      </c>
      <c r="AD751" s="3">
        <v>0.0</v>
      </c>
      <c r="AE751" s="3">
        <v>0.0</v>
      </c>
      <c r="AF751" s="3">
        <v>0.0</v>
      </c>
      <c r="AG751" s="3">
        <v>0.0</v>
      </c>
    </row>
    <row r="752">
      <c r="A752" s="3" t="s">
        <v>1731</v>
      </c>
      <c r="B752" s="3" t="s">
        <v>1732</v>
      </c>
      <c r="C752" s="3" t="str">
        <f t="shared" si="1"/>
        <v>CV. Karya Utama Mandiri</v>
      </c>
      <c r="D752" s="3" t="s">
        <v>214</v>
      </c>
      <c r="E752" s="3" t="s">
        <v>104</v>
      </c>
      <c r="F752" s="3" t="s">
        <v>134</v>
      </c>
      <c r="G752" s="3" t="s">
        <v>70</v>
      </c>
      <c r="H752" s="3" t="str">
        <f t="array" ref="H752">XLOOKUP(G:G,'Account Manager Data'!A:A,'Account Manager Data'!B:B,0)</f>
        <v>Yusuf Hidayat</v>
      </c>
      <c r="I752" s="11" t="str">
        <f t="array" ref="I752">XLOOKUP($G:$G,'Account Manager Data'!$A:$A,'Account Manager Data'!C:C)</f>
        <v>Sumatera</v>
      </c>
      <c r="J752" s="17">
        <v>3139547.0</v>
      </c>
      <c r="K752" s="17">
        <v>7220512.0</v>
      </c>
      <c r="L752" s="17">
        <v>1602135.0</v>
      </c>
      <c r="M752" s="17">
        <v>1138335.0</v>
      </c>
      <c r="N752" s="17">
        <v>8024495.0</v>
      </c>
      <c r="O752" s="17">
        <v>0.0</v>
      </c>
      <c r="P752" s="17">
        <v>1.1699711E7</v>
      </c>
      <c r="Q752" s="17">
        <v>5819910.0</v>
      </c>
      <c r="R752" s="17">
        <v>1.2734236E7</v>
      </c>
      <c r="S752" s="17">
        <v>9337710.0</v>
      </c>
      <c r="T752" s="17">
        <v>9084042.0</v>
      </c>
      <c r="U752" s="17">
        <v>143455.0</v>
      </c>
      <c r="V752" s="11">
        <f t="array" ref="V752">XLOOKUP(A:A,'Raw Revenue'!A:A,'Raw Revenue'!B:B,0)
</f>
        <v>0</v>
      </c>
      <c r="W752" s="11">
        <f t="array" ref="W752">XLOOKUP(A:A,'Raw Revenue'!C:C,'Raw Revenue'!D:D,0)</f>
        <v>0</v>
      </c>
      <c r="X752" s="11">
        <f t="array" ref="X752">XLOOKUP(A:A,'Raw Revenue'!E:E,'Raw Revenue'!F:F,0)</f>
        <v>0</v>
      </c>
      <c r="Y752" s="11">
        <f t="array" ref="Y752">XLOOKUP(A:A,'Raw Revenue'!G:G,'Raw Revenue'!H:H,0)</f>
        <v>0</v>
      </c>
      <c r="Z752" s="11">
        <f t="array" ref="Z752">XLOOKUP(A:A,'Raw Revenue'!I:I,'Raw Revenue'!J:J,0)</f>
        <v>0</v>
      </c>
      <c r="AA752" s="11">
        <f t="array" ref="AA752">XLOOKUP(A:A,'Raw Revenue'!K:K,'Raw Revenue'!L:L,0)</f>
        <v>0</v>
      </c>
      <c r="AB752" s="11">
        <f t="array" ref="AB752">XLOOKUP(A:A,'Raw Revenue'!M:M,'Raw Revenue'!N:N,0)</f>
        <v>0</v>
      </c>
      <c r="AC752" s="3">
        <v>0.0</v>
      </c>
      <c r="AD752" s="3">
        <v>0.0</v>
      </c>
      <c r="AE752" s="3">
        <v>0.0</v>
      </c>
      <c r="AF752" s="3">
        <v>0.0</v>
      </c>
      <c r="AG752" s="3">
        <v>0.0</v>
      </c>
    </row>
    <row r="753">
      <c r="A753" s="3" t="s">
        <v>1733</v>
      </c>
      <c r="B753" s="3" t="s">
        <v>1734</v>
      </c>
      <c r="C753" s="3" t="str">
        <f t="shared" si="1"/>
        <v>PT. Pratama Jaya Sentosa</v>
      </c>
      <c r="D753" s="3" t="s">
        <v>130</v>
      </c>
      <c r="E753" s="3" t="s">
        <v>104</v>
      </c>
      <c r="F753" s="3" t="s">
        <v>105</v>
      </c>
      <c r="G753" s="3" t="s">
        <v>15</v>
      </c>
      <c r="H753" s="3" t="str">
        <f t="array" ref="H753">XLOOKUP(G:G,'Account Manager Data'!A:A,'Account Manager Data'!B:B,0)</f>
        <v>Rizky Maulana</v>
      </c>
      <c r="I753" s="11" t="str">
        <f t="array" ref="I753">XLOOKUP($G:$G,'Account Manager Data'!$A:$A,'Account Manager Data'!C:C)</f>
        <v>Jawa</v>
      </c>
      <c r="J753" s="17">
        <v>714723.0</v>
      </c>
      <c r="K753" s="17">
        <v>4442075.0</v>
      </c>
      <c r="L753" s="17">
        <v>7207230.0</v>
      </c>
      <c r="M753" s="17">
        <v>1.063702E7</v>
      </c>
      <c r="N753" s="17">
        <v>4913538.0</v>
      </c>
      <c r="O753" s="17">
        <v>6866138.0</v>
      </c>
      <c r="P753" s="17">
        <v>1.3677266E7</v>
      </c>
      <c r="Q753" s="17">
        <v>5687819.0</v>
      </c>
      <c r="R753" s="17">
        <v>0.0</v>
      </c>
      <c r="S753" s="17">
        <v>1.6567245E7</v>
      </c>
      <c r="T753" s="17">
        <v>1.8654062E7</v>
      </c>
      <c r="U753" s="17">
        <v>1.0000521E7</v>
      </c>
      <c r="V753" s="11">
        <f t="array" ref="V753">XLOOKUP(A:A,'Raw Revenue'!A:A,'Raw Revenue'!B:B,0)
</f>
        <v>0</v>
      </c>
      <c r="W753" s="11">
        <f t="array" ref="W753">XLOOKUP(A:A,'Raw Revenue'!C:C,'Raw Revenue'!D:D,0)</f>
        <v>0</v>
      </c>
      <c r="X753" s="11">
        <f t="array" ref="X753">XLOOKUP(A:A,'Raw Revenue'!E:E,'Raw Revenue'!F:F,0)</f>
        <v>0</v>
      </c>
      <c r="Y753" s="11">
        <f t="array" ref="Y753">XLOOKUP(A:A,'Raw Revenue'!G:G,'Raw Revenue'!H:H,0)</f>
        <v>0</v>
      </c>
      <c r="Z753" s="11">
        <f t="array" ref="Z753">XLOOKUP(A:A,'Raw Revenue'!I:I,'Raw Revenue'!J:J,0)</f>
        <v>0</v>
      </c>
      <c r="AA753" s="11">
        <f t="array" ref="AA753">XLOOKUP(A:A,'Raw Revenue'!K:K,'Raw Revenue'!L:L,0)</f>
        <v>0</v>
      </c>
      <c r="AB753" s="11">
        <f t="array" ref="AB753">XLOOKUP(A:A,'Raw Revenue'!M:M,'Raw Revenue'!N:N,0)</f>
        <v>0</v>
      </c>
      <c r="AC753" s="3">
        <v>0.0</v>
      </c>
      <c r="AD753" s="3">
        <v>0.0</v>
      </c>
      <c r="AE753" s="3">
        <v>0.0</v>
      </c>
      <c r="AF753" s="3">
        <v>0.0</v>
      </c>
      <c r="AG753" s="3">
        <v>0.0</v>
      </c>
    </row>
    <row r="754">
      <c r="A754" s="3" t="s">
        <v>1735</v>
      </c>
      <c r="B754" s="3" t="s">
        <v>1736</v>
      </c>
      <c r="C754" s="3" t="str">
        <f t="shared" si="1"/>
        <v>PT. Abadi Selamanya Jaya</v>
      </c>
      <c r="D754" s="3" t="s">
        <v>214</v>
      </c>
      <c r="E754" s="3" t="s">
        <v>196</v>
      </c>
      <c r="F754" s="3" t="s">
        <v>197</v>
      </c>
      <c r="G754" s="3" t="s">
        <v>53</v>
      </c>
      <c r="H754" s="3" t="str">
        <f t="array" ref="H754">XLOOKUP(G:G,'Account Manager Data'!A:A,'Account Manager Data'!B:B,0)</f>
        <v>Fajar Ramadhan</v>
      </c>
      <c r="I754" s="11" t="str">
        <f t="array" ref="I754">XLOOKUP($G:$G,'Account Manager Data'!$A:$A,'Account Manager Data'!C:C)</f>
        <v>Sulawesi</v>
      </c>
      <c r="J754" s="17">
        <v>2457176.0</v>
      </c>
      <c r="K754" s="17">
        <v>7090058.0</v>
      </c>
      <c r="L754" s="17">
        <v>9426369.0</v>
      </c>
      <c r="M754" s="17">
        <v>8887001.0</v>
      </c>
      <c r="N754" s="17">
        <v>1.3537109E7</v>
      </c>
      <c r="O754" s="17">
        <v>548836.0</v>
      </c>
      <c r="P754" s="17">
        <v>3136906.0</v>
      </c>
      <c r="Q754" s="17">
        <v>1.3908327E7</v>
      </c>
      <c r="R754" s="17">
        <v>2364036.0</v>
      </c>
      <c r="S754" s="17">
        <v>6205789.0</v>
      </c>
      <c r="T754" s="17">
        <v>1.8361676E7</v>
      </c>
      <c r="U754" s="17">
        <v>5654774.0</v>
      </c>
      <c r="V754" s="11">
        <f t="array" ref="V754">XLOOKUP(A:A,'Raw Revenue'!A:A,'Raw Revenue'!B:B,0)
</f>
        <v>0</v>
      </c>
      <c r="W754" s="11">
        <f t="array" ref="W754">XLOOKUP(A:A,'Raw Revenue'!C:C,'Raw Revenue'!D:D,0)</f>
        <v>0</v>
      </c>
      <c r="X754" s="11">
        <f t="array" ref="X754">XLOOKUP(A:A,'Raw Revenue'!E:E,'Raw Revenue'!F:F,0)</f>
        <v>0</v>
      </c>
      <c r="Y754" s="11">
        <f t="array" ref="Y754">XLOOKUP(A:A,'Raw Revenue'!G:G,'Raw Revenue'!H:H,0)</f>
        <v>0</v>
      </c>
      <c r="Z754" s="11">
        <f t="array" ref="Z754">XLOOKUP(A:A,'Raw Revenue'!I:I,'Raw Revenue'!J:J,0)</f>
        <v>0</v>
      </c>
      <c r="AA754" s="11">
        <f t="array" ref="AA754">XLOOKUP(A:A,'Raw Revenue'!K:K,'Raw Revenue'!L:L,0)</f>
        <v>0</v>
      </c>
      <c r="AB754" s="11">
        <f t="array" ref="AB754">XLOOKUP(A:A,'Raw Revenue'!M:M,'Raw Revenue'!N:N,0)</f>
        <v>0</v>
      </c>
      <c r="AC754" s="3">
        <v>0.0</v>
      </c>
      <c r="AD754" s="3">
        <v>0.0</v>
      </c>
      <c r="AE754" s="3">
        <v>0.0</v>
      </c>
      <c r="AF754" s="3">
        <v>0.0</v>
      </c>
      <c r="AG754" s="3">
        <v>0.0</v>
      </c>
    </row>
    <row r="755">
      <c r="A755" s="3" t="s">
        <v>1737</v>
      </c>
      <c r="B755" s="3" t="s">
        <v>1738</v>
      </c>
      <c r="C755" s="3" t="str">
        <f t="shared" si="1"/>
        <v>PT. Mandiri Sejahtera Bersama</v>
      </c>
      <c r="D755" s="3" t="s">
        <v>186</v>
      </c>
      <c r="E755" s="3" t="s">
        <v>187</v>
      </c>
      <c r="F755" s="3" t="s">
        <v>295</v>
      </c>
      <c r="G755" s="3" t="s">
        <v>27</v>
      </c>
      <c r="H755" s="3" t="str">
        <f t="array" ref="H755">XLOOKUP(G:G,'Account Manager Data'!A:A,'Account Manager Data'!B:B,0)</f>
        <v>Dedi Kurniawan</v>
      </c>
      <c r="I755" s="11" t="str">
        <f t="array" ref="I755">XLOOKUP($G:$G,'Account Manager Data'!$A:$A,'Account Manager Data'!C:C)</f>
        <v>Kalimantan</v>
      </c>
      <c r="J755" s="17">
        <v>4654615.0</v>
      </c>
      <c r="K755" s="17">
        <v>1928633.0</v>
      </c>
      <c r="L755" s="17">
        <v>7198477.0</v>
      </c>
      <c r="M755" s="17">
        <v>1.1015752E7</v>
      </c>
      <c r="N755" s="17">
        <v>9590654.0</v>
      </c>
      <c r="O755" s="17">
        <v>9566456.0</v>
      </c>
      <c r="P755" s="17">
        <v>8561902.0</v>
      </c>
      <c r="Q755" s="17">
        <v>1.1516537E7</v>
      </c>
      <c r="R755" s="17">
        <v>7654583.0</v>
      </c>
      <c r="S755" s="17">
        <v>1.2969856E7</v>
      </c>
      <c r="T755" s="17">
        <v>655414.0</v>
      </c>
      <c r="U755" s="17">
        <v>1.6089143E7</v>
      </c>
      <c r="V755" s="11">
        <f t="array" ref="V755">XLOOKUP(A:A,'Raw Revenue'!A:A,'Raw Revenue'!B:B,0)
</f>
        <v>0</v>
      </c>
      <c r="W755" s="11">
        <f t="array" ref="W755">XLOOKUP(A:A,'Raw Revenue'!C:C,'Raw Revenue'!D:D,0)</f>
        <v>0</v>
      </c>
      <c r="X755" s="11">
        <f t="array" ref="X755">XLOOKUP(A:A,'Raw Revenue'!E:E,'Raw Revenue'!F:F,0)</f>
        <v>0</v>
      </c>
      <c r="Y755" s="11">
        <f t="array" ref="Y755">XLOOKUP(A:A,'Raw Revenue'!G:G,'Raw Revenue'!H:H,0)</f>
        <v>0</v>
      </c>
      <c r="Z755" s="11">
        <f t="array" ref="Z755">XLOOKUP(A:A,'Raw Revenue'!I:I,'Raw Revenue'!J:J,0)</f>
        <v>0</v>
      </c>
      <c r="AA755" s="11">
        <f t="array" ref="AA755">XLOOKUP(A:A,'Raw Revenue'!K:K,'Raw Revenue'!L:L,0)</f>
        <v>0</v>
      </c>
      <c r="AB755" s="11">
        <f t="array" ref="AB755">XLOOKUP(A:A,'Raw Revenue'!M:M,'Raw Revenue'!N:N,0)</f>
        <v>0</v>
      </c>
      <c r="AC755" s="3">
        <v>0.0</v>
      </c>
      <c r="AD755" s="3">
        <v>0.0</v>
      </c>
      <c r="AE755" s="3">
        <v>0.0</v>
      </c>
      <c r="AF755" s="3">
        <v>0.0</v>
      </c>
      <c r="AG755" s="3">
        <v>0.0</v>
      </c>
    </row>
    <row r="756">
      <c r="A756" s="3" t="s">
        <v>1739</v>
      </c>
      <c r="B756" s="3" t="s">
        <v>1740</v>
      </c>
      <c r="C756" s="3" t="str">
        <f t="shared" si="1"/>
        <v>PT. Sejahtera Alam Indonesia</v>
      </c>
      <c r="D756" s="3" t="s">
        <v>195</v>
      </c>
      <c r="E756" s="3" t="s">
        <v>104</v>
      </c>
      <c r="F756" s="3" t="s">
        <v>252</v>
      </c>
      <c r="G756" s="3" t="s">
        <v>78</v>
      </c>
      <c r="H756" s="3" t="str">
        <f t="array" ref="H756">XLOOKUP(G:G,'Account Manager Data'!A:A,'Account Manager Data'!B:B,0)</f>
        <v>Ilham Saputra</v>
      </c>
      <c r="I756" s="11" t="str">
        <f t="array" ref="I756">XLOOKUP($G:$G,'Account Manager Data'!$A:$A,'Account Manager Data'!C:C)</f>
        <v>Jawa</v>
      </c>
      <c r="J756" s="17">
        <v>7314422.0</v>
      </c>
      <c r="K756" s="17">
        <v>8741826.0</v>
      </c>
      <c r="L756" s="17">
        <v>2310440.0</v>
      </c>
      <c r="M756" s="17">
        <v>7464862.0</v>
      </c>
      <c r="N756" s="17">
        <v>1.3553318E7</v>
      </c>
      <c r="O756" s="17">
        <v>7687766.0</v>
      </c>
      <c r="P756" s="17">
        <v>9411271.0</v>
      </c>
      <c r="Q756" s="17">
        <v>1.0759749E7</v>
      </c>
      <c r="R756" s="17">
        <v>0.0</v>
      </c>
      <c r="S756" s="17">
        <v>3687873.0</v>
      </c>
      <c r="T756" s="17">
        <v>1.4444962E7</v>
      </c>
      <c r="U756" s="17">
        <v>1.2392423E7</v>
      </c>
      <c r="V756" s="11">
        <f t="array" ref="V756">XLOOKUP(A:A,'Raw Revenue'!A:A,'Raw Revenue'!B:B,0)
</f>
        <v>0</v>
      </c>
      <c r="W756" s="11">
        <f t="array" ref="W756">XLOOKUP(A:A,'Raw Revenue'!C:C,'Raw Revenue'!D:D,0)</f>
        <v>0</v>
      </c>
      <c r="X756" s="11">
        <f t="array" ref="X756">XLOOKUP(A:A,'Raw Revenue'!E:E,'Raw Revenue'!F:F,0)</f>
        <v>0</v>
      </c>
      <c r="Y756" s="11">
        <f t="array" ref="Y756">XLOOKUP(A:A,'Raw Revenue'!G:G,'Raw Revenue'!H:H,0)</f>
        <v>0</v>
      </c>
      <c r="Z756" s="11">
        <f t="array" ref="Z756">XLOOKUP(A:A,'Raw Revenue'!I:I,'Raw Revenue'!J:J,0)</f>
        <v>0</v>
      </c>
      <c r="AA756" s="11">
        <f t="array" ref="AA756">XLOOKUP(A:A,'Raw Revenue'!K:K,'Raw Revenue'!L:L,0)</f>
        <v>0</v>
      </c>
      <c r="AB756" s="11">
        <f t="array" ref="AB756">XLOOKUP(A:A,'Raw Revenue'!M:M,'Raw Revenue'!N:N,0)</f>
        <v>0</v>
      </c>
      <c r="AC756" s="3">
        <v>0.0</v>
      </c>
      <c r="AD756" s="3">
        <v>0.0</v>
      </c>
      <c r="AE756" s="3">
        <v>0.0</v>
      </c>
      <c r="AF756" s="3">
        <v>0.0</v>
      </c>
      <c r="AG756" s="3">
        <v>0.0</v>
      </c>
    </row>
    <row r="757">
      <c r="A757" s="3" t="s">
        <v>1741</v>
      </c>
      <c r="B757" s="3" t="s">
        <v>1742</v>
      </c>
      <c r="C757" s="3" t="str">
        <f t="shared" si="1"/>
        <v>PT. Indah Kargo Logistik</v>
      </c>
      <c r="D757" s="3" t="s">
        <v>195</v>
      </c>
      <c r="E757" s="3" t="s">
        <v>187</v>
      </c>
      <c r="F757" s="3" t="s">
        <v>188</v>
      </c>
      <c r="G757" s="3" t="s">
        <v>63</v>
      </c>
      <c r="H757" s="3" t="str">
        <f t="array" ref="H757">XLOOKUP(G:G,'Account Manager Data'!A:A,'Account Manager Data'!B:B,0)</f>
        <v>Hendra Gunawan</v>
      </c>
      <c r="I757" s="11" t="str">
        <f t="array" ref="I757">XLOOKUP($G:$G,'Account Manager Data'!$A:$A,'Account Manager Data'!C:C)</f>
        <v>Kalimantan</v>
      </c>
      <c r="J757" s="17">
        <v>4396666.0</v>
      </c>
      <c r="K757" s="17">
        <v>3511094.0</v>
      </c>
      <c r="L757" s="17">
        <v>8325086.0</v>
      </c>
      <c r="M757" s="17">
        <v>8211404.0</v>
      </c>
      <c r="N757" s="17">
        <v>671937.0</v>
      </c>
      <c r="O757" s="17">
        <v>7615952.0</v>
      </c>
      <c r="P757" s="17">
        <v>1.0965553E7</v>
      </c>
      <c r="Q757" s="17">
        <v>0.0</v>
      </c>
      <c r="R757" s="17">
        <v>1.4603582E7</v>
      </c>
      <c r="S757" s="17">
        <v>1.4076731E7</v>
      </c>
      <c r="T757" s="17">
        <v>8342289.0</v>
      </c>
      <c r="U757" s="17">
        <v>1.3463179E7</v>
      </c>
      <c r="V757" s="11">
        <f t="array" ref="V757">XLOOKUP(A:A,'Raw Revenue'!A:A,'Raw Revenue'!B:B,0)
</f>
        <v>0</v>
      </c>
      <c r="W757" s="11">
        <f t="array" ref="W757">XLOOKUP(A:A,'Raw Revenue'!C:C,'Raw Revenue'!D:D,0)</f>
        <v>0</v>
      </c>
      <c r="X757" s="11">
        <f t="array" ref="X757">XLOOKUP(A:A,'Raw Revenue'!E:E,'Raw Revenue'!F:F,0)</f>
        <v>0</v>
      </c>
      <c r="Y757" s="11">
        <f t="array" ref="Y757">XLOOKUP(A:A,'Raw Revenue'!G:G,'Raw Revenue'!H:H,0)</f>
        <v>0</v>
      </c>
      <c r="Z757" s="11">
        <f t="array" ref="Z757">XLOOKUP(A:A,'Raw Revenue'!I:I,'Raw Revenue'!J:J,0)</f>
        <v>0</v>
      </c>
      <c r="AA757" s="11">
        <f t="array" ref="AA757">XLOOKUP(A:A,'Raw Revenue'!K:K,'Raw Revenue'!L:L,0)</f>
        <v>0</v>
      </c>
      <c r="AB757" s="11">
        <f t="array" ref="AB757">XLOOKUP(A:A,'Raw Revenue'!M:M,'Raw Revenue'!N:N,0)</f>
        <v>0</v>
      </c>
      <c r="AC757" s="3">
        <v>0.0</v>
      </c>
      <c r="AD757" s="3">
        <v>0.0</v>
      </c>
      <c r="AE757" s="3">
        <v>0.0</v>
      </c>
      <c r="AF757" s="3">
        <v>0.0</v>
      </c>
      <c r="AG757" s="3">
        <v>0.0</v>
      </c>
    </row>
    <row r="758">
      <c r="A758" s="3" t="s">
        <v>228</v>
      </c>
      <c r="B758" s="3" t="s">
        <v>1743</v>
      </c>
      <c r="C758" s="3" t="str">
        <f t="shared" si="1"/>
        <v>PT. Berkah Alam Semesta</v>
      </c>
      <c r="D758" s="3" t="s">
        <v>103</v>
      </c>
      <c r="E758" s="3" t="s">
        <v>104</v>
      </c>
      <c r="F758" s="3" t="s">
        <v>134</v>
      </c>
      <c r="G758" s="3" t="s">
        <v>35</v>
      </c>
      <c r="H758" s="3" t="str">
        <f t="array" ref="H758">XLOOKUP(G:G,'Account Manager Data'!A:A,'Account Manager Data'!B:B,0)</f>
        <v>Ahmad Fauzi</v>
      </c>
      <c r="I758" s="11" t="str">
        <f t="array" ref="I758">XLOOKUP($G:$G,'Account Manager Data'!$A:$A,'Account Manager Data'!C:C)</f>
        <v>Sumatera</v>
      </c>
      <c r="J758" s="17">
        <v>3148171.0</v>
      </c>
      <c r="K758" s="17">
        <v>3013526.0</v>
      </c>
      <c r="L758" s="17">
        <v>9521188.0</v>
      </c>
      <c r="M758" s="17">
        <v>1107074.0</v>
      </c>
      <c r="N758" s="17">
        <v>7648038.0</v>
      </c>
      <c r="O758" s="17">
        <v>8598138.0</v>
      </c>
      <c r="P758" s="17">
        <v>6861252.0</v>
      </c>
      <c r="Q758" s="17">
        <v>6908529.0</v>
      </c>
      <c r="R758" s="17">
        <v>1.1873695E7</v>
      </c>
      <c r="S758" s="17">
        <v>1.5867827E7</v>
      </c>
      <c r="T758" s="17">
        <v>8990889.0</v>
      </c>
      <c r="U758" s="17">
        <v>6437749.0</v>
      </c>
      <c r="V758" s="11">
        <f t="array" ref="V758">XLOOKUP(A:A,'Raw Revenue'!A:A,'Raw Revenue'!B:B,0)
</f>
        <v>5141176.083</v>
      </c>
      <c r="W758" s="11">
        <f t="array" ref="W758">XLOOKUP(A:A,'Raw Revenue'!C:C,'Raw Revenue'!D:D,0)</f>
        <v>5141176.083</v>
      </c>
      <c r="X758" s="11">
        <f t="array" ref="X758">XLOOKUP(A:A,'Raw Revenue'!E:E,'Raw Revenue'!F:F,0)</f>
        <v>10282352.17</v>
      </c>
      <c r="Y758" s="11">
        <f t="array" ref="Y758">XLOOKUP(A:A,'Raw Revenue'!G:G,'Raw Revenue'!H:H,0)</f>
        <v>8397254.269</v>
      </c>
      <c r="Z758" s="11">
        <f t="array" ref="Z758">XLOOKUP(A:A,'Raw Revenue'!I:I,'Raw Revenue'!J:J,0)</f>
        <v>7540391.589</v>
      </c>
      <c r="AA758" s="11">
        <f t="array" ref="AA758">XLOOKUP(A:A,'Raw Revenue'!K:K,'Raw Revenue'!L:L,0)</f>
        <v>19279410.31</v>
      </c>
      <c r="AB758" s="11">
        <f t="array" ref="AB758">XLOOKUP(A:A,'Raw Revenue'!M:M,'Raw Revenue'!N:N,0)</f>
        <v>17737057.49</v>
      </c>
      <c r="AC758" s="3">
        <v>0.0</v>
      </c>
      <c r="AD758" s="3">
        <v>0.0</v>
      </c>
      <c r="AE758" s="3">
        <v>0.0</v>
      </c>
      <c r="AF758" s="3">
        <v>0.0</v>
      </c>
      <c r="AG758" s="3">
        <v>0.0</v>
      </c>
    </row>
    <row r="759">
      <c r="A759" s="3" t="s">
        <v>1744</v>
      </c>
      <c r="B759" s="3" t="s">
        <v>1745</v>
      </c>
      <c r="C759" s="3" t="str">
        <f t="shared" si="1"/>
        <v>PT. Cahaya Baru Indonesia</v>
      </c>
      <c r="D759" s="3" t="s">
        <v>84</v>
      </c>
      <c r="E759" s="3" t="s">
        <v>187</v>
      </c>
      <c r="F759" s="3" t="s">
        <v>269</v>
      </c>
      <c r="G759" s="3" t="s">
        <v>43</v>
      </c>
      <c r="H759" s="3" t="str">
        <f t="array" ref="H759">XLOOKUP(G:G,'Account Manager Data'!A:A,'Account Manager Data'!B:B,0)</f>
        <v>Eko Prasetyo</v>
      </c>
      <c r="I759" s="11" t="str">
        <f t="array" ref="I759">XLOOKUP($G:$G,'Account Manager Data'!$A:$A,'Account Manager Data'!C:C)</f>
        <v>Papua</v>
      </c>
      <c r="J759" s="17">
        <v>7250279.0</v>
      </c>
      <c r="K759" s="17">
        <v>81744.0</v>
      </c>
      <c r="L759" s="17">
        <v>4850370.0</v>
      </c>
      <c r="M759" s="17">
        <v>1.001286E7</v>
      </c>
      <c r="N759" s="17">
        <v>1.2090637E7</v>
      </c>
      <c r="O759" s="17">
        <v>1156768.0</v>
      </c>
      <c r="P759" s="17">
        <v>8209479.0</v>
      </c>
      <c r="Q759" s="17">
        <v>1.2923955E7</v>
      </c>
      <c r="R759" s="17">
        <v>7415859.0</v>
      </c>
      <c r="S759" s="17">
        <v>2543872.0</v>
      </c>
      <c r="T759" s="17">
        <v>1.2985868E7</v>
      </c>
      <c r="U759" s="17">
        <v>1.0750601E7</v>
      </c>
      <c r="V759" s="11">
        <f t="array" ref="V759">XLOOKUP(A:A,'Raw Revenue'!A:A,'Raw Revenue'!B:B,0)
</f>
        <v>0</v>
      </c>
      <c r="W759" s="11">
        <f t="array" ref="W759">XLOOKUP(A:A,'Raw Revenue'!C:C,'Raw Revenue'!D:D,0)</f>
        <v>0</v>
      </c>
      <c r="X759" s="11">
        <f t="array" ref="X759">XLOOKUP(A:A,'Raw Revenue'!E:E,'Raw Revenue'!F:F,0)</f>
        <v>0</v>
      </c>
      <c r="Y759" s="11">
        <f t="array" ref="Y759">XLOOKUP(A:A,'Raw Revenue'!G:G,'Raw Revenue'!H:H,0)</f>
        <v>0</v>
      </c>
      <c r="Z759" s="11">
        <f t="array" ref="Z759">XLOOKUP(A:A,'Raw Revenue'!I:I,'Raw Revenue'!J:J,0)</f>
        <v>0</v>
      </c>
      <c r="AA759" s="11">
        <f t="array" ref="AA759">XLOOKUP(A:A,'Raw Revenue'!K:K,'Raw Revenue'!L:L,0)</f>
        <v>0</v>
      </c>
      <c r="AB759" s="11">
        <f t="array" ref="AB759">XLOOKUP(A:A,'Raw Revenue'!M:M,'Raw Revenue'!N:N,0)</f>
        <v>0</v>
      </c>
      <c r="AC759" s="3">
        <v>0.0</v>
      </c>
      <c r="AD759" s="3">
        <v>0.0</v>
      </c>
      <c r="AE759" s="3">
        <v>0.0</v>
      </c>
      <c r="AF759" s="3">
        <v>0.0</v>
      </c>
      <c r="AG759" s="3">
        <v>0.0</v>
      </c>
    </row>
    <row r="760">
      <c r="A760" s="3" t="s">
        <v>1746</v>
      </c>
      <c r="B760" s="3" t="s">
        <v>1747</v>
      </c>
      <c r="C760" s="3" t="str">
        <f t="shared" si="1"/>
        <v>PT. Mentari Pagi Sejahtera</v>
      </c>
      <c r="D760" s="3" t="s">
        <v>84</v>
      </c>
      <c r="E760" s="3" t="s">
        <v>196</v>
      </c>
      <c r="F760" s="3" t="s">
        <v>315</v>
      </c>
      <c r="G760" s="3" t="s">
        <v>74</v>
      </c>
      <c r="H760" s="3" t="str">
        <f t="array" ref="H760">XLOOKUP(G:G,'Account Manager Data'!A:A,'Account Manager Data'!B:B,0)</f>
        <v>Budi Santoso</v>
      </c>
      <c r="I760" s="11" t="str">
        <f t="array" ref="I760">XLOOKUP($G:$G,'Account Manager Data'!$A:$A,'Account Manager Data'!C:C)</f>
        <v>Papua</v>
      </c>
      <c r="J760" s="17">
        <v>3793207.0</v>
      </c>
      <c r="K760" s="17">
        <v>196716.0</v>
      </c>
      <c r="L760" s="17">
        <v>9741000.0</v>
      </c>
      <c r="M760" s="17">
        <v>0.0</v>
      </c>
      <c r="N760" s="17">
        <v>1.4224738E7</v>
      </c>
      <c r="O760" s="17">
        <v>1.2778572E7</v>
      </c>
      <c r="P760" s="17">
        <v>2994935.0</v>
      </c>
      <c r="Q760" s="17">
        <v>2923954.0</v>
      </c>
      <c r="R760" s="17">
        <v>1.2817524E7</v>
      </c>
      <c r="S760" s="17">
        <v>1647663.0</v>
      </c>
      <c r="T760" s="17">
        <v>1.1172702E7</v>
      </c>
      <c r="U760" s="17">
        <v>3174240.0</v>
      </c>
      <c r="V760" s="11">
        <f t="array" ref="V760">XLOOKUP(A:A,'Raw Revenue'!A:A,'Raw Revenue'!B:B,0)
</f>
        <v>0</v>
      </c>
      <c r="W760" s="11">
        <f t="array" ref="W760">XLOOKUP(A:A,'Raw Revenue'!C:C,'Raw Revenue'!D:D,0)</f>
        <v>0</v>
      </c>
      <c r="X760" s="11">
        <f t="array" ref="X760">XLOOKUP(A:A,'Raw Revenue'!E:E,'Raw Revenue'!F:F,0)</f>
        <v>0</v>
      </c>
      <c r="Y760" s="11">
        <f t="array" ref="Y760">XLOOKUP(A:A,'Raw Revenue'!G:G,'Raw Revenue'!H:H,0)</f>
        <v>0</v>
      </c>
      <c r="Z760" s="11">
        <f t="array" ref="Z760">XLOOKUP(A:A,'Raw Revenue'!I:I,'Raw Revenue'!J:J,0)</f>
        <v>0</v>
      </c>
      <c r="AA760" s="11">
        <f t="array" ref="AA760">XLOOKUP(A:A,'Raw Revenue'!K:K,'Raw Revenue'!L:L,0)</f>
        <v>0</v>
      </c>
      <c r="AB760" s="11">
        <f t="array" ref="AB760">XLOOKUP(A:A,'Raw Revenue'!M:M,'Raw Revenue'!N:N,0)</f>
        <v>0</v>
      </c>
      <c r="AC760" s="3">
        <v>0.0</v>
      </c>
      <c r="AD760" s="3">
        <v>0.0</v>
      </c>
      <c r="AE760" s="3">
        <v>0.0</v>
      </c>
      <c r="AF760" s="3">
        <v>0.0</v>
      </c>
      <c r="AG760" s="3">
        <v>0.0</v>
      </c>
    </row>
    <row r="761">
      <c r="A761" s="3" t="s">
        <v>1748</v>
      </c>
      <c r="B761" s="3" t="s">
        <v>1749</v>
      </c>
      <c r="C761" s="3" t="str">
        <f t="shared" si="1"/>
        <v>PT. Bintang Kejora Nusantara</v>
      </c>
      <c r="D761" s="3" t="s">
        <v>84</v>
      </c>
      <c r="E761" s="3" t="s">
        <v>196</v>
      </c>
      <c r="F761" s="3" t="s">
        <v>197</v>
      </c>
      <c r="G761" s="3" t="s">
        <v>76</v>
      </c>
      <c r="H761" s="3" t="str">
        <f t="array" ref="H761">XLOOKUP(G:G,'Account Manager Data'!A:A,'Account Manager Data'!B:B,0)</f>
        <v>Teguh Wijaya</v>
      </c>
      <c r="I761" s="11" t="str">
        <f t="array" ref="I761">XLOOKUP($G:$G,'Account Manager Data'!$A:$A,'Account Manager Data'!C:C)</f>
        <v>Sulawesi</v>
      </c>
      <c r="J761" s="17">
        <v>544593.0</v>
      </c>
      <c r="K761" s="17">
        <v>6568208.0</v>
      </c>
      <c r="L761" s="17">
        <v>1.018611E7</v>
      </c>
      <c r="M761" s="17">
        <v>2786752.0</v>
      </c>
      <c r="N761" s="17">
        <v>162318.0</v>
      </c>
      <c r="O761" s="17">
        <v>1.4114264E7</v>
      </c>
      <c r="P761" s="17">
        <v>9174523.0</v>
      </c>
      <c r="Q761" s="17">
        <v>1.5383165E7</v>
      </c>
      <c r="R761" s="17">
        <v>1.6579499E7</v>
      </c>
      <c r="S761" s="17">
        <v>3060700.0</v>
      </c>
      <c r="T761" s="17">
        <v>1.9151211E7</v>
      </c>
      <c r="U761" s="17">
        <v>1.2307153E7</v>
      </c>
      <c r="V761" s="11">
        <f t="array" ref="V761">XLOOKUP(A:A,'Raw Revenue'!A:A,'Raw Revenue'!B:B,0)
</f>
        <v>0</v>
      </c>
      <c r="W761" s="11">
        <f t="array" ref="W761">XLOOKUP(A:A,'Raw Revenue'!C:C,'Raw Revenue'!D:D,0)</f>
        <v>0</v>
      </c>
      <c r="X761" s="11">
        <f t="array" ref="X761">XLOOKUP(A:A,'Raw Revenue'!E:E,'Raw Revenue'!F:F,0)</f>
        <v>0</v>
      </c>
      <c r="Y761" s="11">
        <f t="array" ref="Y761">XLOOKUP(A:A,'Raw Revenue'!G:G,'Raw Revenue'!H:H,0)</f>
        <v>0</v>
      </c>
      <c r="Z761" s="11">
        <f t="array" ref="Z761">XLOOKUP(A:A,'Raw Revenue'!I:I,'Raw Revenue'!J:J,0)</f>
        <v>0</v>
      </c>
      <c r="AA761" s="11">
        <f t="array" ref="AA761">XLOOKUP(A:A,'Raw Revenue'!K:K,'Raw Revenue'!L:L,0)</f>
        <v>0</v>
      </c>
      <c r="AB761" s="11">
        <f t="array" ref="AB761">XLOOKUP(A:A,'Raw Revenue'!M:M,'Raw Revenue'!N:N,0)</f>
        <v>0</v>
      </c>
      <c r="AC761" s="3">
        <v>0.0</v>
      </c>
      <c r="AD761" s="3">
        <v>0.0</v>
      </c>
      <c r="AE761" s="3">
        <v>0.0</v>
      </c>
      <c r="AF761" s="3">
        <v>0.0</v>
      </c>
      <c r="AG761" s="3">
        <v>0.0</v>
      </c>
    </row>
    <row r="762">
      <c r="A762" s="3" t="s">
        <v>1750</v>
      </c>
      <c r="B762" s="3" t="s">
        <v>1751</v>
      </c>
      <c r="C762" s="3" t="str">
        <f t="shared" si="1"/>
        <v>PT. Maju Jaya</v>
      </c>
      <c r="D762" s="3" t="s">
        <v>84</v>
      </c>
      <c r="E762" s="3" t="s">
        <v>187</v>
      </c>
      <c r="F762" s="3" t="s">
        <v>188</v>
      </c>
      <c r="G762" s="3" t="s">
        <v>70</v>
      </c>
      <c r="H762" s="3" t="str">
        <f t="array" ref="H762">XLOOKUP(G:G,'Account Manager Data'!A:A,'Account Manager Data'!B:B,0)</f>
        <v>Yusuf Hidayat</v>
      </c>
      <c r="I762" s="11" t="str">
        <f t="array" ref="I762">XLOOKUP($G:$G,'Account Manager Data'!$A:$A,'Account Manager Data'!C:C)</f>
        <v>Sumatera</v>
      </c>
      <c r="J762" s="17">
        <v>6850712.0</v>
      </c>
      <c r="K762" s="17">
        <v>695212.0</v>
      </c>
      <c r="L762" s="17">
        <v>0.0</v>
      </c>
      <c r="M762" s="17">
        <v>24274.0</v>
      </c>
      <c r="N762" s="17">
        <v>1.3531622E7</v>
      </c>
      <c r="O762" s="17">
        <v>3429446.0</v>
      </c>
      <c r="P762" s="17">
        <v>1.2711064E7</v>
      </c>
      <c r="Q762" s="17">
        <v>1.2783633E7</v>
      </c>
      <c r="R762" s="17">
        <v>1.3471597E7</v>
      </c>
      <c r="S762" s="17">
        <v>9826295.0</v>
      </c>
      <c r="T762" s="17">
        <v>1.5114154E7</v>
      </c>
      <c r="U762" s="17">
        <v>0.0</v>
      </c>
      <c r="V762" s="11">
        <f t="array" ref="V762">XLOOKUP(A:A,'Raw Revenue'!A:A,'Raw Revenue'!B:B,0)
</f>
        <v>0</v>
      </c>
      <c r="W762" s="11">
        <f t="array" ref="W762">XLOOKUP(A:A,'Raw Revenue'!C:C,'Raw Revenue'!D:D,0)</f>
        <v>0</v>
      </c>
      <c r="X762" s="11">
        <f t="array" ref="X762">XLOOKUP(A:A,'Raw Revenue'!E:E,'Raw Revenue'!F:F,0)</f>
        <v>0</v>
      </c>
      <c r="Y762" s="11">
        <f t="array" ref="Y762">XLOOKUP(A:A,'Raw Revenue'!G:G,'Raw Revenue'!H:H,0)</f>
        <v>0</v>
      </c>
      <c r="Z762" s="11">
        <f t="array" ref="Z762">XLOOKUP(A:A,'Raw Revenue'!I:I,'Raw Revenue'!J:J,0)</f>
        <v>0</v>
      </c>
      <c r="AA762" s="11">
        <f t="array" ref="AA762">XLOOKUP(A:A,'Raw Revenue'!K:K,'Raw Revenue'!L:L,0)</f>
        <v>0</v>
      </c>
      <c r="AB762" s="11">
        <f t="array" ref="AB762">XLOOKUP(A:A,'Raw Revenue'!M:M,'Raw Revenue'!N:N,0)</f>
        <v>0</v>
      </c>
      <c r="AC762" s="3">
        <v>0.0</v>
      </c>
      <c r="AD762" s="3">
        <v>0.0</v>
      </c>
      <c r="AE762" s="3">
        <v>0.0</v>
      </c>
      <c r="AF762" s="3">
        <v>0.0</v>
      </c>
      <c r="AG762" s="3">
        <v>0.0</v>
      </c>
    </row>
    <row r="763">
      <c r="A763" s="3" t="s">
        <v>1752</v>
      </c>
      <c r="B763" s="3" t="s">
        <v>1753</v>
      </c>
      <c r="C763" s="3" t="str">
        <f t="shared" si="1"/>
        <v>CV. Sumber Makmur</v>
      </c>
      <c r="D763" s="3" t="s">
        <v>186</v>
      </c>
      <c r="E763" s="3" t="s">
        <v>215</v>
      </c>
      <c r="F763" s="3" t="s">
        <v>216</v>
      </c>
      <c r="G763" s="3" t="s">
        <v>15</v>
      </c>
      <c r="H763" s="3" t="str">
        <f t="array" ref="H763">XLOOKUP(G:G,'Account Manager Data'!A:A,'Account Manager Data'!B:B,0)</f>
        <v>Rizky Maulana</v>
      </c>
      <c r="I763" s="11" t="str">
        <f t="array" ref="I763">XLOOKUP($G:$G,'Account Manager Data'!$A:$A,'Account Manager Data'!C:C)</f>
        <v>Jawa</v>
      </c>
      <c r="J763" s="17">
        <v>6246637.0</v>
      </c>
      <c r="K763" s="17">
        <v>4955210.0</v>
      </c>
      <c r="L763" s="17">
        <v>9991183.0</v>
      </c>
      <c r="M763" s="17">
        <v>7108326.0</v>
      </c>
      <c r="N763" s="17">
        <v>1.0197671E7</v>
      </c>
      <c r="O763" s="17">
        <v>1443568.0</v>
      </c>
      <c r="P763" s="17">
        <v>8880814.0</v>
      </c>
      <c r="Q763" s="17">
        <v>1.0730788E7</v>
      </c>
      <c r="R763" s="17">
        <v>2844171.0</v>
      </c>
      <c r="S763" s="17">
        <v>2039006.0</v>
      </c>
      <c r="T763" s="17">
        <v>5018023.0</v>
      </c>
      <c r="U763" s="17">
        <v>1.9043145E7</v>
      </c>
      <c r="V763" s="11">
        <f t="array" ref="V763">XLOOKUP(A:A,'Raw Revenue'!A:A,'Raw Revenue'!B:B,0)
</f>
        <v>0</v>
      </c>
      <c r="W763" s="11">
        <f t="array" ref="W763">XLOOKUP(A:A,'Raw Revenue'!C:C,'Raw Revenue'!D:D,0)</f>
        <v>0</v>
      </c>
      <c r="X763" s="11">
        <f t="array" ref="X763">XLOOKUP(A:A,'Raw Revenue'!E:E,'Raw Revenue'!F:F,0)</f>
        <v>0</v>
      </c>
      <c r="Y763" s="11">
        <f t="array" ref="Y763">XLOOKUP(A:A,'Raw Revenue'!G:G,'Raw Revenue'!H:H,0)</f>
        <v>0</v>
      </c>
      <c r="Z763" s="11">
        <f t="array" ref="Z763">XLOOKUP(A:A,'Raw Revenue'!I:I,'Raw Revenue'!J:J,0)</f>
        <v>0</v>
      </c>
      <c r="AA763" s="11">
        <f t="array" ref="AA763">XLOOKUP(A:A,'Raw Revenue'!K:K,'Raw Revenue'!L:L,0)</f>
        <v>0</v>
      </c>
      <c r="AB763" s="11">
        <f t="array" ref="AB763">XLOOKUP(A:A,'Raw Revenue'!M:M,'Raw Revenue'!N:N,0)</f>
        <v>0</v>
      </c>
      <c r="AC763" s="3">
        <v>0.0</v>
      </c>
      <c r="AD763" s="3">
        <v>0.0</v>
      </c>
      <c r="AE763" s="3">
        <v>0.0</v>
      </c>
      <c r="AF763" s="3">
        <v>0.0</v>
      </c>
      <c r="AG763" s="3">
        <v>0.0</v>
      </c>
    </row>
    <row r="764">
      <c r="A764" s="3" t="s">
        <v>1754</v>
      </c>
      <c r="B764" s="3" t="s">
        <v>1755</v>
      </c>
      <c r="C764" s="3" t="str">
        <f t="shared" si="1"/>
        <v>PT. Teknologi Nusantara</v>
      </c>
      <c r="D764" s="3" t="s">
        <v>195</v>
      </c>
      <c r="E764" s="3" t="s">
        <v>104</v>
      </c>
      <c r="F764" s="3" t="s">
        <v>134</v>
      </c>
      <c r="G764" s="3" t="s">
        <v>27</v>
      </c>
      <c r="H764" s="3" t="str">
        <f t="array" ref="H764">XLOOKUP(G:G,'Account Manager Data'!A:A,'Account Manager Data'!B:B,0)</f>
        <v>Dedi Kurniawan</v>
      </c>
      <c r="I764" s="11" t="str">
        <f t="array" ref="I764">XLOOKUP($G:$G,'Account Manager Data'!$A:$A,'Account Manager Data'!C:C)</f>
        <v>Kalimantan</v>
      </c>
      <c r="J764" s="17">
        <v>564804.0</v>
      </c>
      <c r="K764" s="17">
        <v>1812860.0</v>
      </c>
      <c r="L764" s="17">
        <v>7397391.0</v>
      </c>
      <c r="M764" s="17">
        <v>1227638.0</v>
      </c>
      <c r="N764" s="17">
        <v>1731150.0</v>
      </c>
      <c r="O764" s="17">
        <v>6924136.0</v>
      </c>
      <c r="P764" s="17">
        <v>3233855.0</v>
      </c>
      <c r="Q764" s="17">
        <v>4419721.0</v>
      </c>
      <c r="R764" s="17">
        <v>7392538.0</v>
      </c>
      <c r="S764" s="17">
        <v>394708.0</v>
      </c>
      <c r="T764" s="17">
        <v>4987044.0</v>
      </c>
      <c r="U764" s="17">
        <v>1.927427E7</v>
      </c>
      <c r="V764" s="11">
        <f t="array" ref="V764">XLOOKUP(A:A,'Raw Revenue'!A:A,'Raw Revenue'!B:B,0)
</f>
        <v>0</v>
      </c>
      <c r="W764" s="11">
        <f t="array" ref="W764">XLOOKUP(A:A,'Raw Revenue'!C:C,'Raw Revenue'!D:D,0)</f>
        <v>0</v>
      </c>
      <c r="X764" s="11">
        <f t="array" ref="X764">XLOOKUP(A:A,'Raw Revenue'!E:E,'Raw Revenue'!F:F,0)</f>
        <v>0</v>
      </c>
      <c r="Y764" s="11">
        <f t="array" ref="Y764">XLOOKUP(A:A,'Raw Revenue'!G:G,'Raw Revenue'!H:H,0)</f>
        <v>0</v>
      </c>
      <c r="Z764" s="11">
        <f t="array" ref="Z764">XLOOKUP(A:A,'Raw Revenue'!I:I,'Raw Revenue'!J:J,0)</f>
        <v>0</v>
      </c>
      <c r="AA764" s="11">
        <f t="array" ref="AA764">XLOOKUP(A:A,'Raw Revenue'!K:K,'Raw Revenue'!L:L,0)</f>
        <v>0</v>
      </c>
      <c r="AB764" s="11">
        <f t="array" ref="AB764">XLOOKUP(A:A,'Raw Revenue'!M:M,'Raw Revenue'!N:N,0)</f>
        <v>0</v>
      </c>
      <c r="AC764" s="3">
        <v>0.0</v>
      </c>
      <c r="AD764" s="3">
        <v>0.0</v>
      </c>
      <c r="AE764" s="3">
        <v>0.0</v>
      </c>
      <c r="AF764" s="3">
        <v>0.0</v>
      </c>
      <c r="AG764" s="3">
        <v>0.0</v>
      </c>
    </row>
    <row r="765">
      <c r="A765" s="3" t="s">
        <v>1756</v>
      </c>
      <c r="B765" s="3" t="s">
        <v>1757</v>
      </c>
      <c r="C765" s="3" t="str">
        <f t="shared" si="1"/>
        <v>PT. Bakti Indonesia</v>
      </c>
      <c r="D765" s="3" t="s">
        <v>186</v>
      </c>
      <c r="E765" s="3" t="s">
        <v>85</v>
      </c>
      <c r="F765" s="3" t="s">
        <v>248</v>
      </c>
      <c r="G765" s="3" t="s">
        <v>78</v>
      </c>
      <c r="H765" s="3" t="str">
        <f t="array" ref="H765">XLOOKUP(G:G,'Account Manager Data'!A:A,'Account Manager Data'!B:B,0)</f>
        <v>Ilham Saputra</v>
      </c>
      <c r="I765" s="11" t="str">
        <f t="array" ref="I765">XLOOKUP($G:$G,'Account Manager Data'!$A:$A,'Account Manager Data'!C:C)</f>
        <v>Jawa</v>
      </c>
      <c r="J765" s="17">
        <v>3154607.0</v>
      </c>
      <c r="K765" s="17">
        <v>3208341.0</v>
      </c>
      <c r="L765" s="17">
        <v>6857815.0</v>
      </c>
      <c r="M765" s="17">
        <v>7659828.0</v>
      </c>
      <c r="N765" s="17">
        <v>1.3064771E7</v>
      </c>
      <c r="O765" s="17">
        <v>9139273.0</v>
      </c>
      <c r="P765" s="17">
        <v>1291833.0</v>
      </c>
      <c r="Q765" s="17">
        <v>1.3411955E7</v>
      </c>
      <c r="R765" s="17">
        <v>5638931.0</v>
      </c>
      <c r="S765" s="17">
        <v>2791194.0</v>
      </c>
      <c r="T765" s="17">
        <v>6023654.0</v>
      </c>
      <c r="U765" s="17">
        <v>3292178.0</v>
      </c>
      <c r="V765" s="11">
        <f t="array" ref="V765">XLOOKUP(A:A,'Raw Revenue'!A:A,'Raw Revenue'!B:B,0)
</f>
        <v>0</v>
      </c>
      <c r="W765" s="11">
        <f t="array" ref="W765">XLOOKUP(A:A,'Raw Revenue'!C:C,'Raw Revenue'!D:D,0)</f>
        <v>0</v>
      </c>
      <c r="X765" s="11">
        <f t="array" ref="X765">XLOOKUP(A:A,'Raw Revenue'!E:E,'Raw Revenue'!F:F,0)</f>
        <v>0</v>
      </c>
      <c r="Y765" s="11">
        <f t="array" ref="Y765">XLOOKUP(A:A,'Raw Revenue'!G:G,'Raw Revenue'!H:H,0)</f>
        <v>0</v>
      </c>
      <c r="Z765" s="11">
        <f t="array" ref="Z765">XLOOKUP(A:A,'Raw Revenue'!I:I,'Raw Revenue'!J:J,0)</f>
        <v>0</v>
      </c>
      <c r="AA765" s="11">
        <f t="array" ref="AA765">XLOOKUP(A:A,'Raw Revenue'!K:K,'Raw Revenue'!L:L,0)</f>
        <v>0</v>
      </c>
      <c r="AB765" s="11">
        <f t="array" ref="AB765">XLOOKUP(A:A,'Raw Revenue'!M:M,'Raw Revenue'!N:N,0)</f>
        <v>0</v>
      </c>
      <c r="AC765" s="3">
        <v>0.0</v>
      </c>
      <c r="AD765" s="3">
        <v>0.0</v>
      </c>
      <c r="AE765" s="3">
        <v>0.0</v>
      </c>
      <c r="AF765" s="3">
        <v>0.0</v>
      </c>
      <c r="AG765" s="3">
        <v>0.0</v>
      </c>
    </row>
    <row r="766">
      <c r="A766" s="3" t="s">
        <v>1758</v>
      </c>
      <c r="B766" s="3" t="s">
        <v>1759</v>
      </c>
      <c r="C766" s="3" t="str">
        <f t="shared" si="1"/>
        <v>CV. Amanah Sejahtera</v>
      </c>
      <c r="D766" s="3" t="s">
        <v>214</v>
      </c>
      <c r="E766" s="3" t="s">
        <v>196</v>
      </c>
      <c r="F766" s="3" t="s">
        <v>260</v>
      </c>
      <c r="G766" s="3" t="s">
        <v>53</v>
      </c>
      <c r="H766" s="3" t="str">
        <f t="array" ref="H766">XLOOKUP(G:G,'Account Manager Data'!A:A,'Account Manager Data'!B:B,0)</f>
        <v>Fajar Ramadhan</v>
      </c>
      <c r="I766" s="11" t="str">
        <f t="array" ref="I766">XLOOKUP($G:$G,'Account Manager Data'!$A:$A,'Account Manager Data'!C:C)</f>
        <v>Sulawesi</v>
      </c>
      <c r="J766" s="17">
        <v>1305945.0</v>
      </c>
      <c r="K766" s="17">
        <v>8733254.0</v>
      </c>
      <c r="L766" s="17">
        <v>650852.0</v>
      </c>
      <c r="M766" s="17">
        <v>2315453.0</v>
      </c>
      <c r="N766" s="17">
        <v>7887423.0</v>
      </c>
      <c r="O766" s="17">
        <v>9475763.0</v>
      </c>
      <c r="P766" s="17">
        <v>0.0</v>
      </c>
      <c r="Q766" s="17">
        <v>3028288.0</v>
      </c>
      <c r="R766" s="17">
        <v>1.3794541E7</v>
      </c>
      <c r="S766" s="17">
        <v>9161695.0</v>
      </c>
      <c r="T766" s="17">
        <v>0.0</v>
      </c>
      <c r="U766" s="17">
        <v>1.5944807E7</v>
      </c>
      <c r="V766" s="11">
        <f t="array" ref="V766">XLOOKUP(A:A,'Raw Revenue'!A:A,'Raw Revenue'!B:B,0)
</f>
        <v>0</v>
      </c>
      <c r="W766" s="11">
        <f t="array" ref="W766">XLOOKUP(A:A,'Raw Revenue'!C:C,'Raw Revenue'!D:D,0)</f>
        <v>0</v>
      </c>
      <c r="X766" s="11">
        <f t="array" ref="X766">XLOOKUP(A:A,'Raw Revenue'!E:E,'Raw Revenue'!F:F,0)</f>
        <v>0</v>
      </c>
      <c r="Y766" s="11">
        <f t="array" ref="Y766">XLOOKUP(A:A,'Raw Revenue'!G:G,'Raw Revenue'!H:H,0)</f>
        <v>0</v>
      </c>
      <c r="Z766" s="11">
        <f t="array" ref="Z766">XLOOKUP(A:A,'Raw Revenue'!I:I,'Raw Revenue'!J:J,0)</f>
        <v>0</v>
      </c>
      <c r="AA766" s="11">
        <f t="array" ref="AA766">XLOOKUP(A:A,'Raw Revenue'!K:K,'Raw Revenue'!L:L,0)</f>
        <v>0</v>
      </c>
      <c r="AB766" s="11">
        <f t="array" ref="AB766">XLOOKUP(A:A,'Raw Revenue'!M:M,'Raw Revenue'!N:N,0)</f>
        <v>0</v>
      </c>
      <c r="AC766" s="3">
        <v>0.0</v>
      </c>
      <c r="AD766" s="3">
        <v>0.0</v>
      </c>
      <c r="AE766" s="3">
        <v>0.0</v>
      </c>
      <c r="AF766" s="3">
        <v>0.0</v>
      </c>
      <c r="AG766" s="3">
        <v>0.0</v>
      </c>
    </row>
    <row r="767">
      <c r="A767" s="3" t="s">
        <v>461</v>
      </c>
      <c r="B767" s="3" t="s">
        <v>1760</v>
      </c>
      <c r="C767" s="3" t="str">
        <f t="shared" si="1"/>
        <v>PT. Digital Solusi Pratama</v>
      </c>
      <c r="D767" s="3" t="s">
        <v>103</v>
      </c>
      <c r="E767" s="3" t="s">
        <v>187</v>
      </c>
      <c r="F767" s="3" t="s">
        <v>269</v>
      </c>
      <c r="G767" s="3" t="s">
        <v>63</v>
      </c>
      <c r="H767" s="3" t="str">
        <f t="array" ref="H767">XLOOKUP(G:G,'Account Manager Data'!A:A,'Account Manager Data'!B:B,0)</f>
        <v>Hendra Gunawan</v>
      </c>
      <c r="I767" s="11" t="str">
        <f t="array" ref="I767">XLOOKUP($G:$G,'Account Manager Data'!$A:$A,'Account Manager Data'!C:C)</f>
        <v>Kalimantan</v>
      </c>
      <c r="J767" s="17">
        <v>7966117.0</v>
      </c>
      <c r="K767" s="17">
        <v>7174813.0</v>
      </c>
      <c r="L767" s="17">
        <v>1.0683797E7</v>
      </c>
      <c r="M767" s="17">
        <v>9135796.0</v>
      </c>
      <c r="N767" s="17">
        <v>0.0</v>
      </c>
      <c r="O767" s="17">
        <v>3184553.0</v>
      </c>
      <c r="P767" s="17">
        <v>0.0</v>
      </c>
      <c r="Q767" s="17">
        <v>1.3251744E7</v>
      </c>
      <c r="R767" s="17">
        <v>1.6317429E7</v>
      </c>
      <c r="S767" s="17">
        <v>1.0516328E7</v>
      </c>
      <c r="T767" s="17">
        <v>1.7229291E7</v>
      </c>
      <c r="U767" s="17">
        <v>1.853931E7</v>
      </c>
      <c r="V767" s="11">
        <f t="array" ref="V767">XLOOKUP(A:A,'Raw Revenue'!A:A,'Raw Revenue'!B:B,0)
</f>
        <v>1326097.006</v>
      </c>
      <c r="W767" s="11">
        <f t="array" ref="W767">XLOOKUP(A:A,'Raw Revenue'!C:C,'Raw Revenue'!D:D,0)</f>
        <v>1326097.006</v>
      </c>
      <c r="X767" s="11">
        <f t="array" ref="X767">XLOOKUP(A:A,'Raw Revenue'!E:E,'Raw Revenue'!F:F,0)</f>
        <v>2652194.011</v>
      </c>
      <c r="Y767" s="11">
        <f t="array" ref="Y767">XLOOKUP(A:A,'Raw Revenue'!G:G,'Raw Revenue'!H:H,0)</f>
        <v>2165958.442</v>
      </c>
      <c r="Z767" s="11">
        <f t="array" ref="Z767">XLOOKUP(A:A,'Raw Revenue'!I:I,'Raw Revenue'!J:J,0)</f>
        <v>1944942.275</v>
      </c>
      <c r="AA767" s="11">
        <f t="array" ref="AA767">XLOOKUP(A:A,'Raw Revenue'!K:K,'Raw Revenue'!L:L,0)</f>
        <v>4972863.771</v>
      </c>
      <c r="AB767" s="11">
        <f t="array" ref="AB767">XLOOKUP(A:A,'Raw Revenue'!M:M,'Raw Revenue'!N:N,0)</f>
        <v>4575034.669</v>
      </c>
      <c r="AC767" s="3">
        <v>0.0</v>
      </c>
      <c r="AD767" s="3">
        <v>0.0</v>
      </c>
      <c r="AE767" s="3">
        <v>0.0</v>
      </c>
      <c r="AF767" s="3">
        <v>0.0</v>
      </c>
      <c r="AG767" s="3">
        <v>0.0</v>
      </c>
    </row>
    <row r="768">
      <c r="A768" s="3" t="s">
        <v>1761</v>
      </c>
      <c r="B768" s="3" t="s">
        <v>1762</v>
      </c>
      <c r="C768" s="3" t="str">
        <f t="shared" si="1"/>
        <v>PT. Global Niaga Abadi</v>
      </c>
      <c r="D768" s="3" t="s">
        <v>195</v>
      </c>
      <c r="E768" s="3" t="s">
        <v>196</v>
      </c>
      <c r="F768" s="3" t="s">
        <v>260</v>
      </c>
      <c r="G768" s="3" t="s">
        <v>35</v>
      </c>
      <c r="H768" s="3" t="str">
        <f t="array" ref="H768">XLOOKUP(G:G,'Account Manager Data'!A:A,'Account Manager Data'!B:B,0)</f>
        <v>Ahmad Fauzi</v>
      </c>
      <c r="I768" s="11" t="str">
        <f t="array" ref="I768">XLOOKUP($G:$G,'Account Manager Data'!$A:$A,'Account Manager Data'!C:C)</f>
        <v>Sumatera</v>
      </c>
      <c r="J768" s="17">
        <v>991226.0</v>
      </c>
      <c r="K768" s="17">
        <v>1583899.0</v>
      </c>
      <c r="L768" s="17">
        <v>4668143.0</v>
      </c>
      <c r="M768" s="17">
        <v>1.183831E7</v>
      </c>
      <c r="N768" s="17">
        <v>2895823.0</v>
      </c>
      <c r="O768" s="17">
        <v>7837696.0</v>
      </c>
      <c r="P768" s="17">
        <v>3751939.0</v>
      </c>
      <c r="Q768" s="17">
        <v>2568600.0</v>
      </c>
      <c r="R768" s="17">
        <v>2718241.0</v>
      </c>
      <c r="S768" s="17">
        <v>1.0341162E7</v>
      </c>
      <c r="T768" s="17">
        <v>3893578.0</v>
      </c>
      <c r="U768" s="17">
        <v>1.6793651E7</v>
      </c>
      <c r="V768" s="11">
        <f t="array" ref="V768">XLOOKUP(A:A,'Raw Revenue'!A:A,'Raw Revenue'!B:B,0)
</f>
        <v>0</v>
      </c>
      <c r="W768" s="11">
        <f t="array" ref="W768">XLOOKUP(A:A,'Raw Revenue'!C:C,'Raw Revenue'!D:D,0)</f>
        <v>0</v>
      </c>
      <c r="X768" s="11">
        <f t="array" ref="X768">XLOOKUP(A:A,'Raw Revenue'!E:E,'Raw Revenue'!F:F,0)</f>
        <v>0</v>
      </c>
      <c r="Y768" s="11">
        <f t="array" ref="Y768">XLOOKUP(A:A,'Raw Revenue'!G:G,'Raw Revenue'!H:H,0)</f>
        <v>0</v>
      </c>
      <c r="Z768" s="11">
        <f t="array" ref="Z768">XLOOKUP(A:A,'Raw Revenue'!I:I,'Raw Revenue'!J:J,0)</f>
        <v>0</v>
      </c>
      <c r="AA768" s="11">
        <f t="array" ref="AA768">XLOOKUP(A:A,'Raw Revenue'!K:K,'Raw Revenue'!L:L,0)</f>
        <v>0</v>
      </c>
      <c r="AB768" s="11">
        <f t="array" ref="AB768">XLOOKUP(A:A,'Raw Revenue'!M:M,'Raw Revenue'!N:N,0)</f>
        <v>0</v>
      </c>
      <c r="AC768" s="3">
        <v>0.0</v>
      </c>
      <c r="AD768" s="3">
        <v>0.0</v>
      </c>
      <c r="AE768" s="3">
        <v>0.0</v>
      </c>
      <c r="AF768" s="3">
        <v>0.0</v>
      </c>
      <c r="AG768" s="3">
        <v>0.0</v>
      </c>
    </row>
    <row r="769">
      <c r="A769" s="3" t="s">
        <v>391</v>
      </c>
      <c r="B769" s="3" t="s">
        <v>1763</v>
      </c>
      <c r="C769" s="3" t="str">
        <f t="shared" si="1"/>
        <v>PT. Indo Makmur Sentosa</v>
      </c>
      <c r="D769" s="3" t="s">
        <v>103</v>
      </c>
      <c r="E769" s="3" t="s">
        <v>104</v>
      </c>
      <c r="F769" s="3" t="s">
        <v>134</v>
      </c>
      <c r="G769" s="3" t="s">
        <v>74</v>
      </c>
      <c r="H769" s="3" t="str">
        <f t="array" ref="H769">XLOOKUP(G:G,'Account Manager Data'!A:A,'Account Manager Data'!B:B,0)</f>
        <v>Budi Santoso</v>
      </c>
      <c r="I769" s="11" t="str">
        <f t="array" ref="I769">XLOOKUP($G:$G,'Account Manager Data'!$A:$A,'Account Manager Data'!C:C)</f>
        <v>Papua</v>
      </c>
      <c r="J769" s="17">
        <v>2288226.0</v>
      </c>
      <c r="K769" s="17">
        <v>3920258.0</v>
      </c>
      <c r="L769" s="17">
        <v>604910.0</v>
      </c>
      <c r="M769" s="17">
        <v>267538.0</v>
      </c>
      <c r="N769" s="17">
        <v>1.1595884E7</v>
      </c>
      <c r="O769" s="17">
        <v>7152751.0</v>
      </c>
      <c r="P769" s="17">
        <v>5320296.0</v>
      </c>
      <c r="Q769" s="17">
        <v>4489148.0</v>
      </c>
      <c r="R769" s="17">
        <v>1.7285534E7</v>
      </c>
      <c r="S769" s="17">
        <v>0.0</v>
      </c>
      <c r="T769" s="17">
        <v>8266606.0</v>
      </c>
      <c r="U769" s="17">
        <v>2713151.0</v>
      </c>
      <c r="V769" s="11">
        <f t="array" ref="V769">XLOOKUP(A:A,'Raw Revenue'!A:A,'Raw Revenue'!B:B,0)
</f>
        <v>439705.8492</v>
      </c>
      <c r="W769" s="11">
        <f t="array" ref="W769">XLOOKUP(A:A,'Raw Revenue'!C:C,'Raw Revenue'!D:D,0)</f>
        <v>219852.9246</v>
      </c>
      <c r="X769" s="11">
        <f t="array" ref="X769">XLOOKUP(A:A,'Raw Revenue'!E:E,'Raw Revenue'!F:F,0)</f>
        <v>131911.7548</v>
      </c>
      <c r="Y769" s="11">
        <f t="array" ref="Y769">XLOOKUP(A:A,'Raw Revenue'!G:G,'Raw Revenue'!H:H,0)</f>
        <v>1538970.472</v>
      </c>
      <c r="Z769" s="11">
        <f t="array" ref="Z769">XLOOKUP(A:A,'Raw Revenue'!I:I,'Raw Revenue'!J:J,0)</f>
        <v>351764.6794</v>
      </c>
      <c r="AA769" s="11">
        <f t="array" ref="AA769">XLOOKUP(A:A,'Raw Revenue'!K:K,'Raw Revenue'!L:L,0)</f>
        <v>9893.381608</v>
      </c>
      <c r="AB769" s="11">
        <f t="array" ref="AB769">XLOOKUP(A:A,'Raw Revenue'!M:M,'Raw Revenue'!N:N,0)</f>
        <v>1325713.135</v>
      </c>
      <c r="AC769" s="3">
        <v>0.0</v>
      </c>
      <c r="AD769" s="3">
        <v>0.0</v>
      </c>
      <c r="AE769" s="3">
        <v>0.0</v>
      </c>
      <c r="AF769" s="3">
        <v>0.0</v>
      </c>
      <c r="AG769" s="3">
        <v>0.0</v>
      </c>
    </row>
    <row r="770">
      <c r="A770" s="3" t="s">
        <v>1764</v>
      </c>
      <c r="B770" s="3" t="s">
        <v>1765</v>
      </c>
      <c r="C770" s="3" t="str">
        <f t="shared" si="1"/>
        <v>PT. Citra Mandiri Utama</v>
      </c>
      <c r="D770" s="3" t="s">
        <v>130</v>
      </c>
      <c r="E770" s="3" t="s">
        <v>104</v>
      </c>
      <c r="F770" s="3" t="s">
        <v>252</v>
      </c>
      <c r="G770" s="3" t="s">
        <v>43</v>
      </c>
      <c r="H770" s="3" t="str">
        <f t="array" ref="H770">XLOOKUP(G:G,'Account Manager Data'!A:A,'Account Manager Data'!B:B,0)</f>
        <v>Eko Prasetyo</v>
      </c>
      <c r="I770" s="11" t="str">
        <f t="array" ref="I770">XLOOKUP($G:$G,'Account Manager Data'!$A:$A,'Account Manager Data'!C:C)</f>
        <v>Papua</v>
      </c>
      <c r="J770" s="17">
        <v>1196589.0</v>
      </c>
      <c r="K770" s="17">
        <v>78901.0</v>
      </c>
      <c r="L770" s="17">
        <v>1109328.0</v>
      </c>
      <c r="M770" s="17">
        <v>4335299.0</v>
      </c>
      <c r="N770" s="17">
        <v>8732603.0</v>
      </c>
      <c r="O770" s="17">
        <v>1.2351985E7</v>
      </c>
      <c r="P770" s="17">
        <v>2829413.0</v>
      </c>
      <c r="Q770" s="17">
        <v>0.0</v>
      </c>
      <c r="R770" s="17">
        <v>1193135.0</v>
      </c>
      <c r="S770" s="17">
        <v>1.5067687E7</v>
      </c>
      <c r="T770" s="17">
        <v>1.1666155E7</v>
      </c>
      <c r="U770" s="17">
        <v>1364620.0</v>
      </c>
      <c r="V770" s="11">
        <f t="array" ref="V770">XLOOKUP(A:A,'Raw Revenue'!A:A,'Raw Revenue'!B:B,0)
</f>
        <v>0</v>
      </c>
      <c r="W770" s="11">
        <f t="array" ref="W770">XLOOKUP(A:A,'Raw Revenue'!C:C,'Raw Revenue'!D:D,0)</f>
        <v>0</v>
      </c>
      <c r="X770" s="11">
        <f t="array" ref="X770">XLOOKUP(A:A,'Raw Revenue'!E:E,'Raw Revenue'!F:F,0)</f>
        <v>0</v>
      </c>
      <c r="Y770" s="11">
        <f t="array" ref="Y770">XLOOKUP(A:A,'Raw Revenue'!G:G,'Raw Revenue'!H:H,0)</f>
        <v>0</v>
      </c>
      <c r="Z770" s="11">
        <f t="array" ref="Z770">XLOOKUP(A:A,'Raw Revenue'!I:I,'Raw Revenue'!J:J,0)</f>
        <v>0</v>
      </c>
      <c r="AA770" s="11">
        <f t="array" ref="AA770">XLOOKUP(A:A,'Raw Revenue'!K:K,'Raw Revenue'!L:L,0)</f>
        <v>0</v>
      </c>
      <c r="AB770" s="11">
        <f t="array" ref="AB770">XLOOKUP(A:A,'Raw Revenue'!M:M,'Raw Revenue'!N:N,0)</f>
        <v>0</v>
      </c>
      <c r="AC770" s="3">
        <v>0.0</v>
      </c>
      <c r="AD770" s="3">
        <v>0.0</v>
      </c>
      <c r="AE770" s="3">
        <v>0.0</v>
      </c>
      <c r="AF770" s="3">
        <v>0.0</v>
      </c>
      <c r="AG770" s="3">
        <v>0.0</v>
      </c>
    </row>
    <row r="771">
      <c r="A771" s="3" t="s">
        <v>466</v>
      </c>
      <c r="B771" s="3" t="s">
        <v>1766</v>
      </c>
      <c r="C771" s="3" t="str">
        <f t="shared" si="1"/>
        <v>PT. Sinar Dunia Baru</v>
      </c>
      <c r="D771" s="3" t="s">
        <v>103</v>
      </c>
      <c r="E771" s="3" t="s">
        <v>215</v>
      </c>
      <c r="F771" s="3" t="s">
        <v>216</v>
      </c>
      <c r="G771" s="3" t="s">
        <v>76</v>
      </c>
      <c r="H771" s="3" t="str">
        <f t="array" ref="H771">XLOOKUP(G:G,'Account Manager Data'!A:A,'Account Manager Data'!B:B,0)</f>
        <v>Teguh Wijaya</v>
      </c>
      <c r="I771" s="11" t="str">
        <f t="array" ref="I771">XLOOKUP($G:$G,'Account Manager Data'!$A:$A,'Account Manager Data'!C:C)</f>
        <v>Sulawesi</v>
      </c>
      <c r="J771" s="17">
        <v>6024931.0</v>
      </c>
      <c r="K771" s="17">
        <v>6504233.0</v>
      </c>
      <c r="L771" s="17">
        <v>7383405.0</v>
      </c>
      <c r="M771" s="17">
        <v>5577284.0</v>
      </c>
      <c r="N771" s="17">
        <v>2207761.0</v>
      </c>
      <c r="O771" s="17">
        <v>22015.0</v>
      </c>
      <c r="P771" s="17">
        <v>0.0</v>
      </c>
      <c r="Q771" s="17">
        <v>5366673.0</v>
      </c>
      <c r="R771" s="17">
        <v>1.3268238E7</v>
      </c>
      <c r="S771" s="17">
        <v>2120.0</v>
      </c>
      <c r="T771" s="17">
        <v>6891060.0</v>
      </c>
      <c r="U771" s="17">
        <v>3768509.0</v>
      </c>
      <c r="V771" s="11">
        <f t="array" ref="V771">XLOOKUP(A:A,'Raw Revenue'!A:A,'Raw Revenue'!B:B,0)
</f>
        <v>2109699.782</v>
      </c>
      <c r="W771" s="11">
        <f t="array" ref="W771">XLOOKUP(A:A,'Raw Revenue'!C:C,'Raw Revenue'!D:D,0)</f>
        <v>1054849.891</v>
      </c>
      <c r="X771" s="11">
        <f t="array" ref="X771">XLOOKUP(A:A,'Raw Revenue'!E:E,'Raw Revenue'!F:F,0)</f>
        <v>632909.9345</v>
      </c>
      <c r="Y771" s="11">
        <f t="array" ref="Y771">XLOOKUP(A:A,'Raw Revenue'!G:G,'Raw Revenue'!H:H,0)</f>
        <v>7383949.236</v>
      </c>
      <c r="Z771" s="11">
        <f t="array" ref="Z771">XLOOKUP(A:A,'Raw Revenue'!I:I,'Raw Revenue'!J:J,0)</f>
        <v>1687759.825</v>
      </c>
      <c r="AA771" s="11">
        <f t="array" ref="AA771">XLOOKUP(A:A,'Raw Revenue'!K:K,'Raw Revenue'!L:L,0)</f>
        <v>47468.24509</v>
      </c>
      <c r="AB771" s="11">
        <f t="array" ref="AB771">XLOOKUP(A:A,'Raw Revenue'!M:M,'Raw Revenue'!N:N,0)</f>
        <v>6360744.842</v>
      </c>
      <c r="AC771" s="3">
        <v>0.0</v>
      </c>
      <c r="AD771" s="3">
        <v>0.0</v>
      </c>
      <c r="AE771" s="3">
        <v>0.0</v>
      </c>
      <c r="AF771" s="3">
        <v>0.0</v>
      </c>
      <c r="AG771" s="3">
        <v>0.0</v>
      </c>
    </row>
    <row r="772">
      <c r="A772" s="3" t="s">
        <v>1767</v>
      </c>
      <c r="B772" s="3" t="s">
        <v>1768</v>
      </c>
      <c r="C772" s="3" t="str">
        <f t="shared" si="1"/>
        <v>CV. Karya Utama Mandiri</v>
      </c>
      <c r="D772" s="3" t="s">
        <v>195</v>
      </c>
      <c r="E772" s="3" t="s">
        <v>187</v>
      </c>
      <c r="F772" s="3" t="s">
        <v>188</v>
      </c>
      <c r="G772" s="3" t="s">
        <v>70</v>
      </c>
      <c r="H772" s="3" t="str">
        <f t="array" ref="H772">XLOOKUP(G:G,'Account Manager Data'!A:A,'Account Manager Data'!B:B,0)</f>
        <v>Yusuf Hidayat</v>
      </c>
      <c r="I772" s="11" t="str">
        <f t="array" ref="I772">XLOOKUP($G:$G,'Account Manager Data'!$A:$A,'Account Manager Data'!C:C)</f>
        <v>Sumatera</v>
      </c>
      <c r="J772" s="17">
        <v>1253383.0</v>
      </c>
      <c r="K772" s="17">
        <v>0.0</v>
      </c>
      <c r="L772" s="17">
        <v>1.0602263E7</v>
      </c>
      <c r="M772" s="17">
        <v>0.0</v>
      </c>
      <c r="N772" s="17">
        <v>0.0</v>
      </c>
      <c r="O772" s="17">
        <v>5311502.0</v>
      </c>
      <c r="P772" s="17">
        <v>53043.0</v>
      </c>
      <c r="Q772" s="17">
        <v>7965355.0</v>
      </c>
      <c r="R772" s="17">
        <v>6625050.0</v>
      </c>
      <c r="S772" s="17">
        <v>3868460.0</v>
      </c>
      <c r="T772" s="17">
        <v>0.0</v>
      </c>
      <c r="U772" s="17">
        <v>9186475.0</v>
      </c>
      <c r="V772" s="11">
        <f t="array" ref="V772">XLOOKUP(A:A,'Raw Revenue'!A:A,'Raw Revenue'!B:B,0)
</f>
        <v>0</v>
      </c>
      <c r="W772" s="11">
        <f t="array" ref="W772">XLOOKUP(A:A,'Raw Revenue'!C:C,'Raw Revenue'!D:D,0)</f>
        <v>0</v>
      </c>
      <c r="X772" s="11">
        <f t="array" ref="X772">XLOOKUP(A:A,'Raw Revenue'!E:E,'Raw Revenue'!F:F,0)</f>
        <v>0</v>
      </c>
      <c r="Y772" s="11">
        <f t="array" ref="Y772">XLOOKUP(A:A,'Raw Revenue'!G:G,'Raw Revenue'!H:H,0)</f>
        <v>0</v>
      </c>
      <c r="Z772" s="11">
        <f t="array" ref="Z772">XLOOKUP(A:A,'Raw Revenue'!I:I,'Raw Revenue'!J:J,0)</f>
        <v>0</v>
      </c>
      <c r="AA772" s="11">
        <f t="array" ref="AA772">XLOOKUP(A:A,'Raw Revenue'!K:K,'Raw Revenue'!L:L,0)</f>
        <v>0</v>
      </c>
      <c r="AB772" s="11">
        <f t="array" ref="AB772">XLOOKUP(A:A,'Raw Revenue'!M:M,'Raw Revenue'!N:N,0)</f>
        <v>0</v>
      </c>
      <c r="AC772" s="3">
        <v>0.0</v>
      </c>
      <c r="AD772" s="3">
        <v>0.0</v>
      </c>
      <c r="AE772" s="3">
        <v>0.0</v>
      </c>
      <c r="AF772" s="3">
        <v>0.0</v>
      </c>
      <c r="AG772" s="3">
        <v>0.0</v>
      </c>
    </row>
    <row r="773">
      <c r="A773" s="3" t="s">
        <v>1769</v>
      </c>
      <c r="B773" s="3" t="s">
        <v>1770</v>
      </c>
      <c r="C773" s="3" t="str">
        <f t="shared" si="1"/>
        <v>PT. Pratama Jaya Sentosa</v>
      </c>
      <c r="D773" s="3" t="s">
        <v>214</v>
      </c>
      <c r="E773" s="3" t="s">
        <v>85</v>
      </c>
      <c r="F773" s="3" t="s">
        <v>248</v>
      </c>
      <c r="G773" s="3" t="s">
        <v>15</v>
      </c>
      <c r="H773" s="3" t="str">
        <f t="array" ref="H773">XLOOKUP(G:G,'Account Manager Data'!A:A,'Account Manager Data'!B:B,0)</f>
        <v>Rizky Maulana</v>
      </c>
      <c r="I773" s="11" t="str">
        <f t="array" ref="I773">XLOOKUP($G:$G,'Account Manager Data'!$A:$A,'Account Manager Data'!C:C)</f>
        <v>Jawa</v>
      </c>
      <c r="J773" s="17">
        <v>4059046.0</v>
      </c>
      <c r="K773" s="17">
        <v>722655.0</v>
      </c>
      <c r="L773" s="17">
        <v>1742698.0</v>
      </c>
      <c r="M773" s="17">
        <v>4325287.0</v>
      </c>
      <c r="N773" s="17">
        <v>3113935.0</v>
      </c>
      <c r="O773" s="17">
        <v>0.0</v>
      </c>
      <c r="P773" s="17">
        <v>0.0</v>
      </c>
      <c r="Q773" s="17">
        <v>0.0</v>
      </c>
      <c r="R773" s="17">
        <v>5922038.0</v>
      </c>
      <c r="S773" s="17">
        <v>1.1888124E7</v>
      </c>
      <c r="T773" s="17">
        <v>1.7366276E7</v>
      </c>
      <c r="U773" s="17">
        <v>1.3806408E7</v>
      </c>
      <c r="V773" s="11">
        <f t="array" ref="V773">XLOOKUP(A:A,'Raw Revenue'!A:A,'Raw Revenue'!B:B,0)
</f>
        <v>0</v>
      </c>
      <c r="W773" s="11">
        <f t="array" ref="W773">XLOOKUP(A:A,'Raw Revenue'!C:C,'Raw Revenue'!D:D,0)</f>
        <v>0</v>
      </c>
      <c r="X773" s="11">
        <f t="array" ref="X773">XLOOKUP(A:A,'Raw Revenue'!E:E,'Raw Revenue'!F:F,0)</f>
        <v>0</v>
      </c>
      <c r="Y773" s="11">
        <f t="array" ref="Y773">XLOOKUP(A:A,'Raw Revenue'!G:G,'Raw Revenue'!H:H,0)</f>
        <v>0</v>
      </c>
      <c r="Z773" s="11">
        <f t="array" ref="Z773">XLOOKUP(A:A,'Raw Revenue'!I:I,'Raw Revenue'!J:J,0)</f>
        <v>0</v>
      </c>
      <c r="AA773" s="11">
        <f t="array" ref="AA773">XLOOKUP(A:A,'Raw Revenue'!K:K,'Raw Revenue'!L:L,0)</f>
        <v>0</v>
      </c>
      <c r="AB773" s="11">
        <f t="array" ref="AB773">XLOOKUP(A:A,'Raw Revenue'!M:M,'Raw Revenue'!N:N,0)</f>
        <v>0</v>
      </c>
      <c r="AC773" s="3">
        <v>0.0</v>
      </c>
      <c r="AD773" s="3">
        <v>0.0</v>
      </c>
      <c r="AE773" s="3">
        <v>0.0</v>
      </c>
      <c r="AF773" s="3">
        <v>0.0</v>
      </c>
      <c r="AG773" s="3">
        <v>0.0</v>
      </c>
    </row>
    <row r="774">
      <c r="A774" s="3" t="s">
        <v>1771</v>
      </c>
      <c r="B774" s="3" t="s">
        <v>1772</v>
      </c>
      <c r="C774" s="3" t="str">
        <f t="shared" si="1"/>
        <v>PT. Abadi Selamanya Jaya</v>
      </c>
      <c r="D774" s="3" t="s">
        <v>195</v>
      </c>
      <c r="E774" s="3" t="s">
        <v>215</v>
      </c>
      <c r="F774" s="3" t="s">
        <v>300</v>
      </c>
      <c r="G774" s="3" t="s">
        <v>53</v>
      </c>
      <c r="H774" s="3" t="str">
        <f t="array" ref="H774">XLOOKUP(G:G,'Account Manager Data'!A:A,'Account Manager Data'!B:B,0)</f>
        <v>Fajar Ramadhan</v>
      </c>
      <c r="I774" s="11" t="str">
        <f t="array" ref="I774">XLOOKUP($G:$G,'Account Manager Data'!$A:$A,'Account Manager Data'!C:C)</f>
        <v>Sulawesi</v>
      </c>
      <c r="J774" s="17">
        <v>1475261.0</v>
      </c>
      <c r="K774" s="17">
        <v>9098695.0</v>
      </c>
      <c r="L774" s="17">
        <v>6192248.0</v>
      </c>
      <c r="M774" s="17">
        <v>0.0</v>
      </c>
      <c r="N774" s="17">
        <v>3804474.0</v>
      </c>
      <c r="O774" s="17">
        <v>2403052.0</v>
      </c>
      <c r="P774" s="17">
        <v>1.0596647E7</v>
      </c>
      <c r="Q774" s="17">
        <v>1.5431649E7</v>
      </c>
      <c r="R774" s="17">
        <v>0.0</v>
      </c>
      <c r="S774" s="17">
        <v>5870332.0</v>
      </c>
      <c r="T774" s="17">
        <v>1.0260022E7</v>
      </c>
      <c r="U774" s="17">
        <v>408856.0</v>
      </c>
      <c r="V774" s="11">
        <f t="array" ref="V774">XLOOKUP(A:A,'Raw Revenue'!A:A,'Raw Revenue'!B:B,0)
</f>
        <v>0</v>
      </c>
      <c r="W774" s="11">
        <f t="array" ref="W774">XLOOKUP(A:A,'Raw Revenue'!C:C,'Raw Revenue'!D:D,0)</f>
        <v>0</v>
      </c>
      <c r="X774" s="11">
        <f t="array" ref="X774">XLOOKUP(A:A,'Raw Revenue'!E:E,'Raw Revenue'!F:F,0)</f>
        <v>0</v>
      </c>
      <c r="Y774" s="11">
        <f t="array" ref="Y774">XLOOKUP(A:A,'Raw Revenue'!G:G,'Raw Revenue'!H:H,0)</f>
        <v>0</v>
      </c>
      <c r="Z774" s="11">
        <f t="array" ref="Z774">XLOOKUP(A:A,'Raw Revenue'!I:I,'Raw Revenue'!J:J,0)</f>
        <v>0</v>
      </c>
      <c r="AA774" s="11">
        <f t="array" ref="AA774">XLOOKUP(A:A,'Raw Revenue'!K:K,'Raw Revenue'!L:L,0)</f>
        <v>0</v>
      </c>
      <c r="AB774" s="11">
        <f t="array" ref="AB774">XLOOKUP(A:A,'Raw Revenue'!M:M,'Raw Revenue'!N:N,0)</f>
        <v>0</v>
      </c>
      <c r="AC774" s="3">
        <v>0.0</v>
      </c>
      <c r="AD774" s="3">
        <v>0.0</v>
      </c>
      <c r="AE774" s="3">
        <v>0.0</v>
      </c>
      <c r="AF774" s="3">
        <v>0.0</v>
      </c>
      <c r="AG774" s="3">
        <v>0.0</v>
      </c>
    </row>
    <row r="775">
      <c r="A775" s="3" t="s">
        <v>1773</v>
      </c>
      <c r="B775" s="3" t="s">
        <v>1774</v>
      </c>
      <c r="C775" s="3" t="str">
        <f t="shared" si="1"/>
        <v>PT. Mandiri Sejahtera Bersama</v>
      </c>
      <c r="D775" s="3" t="s">
        <v>186</v>
      </c>
      <c r="E775" s="3" t="s">
        <v>187</v>
      </c>
      <c r="F775" s="3" t="s">
        <v>295</v>
      </c>
      <c r="G775" s="3" t="s">
        <v>27</v>
      </c>
      <c r="H775" s="3" t="str">
        <f t="array" ref="H775">XLOOKUP(G:G,'Account Manager Data'!A:A,'Account Manager Data'!B:B,0)</f>
        <v>Dedi Kurniawan</v>
      </c>
      <c r="I775" s="11" t="str">
        <f t="array" ref="I775">XLOOKUP($G:$G,'Account Manager Data'!$A:$A,'Account Manager Data'!C:C)</f>
        <v>Kalimantan</v>
      </c>
      <c r="J775" s="17">
        <v>85732.0</v>
      </c>
      <c r="K775" s="17">
        <v>871983.0</v>
      </c>
      <c r="L775" s="17">
        <v>2258436.0</v>
      </c>
      <c r="M775" s="17">
        <v>7262518.0</v>
      </c>
      <c r="N775" s="17">
        <v>3668911.0</v>
      </c>
      <c r="O775" s="17">
        <v>1.3885164E7</v>
      </c>
      <c r="P775" s="17">
        <v>7285486.0</v>
      </c>
      <c r="Q775" s="17">
        <v>0.0</v>
      </c>
      <c r="R775" s="17">
        <v>0.0</v>
      </c>
      <c r="S775" s="17">
        <v>2174146.0</v>
      </c>
      <c r="T775" s="17">
        <v>92626.0</v>
      </c>
      <c r="U775" s="17">
        <v>5774965.0</v>
      </c>
      <c r="V775" s="11">
        <f t="array" ref="V775">XLOOKUP(A:A,'Raw Revenue'!A:A,'Raw Revenue'!B:B,0)
</f>
        <v>0</v>
      </c>
      <c r="W775" s="11">
        <f t="array" ref="W775">XLOOKUP(A:A,'Raw Revenue'!C:C,'Raw Revenue'!D:D,0)</f>
        <v>0</v>
      </c>
      <c r="X775" s="11">
        <f t="array" ref="X775">XLOOKUP(A:A,'Raw Revenue'!E:E,'Raw Revenue'!F:F,0)</f>
        <v>0</v>
      </c>
      <c r="Y775" s="11">
        <f t="array" ref="Y775">XLOOKUP(A:A,'Raw Revenue'!G:G,'Raw Revenue'!H:H,0)</f>
        <v>0</v>
      </c>
      <c r="Z775" s="11">
        <f t="array" ref="Z775">XLOOKUP(A:A,'Raw Revenue'!I:I,'Raw Revenue'!J:J,0)</f>
        <v>0</v>
      </c>
      <c r="AA775" s="11">
        <f t="array" ref="AA775">XLOOKUP(A:A,'Raw Revenue'!K:K,'Raw Revenue'!L:L,0)</f>
        <v>0</v>
      </c>
      <c r="AB775" s="11">
        <f t="array" ref="AB775">XLOOKUP(A:A,'Raw Revenue'!M:M,'Raw Revenue'!N:N,0)</f>
        <v>0</v>
      </c>
      <c r="AC775" s="3">
        <v>0.0</v>
      </c>
      <c r="AD775" s="3">
        <v>0.0</v>
      </c>
      <c r="AE775" s="3">
        <v>0.0</v>
      </c>
      <c r="AF775" s="3">
        <v>0.0</v>
      </c>
      <c r="AG775" s="3">
        <v>0.0</v>
      </c>
    </row>
    <row r="776">
      <c r="A776" s="3" t="s">
        <v>1775</v>
      </c>
      <c r="B776" s="3" t="s">
        <v>1776</v>
      </c>
      <c r="C776" s="3" t="str">
        <f t="shared" si="1"/>
        <v>PT. Sejahtera Alam Indonesia</v>
      </c>
      <c r="D776" s="3" t="s">
        <v>214</v>
      </c>
      <c r="E776" s="3" t="s">
        <v>85</v>
      </c>
      <c r="F776" s="3" t="s">
        <v>86</v>
      </c>
      <c r="G776" s="3" t="s">
        <v>78</v>
      </c>
      <c r="H776" s="3" t="str">
        <f t="array" ref="H776">XLOOKUP(G:G,'Account Manager Data'!A:A,'Account Manager Data'!B:B,0)</f>
        <v>Ilham Saputra</v>
      </c>
      <c r="I776" s="11" t="str">
        <f t="array" ref="I776">XLOOKUP($G:$G,'Account Manager Data'!$A:$A,'Account Manager Data'!C:C)</f>
        <v>Jawa</v>
      </c>
      <c r="J776" s="17">
        <v>4321192.0</v>
      </c>
      <c r="K776" s="17">
        <v>1315728.0</v>
      </c>
      <c r="L776" s="17">
        <v>30787.0</v>
      </c>
      <c r="M776" s="17">
        <v>6804662.0</v>
      </c>
      <c r="N776" s="17">
        <v>1.1740913E7</v>
      </c>
      <c r="O776" s="17">
        <v>1.2730155E7</v>
      </c>
      <c r="P776" s="17">
        <v>5285759.0</v>
      </c>
      <c r="Q776" s="17">
        <v>1.2137096E7</v>
      </c>
      <c r="R776" s="17">
        <v>3623959.0</v>
      </c>
      <c r="S776" s="17">
        <v>1.4682057E7</v>
      </c>
      <c r="T776" s="17">
        <v>1.6817378E7</v>
      </c>
      <c r="U776" s="17">
        <v>4055930.0</v>
      </c>
      <c r="V776" s="11">
        <f t="array" ref="V776">XLOOKUP(A:A,'Raw Revenue'!A:A,'Raw Revenue'!B:B,0)
</f>
        <v>0</v>
      </c>
      <c r="W776" s="11">
        <f t="array" ref="W776">XLOOKUP(A:A,'Raw Revenue'!C:C,'Raw Revenue'!D:D,0)</f>
        <v>0</v>
      </c>
      <c r="X776" s="11">
        <f t="array" ref="X776">XLOOKUP(A:A,'Raw Revenue'!E:E,'Raw Revenue'!F:F,0)</f>
        <v>0</v>
      </c>
      <c r="Y776" s="11">
        <f t="array" ref="Y776">XLOOKUP(A:A,'Raw Revenue'!G:G,'Raw Revenue'!H:H,0)</f>
        <v>0</v>
      </c>
      <c r="Z776" s="11">
        <f t="array" ref="Z776">XLOOKUP(A:A,'Raw Revenue'!I:I,'Raw Revenue'!J:J,0)</f>
        <v>0</v>
      </c>
      <c r="AA776" s="11">
        <f t="array" ref="AA776">XLOOKUP(A:A,'Raw Revenue'!K:K,'Raw Revenue'!L:L,0)</f>
        <v>0</v>
      </c>
      <c r="AB776" s="11">
        <f t="array" ref="AB776">XLOOKUP(A:A,'Raw Revenue'!M:M,'Raw Revenue'!N:N,0)</f>
        <v>0</v>
      </c>
      <c r="AC776" s="3">
        <v>0.0</v>
      </c>
      <c r="AD776" s="3">
        <v>0.0</v>
      </c>
      <c r="AE776" s="3">
        <v>0.0</v>
      </c>
      <c r="AF776" s="3">
        <v>0.0</v>
      </c>
      <c r="AG776" s="3">
        <v>0.0</v>
      </c>
    </row>
    <row r="777">
      <c r="A777" s="3" t="s">
        <v>1777</v>
      </c>
      <c r="B777" s="3" t="s">
        <v>1778</v>
      </c>
      <c r="C777" s="3" t="str">
        <f t="shared" si="1"/>
        <v>PT. Indah Kargo Logistik</v>
      </c>
      <c r="D777" s="3" t="s">
        <v>214</v>
      </c>
      <c r="E777" s="3" t="s">
        <v>215</v>
      </c>
      <c r="F777" s="3" t="s">
        <v>227</v>
      </c>
      <c r="G777" s="3" t="s">
        <v>63</v>
      </c>
      <c r="H777" s="3" t="str">
        <f t="array" ref="H777">XLOOKUP(G:G,'Account Manager Data'!A:A,'Account Manager Data'!B:B,0)</f>
        <v>Hendra Gunawan</v>
      </c>
      <c r="I777" s="11" t="str">
        <f t="array" ref="I777">XLOOKUP($G:$G,'Account Manager Data'!$A:$A,'Account Manager Data'!C:C)</f>
        <v>Kalimantan</v>
      </c>
      <c r="J777" s="17">
        <v>2936143.0</v>
      </c>
      <c r="K777" s="17">
        <v>449759.0</v>
      </c>
      <c r="L777" s="17">
        <v>8748779.0</v>
      </c>
      <c r="M777" s="17">
        <v>1.144119E7</v>
      </c>
      <c r="N777" s="17">
        <v>0.0</v>
      </c>
      <c r="O777" s="17">
        <v>1.1270712E7</v>
      </c>
      <c r="P777" s="17">
        <v>1.3892371E7</v>
      </c>
      <c r="Q777" s="17">
        <v>9079716.0</v>
      </c>
      <c r="R777" s="17">
        <v>8674813.0</v>
      </c>
      <c r="S777" s="17">
        <v>1.4471815E7</v>
      </c>
      <c r="T777" s="17">
        <v>1.3420283E7</v>
      </c>
      <c r="U777" s="17">
        <v>1.3710065E7</v>
      </c>
      <c r="V777" s="11">
        <f t="array" ref="V777">XLOOKUP(A:A,'Raw Revenue'!A:A,'Raw Revenue'!B:B,0)
</f>
        <v>0</v>
      </c>
      <c r="W777" s="11">
        <f t="array" ref="W777">XLOOKUP(A:A,'Raw Revenue'!C:C,'Raw Revenue'!D:D,0)</f>
        <v>0</v>
      </c>
      <c r="X777" s="11">
        <f t="array" ref="X777">XLOOKUP(A:A,'Raw Revenue'!E:E,'Raw Revenue'!F:F,0)</f>
        <v>0</v>
      </c>
      <c r="Y777" s="11">
        <f t="array" ref="Y777">XLOOKUP(A:A,'Raw Revenue'!G:G,'Raw Revenue'!H:H,0)</f>
        <v>0</v>
      </c>
      <c r="Z777" s="11">
        <f t="array" ref="Z777">XLOOKUP(A:A,'Raw Revenue'!I:I,'Raw Revenue'!J:J,0)</f>
        <v>0</v>
      </c>
      <c r="AA777" s="11">
        <f t="array" ref="AA777">XLOOKUP(A:A,'Raw Revenue'!K:K,'Raw Revenue'!L:L,0)</f>
        <v>0</v>
      </c>
      <c r="AB777" s="11">
        <f t="array" ref="AB777">XLOOKUP(A:A,'Raw Revenue'!M:M,'Raw Revenue'!N:N,0)</f>
        <v>0</v>
      </c>
      <c r="AC777" s="3">
        <v>0.0</v>
      </c>
      <c r="AD777" s="3">
        <v>0.0</v>
      </c>
      <c r="AE777" s="3">
        <v>0.0</v>
      </c>
      <c r="AF777" s="3">
        <v>0.0</v>
      </c>
      <c r="AG777" s="3">
        <v>0.0</v>
      </c>
    </row>
    <row r="778">
      <c r="A778" s="3" t="s">
        <v>1779</v>
      </c>
      <c r="B778" s="3" t="s">
        <v>1780</v>
      </c>
      <c r="C778" s="3" t="str">
        <f t="shared" si="1"/>
        <v>PT. Berkah Alam Semesta</v>
      </c>
      <c r="D778" s="3" t="s">
        <v>186</v>
      </c>
      <c r="E778" s="3" t="s">
        <v>104</v>
      </c>
      <c r="F778" s="3" t="s">
        <v>105</v>
      </c>
      <c r="G778" s="3" t="s">
        <v>35</v>
      </c>
      <c r="H778" s="3" t="str">
        <f t="array" ref="H778">XLOOKUP(G:G,'Account Manager Data'!A:A,'Account Manager Data'!B:B,0)</f>
        <v>Ahmad Fauzi</v>
      </c>
      <c r="I778" s="11" t="str">
        <f t="array" ref="I778">XLOOKUP($G:$G,'Account Manager Data'!$A:$A,'Account Manager Data'!C:C)</f>
        <v>Sumatera</v>
      </c>
      <c r="J778" s="17">
        <v>4949918.0</v>
      </c>
      <c r="K778" s="17">
        <v>4888109.0</v>
      </c>
      <c r="L778" s="17">
        <v>4585184.0</v>
      </c>
      <c r="M778" s="17">
        <v>2807702.0</v>
      </c>
      <c r="N778" s="17">
        <v>1.2472779E7</v>
      </c>
      <c r="O778" s="17">
        <v>6750778.0</v>
      </c>
      <c r="P778" s="17">
        <v>7602470.0</v>
      </c>
      <c r="Q778" s="17">
        <v>0.0</v>
      </c>
      <c r="R778" s="17">
        <v>3217759.0</v>
      </c>
      <c r="S778" s="17">
        <v>1.4111928E7</v>
      </c>
      <c r="T778" s="17">
        <v>1.8832016E7</v>
      </c>
      <c r="U778" s="17">
        <v>1.0655893E7</v>
      </c>
      <c r="V778" s="11">
        <f t="array" ref="V778">XLOOKUP(A:A,'Raw Revenue'!A:A,'Raw Revenue'!B:B,0)
</f>
        <v>0</v>
      </c>
      <c r="W778" s="11">
        <f t="array" ref="W778">XLOOKUP(A:A,'Raw Revenue'!C:C,'Raw Revenue'!D:D,0)</f>
        <v>0</v>
      </c>
      <c r="X778" s="11">
        <f t="array" ref="X778">XLOOKUP(A:A,'Raw Revenue'!E:E,'Raw Revenue'!F:F,0)</f>
        <v>0</v>
      </c>
      <c r="Y778" s="11">
        <f t="array" ref="Y778">XLOOKUP(A:A,'Raw Revenue'!G:G,'Raw Revenue'!H:H,0)</f>
        <v>0</v>
      </c>
      <c r="Z778" s="11">
        <f t="array" ref="Z778">XLOOKUP(A:A,'Raw Revenue'!I:I,'Raw Revenue'!J:J,0)</f>
        <v>0</v>
      </c>
      <c r="AA778" s="11">
        <f t="array" ref="AA778">XLOOKUP(A:A,'Raw Revenue'!K:K,'Raw Revenue'!L:L,0)</f>
        <v>0</v>
      </c>
      <c r="AB778" s="11">
        <f t="array" ref="AB778">XLOOKUP(A:A,'Raw Revenue'!M:M,'Raw Revenue'!N:N,0)</f>
        <v>0</v>
      </c>
      <c r="AC778" s="3">
        <v>0.0</v>
      </c>
      <c r="AD778" s="3">
        <v>0.0</v>
      </c>
      <c r="AE778" s="3">
        <v>0.0</v>
      </c>
      <c r="AF778" s="3">
        <v>0.0</v>
      </c>
      <c r="AG778" s="3">
        <v>0.0</v>
      </c>
    </row>
    <row r="779">
      <c r="A779" s="3" t="s">
        <v>1781</v>
      </c>
      <c r="B779" s="3" t="s">
        <v>1782</v>
      </c>
      <c r="C779" s="3" t="str">
        <f t="shared" si="1"/>
        <v>PT. Cahaya Baru Indonesia</v>
      </c>
      <c r="D779" s="3" t="s">
        <v>186</v>
      </c>
      <c r="E779" s="3" t="s">
        <v>187</v>
      </c>
      <c r="F779" s="3" t="s">
        <v>188</v>
      </c>
      <c r="G779" s="3" t="s">
        <v>43</v>
      </c>
      <c r="H779" s="3" t="str">
        <f t="array" ref="H779">XLOOKUP(G:G,'Account Manager Data'!A:A,'Account Manager Data'!B:B,0)</f>
        <v>Eko Prasetyo</v>
      </c>
      <c r="I779" s="11" t="str">
        <f t="array" ref="I779">XLOOKUP($G:$G,'Account Manager Data'!$A:$A,'Account Manager Data'!C:C)</f>
        <v>Papua</v>
      </c>
      <c r="J779" s="17">
        <v>1853674.0</v>
      </c>
      <c r="K779" s="17">
        <v>8776671.0</v>
      </c>
      <c r="L779" s="17">
        <v>6179813.0</v>
      </c>
      <c r="M779" s="17">
        <v>5493362.0</v>
      </c>
      <c r="N779" s="17">
        <v>1.2647147E7</v>
      </c>
      <c r="O779" s="17">
        <v>1.1750749E7</v>
      </c>
      <c r="P779" s="17">
        <v>1.0704656E7</v>
      </c>
      <c r="Q779" s="17">
        <v>2750626.0</v>
      </c>
      <c r="R779" s="17">
        <v>5670135.0</v>
      </c>
      <c r="S779" s="17">
        <v>5074569.0</v>
      </c>
      <c r="T779" s="17">
        <v>896058.0</v>
      </c>
      <c r="U779" s="17">
        <v>1.9427916E7</v>
      </c>
      <c r="V779" s="11">
        <f t="array" ref="V779">XLOOKUP(A:A,'Raw Revenue'!A:A,'Raw Revenue'!B:B,0)
</f>
        <v>0</v>
      </c>
      <c r="W779" s="11">
        <f t="array" ref="W779">XLOOKUP(A:A,'Raw Revenue'!C:C,'Raw Revenue'!D:D,0)</f>
        <v>0</v>
      </c>
      <c r="X779" s="11">
        <f t="array" ref="X779">XLOOKUP(A:A,'Raw Revenue'!E:E,'Raw Revenue'!F:F,0)</f>
        <v>0</v>
      </c>
      <c r="Y779" s="11">
        <f t="array" ref="Y779">XLOOKUP(A:A,'Raw Revenue'!G:G,'Raw Revenue'!H:H,0)</f>
        <v>0</v>
      </c>
      <c r="Z779" s="11">
        <f t="array" ref="Z779">XLOOKUP(A:A,'Raw Revenue'!I:I,'Raw Revenue'!J:J,0)</f>
        <v>0</v>
      </c>
      <c r="AA779" s="11">
        <f t="array" ref="AA779">XLOOKUP(A:A,'Raw Revenue'!K:K,'Raw Revenue'!L:L,0)</f>
        <v>0</v>
      </c>
      <c r="AB779" s="11">
        <f t="array" ref="AB779">XLOOKUP(A:A,'Raw Revenue'!M:M,'Raw Revenue'!N:N,0)</f>
        <v>0</v>
      </c>
      <c r="AC779" s="3">
        <v>0.0</v>
      </c>
      <c r="AD779" s="3">
        <v>0.0</v>
      </c>
      <c r="AE779" s="3">
        <v>0.0</v>
      </c>
      <c r="AF779" s="3">
        <v>0.0</v>
      </c>
      <c r="AG779" s="3">
        <v>0.0</v>
      </c>
    </row>
    <row r="780">
      <c r="A780" s="3" t="s">
        <v>1783</v>
      </c>
      <c r="B780" s="3" t="s">
        <v>1784</v>
      </c>
      <c r="C780" s="3" t="str">
        <f t="shared" si="1"/>
        <v>PT. Mentari Pagi Sejahtera</v>
      </c>
      <c r="D780" s="3" t="s">
        <v>214</v>
      </c>
      <c r="E780" s="3" t="s">
        <v>104</v>
      </c>
      <c r="F780" s="3" t="s">
        <v>134</v>
      </c>
      <c r="G780" s="3" t="s">
        <v>74</v>
      </c>
      <c r="H780" s="3" t="str">
        <f t="array" ref="H780">XLOOKUP(G:G,'Account Manager Data'!A:A,'Account Manager Data'!B:B,0)</f>
        <v>Budi Santoso</v>
      </c>
      <c r="I780" s="11" t="str">
        <f t="array" ref="I780">XLOOKUP($G:$G,'Account Manager Data'!$A:$A,'Account Manager Data'!C:C)</f>
        <v>Papua</v>
      </c>
      <c r="J780" s="17">
        <v>1117672.0</v>
      </c>
      <c r="K780" s="17">
        <v>4783377.0</v>
      </c>
      <c r="L780" s="17">
        <v>9568380.0</v>
      </c>
      <c r="M780" s="17">
        <v>2045309.0</v>
      </c>
      <c r="N780" s="17">
        <v>1.3704147E7</v>
      </c>
      <c r="O780" s="17">
        <v>0.0</v>
      </c>
      <c r="P780" s="17">
        <v>1.0293802E7</v>
      </c>
      <c r="Q780" s="17">
        <v>1.0165868E7</v>
      </c>
      <c r="R780" s="17">
        <v>582258.0</v>
      </c>
      <c r="S780" s="17">
        <v>4174433.0</v>
      </c>
      <c r="T780" s="17">
        <v>1286284.0</v>
      </c>
      <c r="U780" s="17">
        <v>1.1099481E7</v>
      </c>
      <c r="V780" s="11">
        <f t="array" ref="V780">XLOOKUP(A:A,'Raw Revenue'!A:A,'Raw Revenue'!B:B,0)
</f>
        <v>0</v>
      </c>
      <c r="W780" s="11">
        <f t="array" ref="W780">XLOOKUP(A:A,'Raw Revenue'!C:C,'Raw Revenue'!D:D,0)</f>
        <v>0</v>
      </c>
      <c r="X780" s="11">
        <f t="array" ref="X780">XLOOKUP(A:A,'Raw Revenue'!E:E,'Raw Revenue'!F:F,0)</f>
        <v>0</v>
      </c>
      <c r="Y780" s="11">
        <f t="array" ref="Y780">XLOOKUP(A:A,'Raw Revenue'!G:G,'Raw Revenue'!H:H,0)</f>
        <v>0</v>
      </c>
      <c r="Z780" s="11">
        <f t="array" ref="Z780">XLOOKUP(A:A,'Raw Revenue'!I:I,'Raw Revenue'!J:J,0)</f>
        <v>0</v>
      </c>
      <c r="AA780" s="11">
        <f t="array" ref="AA780">XLOOKUP(A:A,'Raw Revenue'!K:K,'Raw Revenue'!L:L,0)</f>
        <v>0</v>
      </c>
      <c r="AB780" s="11">
        <f t="array" ref="AB780">XLOOKUP(A:A,'Raw Revenue'!M:M,'Raw Revenue'!N:N,0)</f>
        <v>0</v>
      </c>
      <c r="AC780" s="3">
        <v>0.0</v>
      </c>
      <c r="AD780" s="3">
        <v>0.0</v>
      </c>
      <c r="AE780" s="3">
        <v>0.0</v>
      </c>
      <c r="AF780" s="3">
        <v>0.0</v>
      </c>
      <c r="AG780" s="3">
        <v>0.0</v>
      </c>
    </row>
    <row r="781">
      <c r="A781" s="3" t="s">
        <v>1785</v>
      </c>
      <c r="B781" s="3" t="s">
        <v>1786</v>
      </c>
      <c r="C781" s="3" t="str">
        <f t="shared" si="1"/>
        <v>PT. Bintang Kejora Nusantara</v>
      </c>
      <c r="D781" s="3" t="s">
        <v>130</v>
      </c>
      <c r="E781" s="3" t="s">
        <v>215</v>
      </c>
      <c r="F781" s="3" t="s">
        <v>227</v>
      </c>
      <c r="G781" s="3" t="s">
        <v>76</v>
      </c>
      <c r="H781" s="3" t="str">
        <f t="array" ref="H781">XLOOKUP(G:G,'Account Manager Data'!A:A,'Account Manager Data'!B:B,0)</f>
        <v>Teguh Wijaya</v>
      </c>
      <c r="I781" s="11" t="str">
        <f t="array" ref="I781">XLOOKUP($G:$G,'Account Manager Data'!$A:$A,'Account Manager Data'!C:C)</f>
        <v>Sulawesi</v>
      </c>
      <c r="J781" s="17">
        <v>2850197.0</v>
      </c>
      <c r="K781" s="17">
        <v>6747468.0</v>
      </c>
      <c r="L781" s="17">
        <v>8648013.0</v>
      </c>
      <c r="M781" s="17">
        <v>1.0265882E7</v>
      </c>
      <c r="N781" s="17">
        <v>996843.0</v>
      </c>
      <c r="O781" s="17">
        <v>6751189.0</v>
      </c>
      <c r="P781" s="17">
        <v>1.4310497E7</v>
      </c>
      <c r="Q781" s="17">
        <v>6485591.0</v>
      </c>
      <c r="R781" s="17">
        <v>8884897.0</v>
      </c>
      <c r="S781" s="17">
        <v>7936534.0</v>
      </c>
      <c r="T781" s="17">
        <v>8387394.0</v>
      </c>
      <c r="U781" s="17">
        <v>61685.0</v>
      </c>
      <c r="V781" s="11">
        <f t="array" ref="V781">XLOOKUP(A:A,'Raw Revenue'!A:A,'Raw Revenue'!B:B,0)
</f>
        <v>0</v>
      </c>
      <c r="W781" s="11">
        <f t="array" ref="W781">XLOOKUP(A:A,'Raw Revenue'!C:C,'Raw Revenue'!D:D,0)</f>
        <v>0</v>
      </c>
      <c r="X781" s="11">
        <f t="array" ref="X781">XLOOKUP(A:A,'Raw Revenue'!E:E,'Raw Revenue'!F:F,0)</f>
        <v>0</v>
      </c>
      <c r="Y781" s="11">
        <f t="array" ref="Y781">XLOOKUP(A:A,'Raw Revenue'!G:G,'Raw Revenue'!H:H,0)</f>
        <v>0</v>
      </c>
      <c r="Z781" s="11">
        <f t="array" ref="Z781">XLOOKUP(A:A,'Raw Revenue'!I:I,'Raw Revenue'!J:J,0)</f>
        <v>0</v>
      </c>
      <c r="AA781" s="11">
        <f t="array" ref="AA781">XLOOKUP(A:A,'Raw Revenue'!K:K,'Raw Revenue'!L:L,0)</f>
        <v>0</v>
      </c>
      <c r="AB781" s="11">
        <f t="array" ref="AB781">XLOOKUP(A:A,'Raw Revenue'!M:M,'Raw Revenue'!N:N,0)</f>
        <v>0</v>
      </c>
      <c r="AC781" s="3">
        <v>0.0</v>
      </c>
      <c r="AD781" s="3">
        <v>0.0</v>
      </c>
      <c r="AE781" s="3">
        <v>0.0</v>
      </c>
      <c r="AF781" s="3">
        <v>0.0</v>
      </c>
      <c r="AG781" s="3">
        <v>0.0</v>
      </c>
    </row>
    <row r="782">
      <c r="A782" s="3" t="s">
        <v>1787</v>
      </c>
      <c r="B782" s="3" t="s">
        <v>1788</v>
      </c>
      <c r="C782" s="3" t="str">
        <f t="shared" si="1"/>
        <v>PT. Maju Jaya</v>
      </c>
      <c r="D782" s="3" t="s">
        <v>195</v>
      </c>
      <c r="E782" s="3" t="s">
        <v>85</v>
      </c>
      <c r="F782" s="3" t="s">
        <v>248</v>
      </c>
      <c r="G782" s="3" t="s">
        <v>70</v>
      </c>
      <c r="H782" s="3" t="str">
        <f t="array" ref="H782">XLOOKUP(G:G,'Account Manager Data'!A:A,'Account Manager Data'!B:B,0)</f>
        <v>Yusuf Hidayat</v>
      </c>
      <c r="I782" s="11" t="str">
        <f t="array" ref="I782">XLOOKUP($G:$G,'Account Manager Data'!$A:$A,'Account Manager Data'!C:C)</f>
        <v>Sumatera</v>
      </c>
      <c r="J782" s="17">
        <v>6428700.0</v>
      </c>
      <c r="K782" s="17">
        <v>6207976.0</v>
      </c>
      <c r="L782" s="17">
        <v>3341196.0</v>
      </c>
      <c r="M782" s="17">
        <v>1.1281755E7</v>
      </c>
      <c r="N782" s="17">
        <v>0.0</v>
      </c>
      <c r="O782" s="17">
        <v>5656019.0</v>
      </c>
      <c r="P782" s="17">
        <v>2440272.0</v>
      </c>
      <c r="Q782" s="17">
        <v>1.4999915E7</v>
      </c>
      <c r="R782" s="17">
        <v>0.0</v>
      </c>
      <c r="S782" s="17">
        <v>1.7048965E7</v>
      </c>
      <c r="T782" s="17">
        <v>1.2087733E7</v>
      </c>
      <c r="U782" s="17">
        <v>9013503.0</v>
      </c>
      <c r="V782" s="11">
        <f t="array" ref="V782">XLOOKUP(A:A,'Raw Revenue'!A:A,'Raw Revenue'!B:B,0)
</f>
        <v>0</v>
      </c>
      <c r="W782" s="11">
        <f t="array" ref="W782">XLOOKUP(A:A,'Raw Revenue'!C:C,'Raw Revenue'!D:D,0)</f>
        <v>0</v>
      </c>
      <c r="X782" s="11">
        <f t="array" ref="X782">XLOOKUP(A:A,'Raw Revenue'!E:E,'Raw Revenue'!F:F,0)</f>
        <v>0</v>
      </c>
      <c r="Y782" s="11">
        <f t="array" ref="Y782">XLOOKUP(A:A,'Raw Revenue'!G:G,'Raw Revenue'!H:H,0)</f>
        <v>0</v>
      </c>
      <c r="Z782" s="11">
        <f t="array" ref="Z782">XLOOKUP(A:A,'Raw Revenue'!I:I,'Raw Revenue'!J:J,0)</f>
        <v>0</v>
      </c>
      <c r="AA782" s="11">
        <f t="array" ref="AA782">XLOOKUP(A:A,'Raw Revenue'!K:K,'Raw Revenue'!L:L,0)</f>
        <v>0</v>
      </c>
      <c r="AB782" s="11">
        <f t="array" ref="AB782">XLOOKUP(A:A,'Raw Revenue'!M:M,'Raw Revenue'!N:N,0)</f>
        <v>0</v>
      </c>
      <c r="AC782" s="3">
        <v>0.0</v>
      </c>
      <c r="AD782" s="3">
        <v>0.0</v>
      </c>
      <c r="AE782" s="3">
        <v>0.0</v>
      </c>
      <c r="AF782" s="3">
        <v>0.0</v>
      </c>
      <c r="AG782" s="3">
        <v>0.0</v>
      </c>
    </row>
    <row r="783">
      <c r="A783" s="3" t="s">
        <v>1789</v>
      </c>
      <c r="B783" s="3" t="s">
        <v>1790</v>
      </c>
      <c r="C783" s="3" t="str">
        <f t="shared" si="1"/>
        <v>CV. Sumber Makmur</v>
      </c>
      <c r="D783" s="3" t="s">
        <v>214</v>
      </c>
      <c r="E783" s="3" t="s">
        <v>187</v>
      </c>
      <c r="F783" s="3" t="s">
        <v>188</v>
      </c>
      <c r="G783" s="3" t="s">
        <v>15</v>
      </c>
      <c r="H783" s="3" t="str">
        <f t="array" ref="H783">XLOOKUP(G:G,'Account Manager Data'!A:A,'Account Manager Data'!B:B,0)</f>
        <v>Rizky Maulana</v>
      </c>
      <c r="I783" s="11" t="str">
        <f t="array" ref="I783">XLOOKUP($G:$G,'Account Manager Data'!$A:$A,'Account Manager Data'!C:C)</f>
        <v>Jawa</v>
      </c>
      <c r="J783" s="17">
        <v>2965101.0</v>
      </c>
      <c r="K783" s="17">
        <v>606723.0</v>
      </c>
      <c r="L783" s="17">
        <v>4101778.0</v>
      </c>
      <c r="M783" s="17">
        <v>8778483.0</v>
      </c>
      <c r="N783" s="17">
        <v>1.3268854E7</v>
      </c>
      <c r="O783" s="17">
        <v>1.0910804E7</v>
      </c>
      <c r="P783" s="17">
        <v>1.3929812E7</v>
      </c>
      <c r="Q783" s="17">
        <v>0.0</v>
      </c>
      <c r="R783" s="17">
        <v>4210101.0</v>
      </c>
      <c r="S783" s="17">
        <v>1.3409645E7</v>
      </c>
      <c r="T783" s="17">
        <v>8426674.0</v>
      </c>
      <c r="U783" s="17">
        <v>490290.0</v>
      </c>
      <c r="V783" s="11">
        <f t="array" ref="V783">XLOOKUP(A:A,'Raw Revenue'!A:A,'Raw Revenue'!B:B,0)
</f>
        <v>0</v>
      </c>
      <c r="W783" s="11">
        <f t="array" ref="W783">XLOOKUP(A:A,'Raw Revenue'!C:C,'Raw Revenue'!D:D,0)</f>
        <v>0</v>
      </c>
      <c r="X783" s="11">
        <f t="array" ref="X783">XLOOKUP(A:A,'Raw Revenue'!E:E,'Raw Revenue'!F:F,0)</f>
        <v>0</v>
      </c>
      <c r="Y783" s="11">
        <f t="array" ref="Y783">XLOOKUP(A:A,'Raw Revenue'!G:G,'Raw Revenue'!H:H,0)</f>
        <v>0</v>
      </c>
      <c r="Z783" s="11">
        <f t="array" ref="Z783">XLOOKUP(A:A,'Raw Revenue'!I:I,'Raw Revenue'!J:J,0)</f>
        <v>0</v>
      </c>
      <c r="AA783" s="11">
        <f t="array" ref="AA783">XLOOKUP(A:A,'Raw Revenue'!K:K,'Raw Revenue'!L:L,0)</f>
        <v>0</v>
      </c>
      <c r="AB783" s="11">
        <f t="array" ref="AB783">XLOOKUP(A:A,'Raw Revenue'!M:M,'Raw Revenue'!N:N,0)</f>
        <v>0</v>
      </c>
      <c r="AC783" s="3">
        <v>0.0</v>
      </c>
      <c r="AD783" s="3">
        <v>0.0</v>
      </c>
      <c r="AE783" s="3">
        <v>0.0</v>
      </c>
      <c r="AF783" s="3">
        <v>0.0</v>
      </c>
      <c r="AG783" s="3">
        <v>0.0</v>
      </c>
    </row>
    <row r="784">
      <c r="A784" s="3" t="s">
        <v>1791</v>
      </c>
      <c r="B784" s="3" t="s">
        <v>1792</v>
      </c>
      <c r="C784" s="3" t="str">
        <f t="shared" si="1"/>
        <v>PT. Teknologi Nusantara</v>
      </c>
      <c r="D784" s="3" t="s">
        <v>195</v>
      </c>
      <c r="E784" s="3" t="s">
        <v>104</v>
      </c>
      <c r="F784" s="3" t="s">
        <v>105</v>
      </c>
      <c r="G784" s="3" t="s">
        <v>27</v>
      </c>
      <c r="H784" s="3" t="str">
        <f t="array" ref="H784">XLOOKUP(G:G,'Account Manager Data'!A:A,'Account Manager Data'!B:B,0)</f>
        <v>Dedi Kurniawan</v>
      </c>
      <c r="I784" s="11" t="str">
        <f t="array" ref="I784">XLOOKUP($G:$G,'Account Manager Data'!$A:$A,'Account Manager Data'!C:C)</f>
        <v>Kalimantan</v>
      </c>
      <c r="J784" s="17">
        <v>2199712.0</v>
      </c>
      <c r="K784" s="17">
        <v>5906685.0</v>
      </c>
      <c r="L784" s="17">
        <v>8132494.0</v>
      </c>
      <c r="M784" s="17">
        <v>1.0269747E7</v>
      </c>
      <c r="N784" s="17">
        <v>1.3065278E7</v>
      </c>
      <c r="O784" s="17">
        <v>5253402.0</v>
      </c>
      <c r="P784" s="17">
        <v>1.6093624E7</v>
      </c>
      <c r="Q784" s="17">
        <v>1.1242239E7</v>
      </c>
      <c r="R784" s="17">
        <v>3480154.0</v>
      </c>
      <c r="S784" s="17">
        <v>4137626.0</v>
      </c>
      <c r="T784" s="17">
        <v>2334757.0</v>
      </c>
      <c r="U784" s="17">
        <v>1.6462869E7</v>
      </c>
      <c r="V784" s="11">
        <f t="array" ref="V784">XLOOKUP(A:A,'Raw Revenue'!A:A,'Raw Revenue'!B:B,0)
</f>
        <v>0</v>
      </c>
      <c r="W784" s="11">
        <f t="array" ref="W784">XLOOKUP(A:A,'Raw Revenue'!C:C,'Raw Revenue'!D:D,0)</f>
        <v>0</v>
      </c>
      <c r="X784" s="11">
        <f t="array" ref="X784">XLOOKUP(A:A,'Raw Revenue'!E:E,'Raw Revenue'!F:F,0)</f>
        <v>0</v>
      </c>
      <c r="Y784" s="11">
        <f t="array" ref="Y784">XLOOKUP(A:A,'Raw Revenue'!G:G,'Raw Revenue'!H:H,0)</f>
        <v>0</v>
      </c>
      <c r="Z784" s="11">
        <f t="array" ref="Z784">XLOOKUP(A:A,'Raw Revenue'!I:I,'Raw Revenue'!J:J,0)</f>
        <v>0</v>
      </c>
      <c r="AA784" s="11">
        <f t="array" ref="AA784">XLOOKUP(A:A,'Raw Revenue'!K:K,'Raw Revenue'!L:L,0)</f>
        <v>0</v>
      </c>
      <c r="AB784" s="11">
        <f t="array" ref="AB784">XLOOKUP(A:A,'Raw Revenue'!M:M,'Raw Revenue'!N:N,0)</f>
        <v>0</v>
      </c>
      <c r="AC784" s="3">
        <v>0.0</v>
      </c>
      <c r="AD784" s="3">
        <v>0.0</v>
      </c>
      <c r="AE784" s="3">
        <v>0.0</v>
      </c>
      <c r="AF784" s="3">
        <v>0.0</v>
      </c>
      <c r="AG784" s="3">
        <v>0.0</v>
      </c>
    </row>
    <row r="785">
      <c r="A785" s="3" t="s">
        <v>1793</v>
      </c>
      <c r="B785" s="3" t="s">
        <v>1794</v>
      </c>
      <c r="C785" s="3" t="str">
        <f t="shared" si="1"/>
        <v>PT. Bakti Indonesia</v>
      </c>
      <c r="D785" s="3" t="s">
        <v>195</v>
      </c>
      <c r="E785" s="3" t="s">
        <v>187</v>
      </c>
      <c r="F785" s="3" t="s">
        <v>269</v>
      </c>
      <c r="G785" s="3" t="s">
        <v>78</v>
      </c>
      <c r="H785" s="3" t="str">
        <f t="array" ref="H785">XLOOKUP(G:G,'Account Manager Data'!A:A,'Account Manager Data'!B:B,0)</f>
        <v>Ilham Saputra</v>
      </c>
      <c r="I785" s="11" t="str">
        <f t="array" ref="I785">XLOOKUP($G:$G,'Account Manager Data'!$A:$A,'Account Manager Data'!C:C)</f>
        <v>Jawa</v>
      </c>
      <c r="J785" s="17">
        <v>1547481.0</v>
      </c>
      <c r="K785" s="17">
        <v>4354485.0</v>
      </c>
      <c r="L785" s="17">
        <v>1.0010086E7</v>
      </c>
      <c r="M785" s="17">
        <v>4200468.0</v>
      </c>
      <c r="N785" s="17">
        <v>1.2028868E7</v>
      </c>
      <c r="O785" s="17">
        <v>1.2736041E7</v>
      </c>
      <c r="P785" s="17">
        <v>1.0540456E7</v>
      </c>
      <c r="Q785" s="17">
        <v>0.0</v>
      </c>
      <c r="R785" s="17">
        <v>5151880.0</v>
      </c>
      <c r="S785" s="17">
        <v>9833750.0</v>
      </c>
      <c r="T785" s="17">
        <v>1.0747277E7</v>
      </c>
      <c r="U785" s="17">
        <v>1457798.0</v>
      </c>
      <c r="V785" s="11">
        <f t="array" ref="V785">XLOOKUP(A:A,'Raw Revenue'!A:A,'Raw Revenue'!B:B,0)
</f>
        <v>0</v>
      </c>
      <c r="W785" s="11">
        <f t="array" ref="W785">XLOOKUP(A:A,'Raw Revenue'!C:C,'Raw Revenue'!D:D,0)</f>
        <v>0</v>
      </c>
      <c r="X785" s="11">
        <f t="array" ref="X785">XLOOKUP(A:A,'Raw Revenue'!E:E,'Raw Revenue'!F:F,0)</f>
        <v>0</v>
      </c>
      <c r="Y785" s="11">
        <f t="array" ref="Y785">XLOOKUP(A:A,'Raw Revenue'!G:G,'Raw Revenue'!H:H,0)</f>
        <v>0</v>
      </c>
      <c r="Z785" s="11">
        <f t="array" ref="Z785">XLOOKUP(A:A,'Raw Revenue'!I:I,'Raw Revenue'!J:J,0)</f>
        <v>0</v>
      </c>
      <c r="AA785" s="11">
        <f t="array" ref="AA785">XLOOKUP(A:A,'Raw Revenue'!K:K,'Raw Revenue'!L:L,0)</f>
        <v>0</v>
      </c>
      <c r="AB785" s="11">
        <f t="array" ref="AB785">XLOOKUP(A:A,'Raw Revenue'!M:M,'Raw Revenue'!N:N,0)</f>
        <v>0</v>
      </c>
      <c r="AC785" s="3">
        <v>0.0</v>
      </c>
      <c r="AD785" s="3">
        <v>0.0</v>
      </c>
      <c r="AE785" s="3">
        <v>0.0</v>
      </c>
      <c r="AF785" s="3">
        <v>0.0</v>
      </c>
      <c r="AG785" s="3">
        <v>0.0</v>
      </c>
    </row>
    <row r="786">
      <c r="A786" s="3" t="s">
        <v>1795</v>
      </c>
      <c r="B786" s="3" t="s">
        <v>1796</v>
      </c>
      <c r="C786" s="3" t="str">
        <f t="shared" si="1"/>
        <v>CV. Amanah Sejahtera</v>
      </c>
      <c r="D786" s="3" t="s">
        <v>195</v>
      </c>
      <c r="E786" s="3" t="s">
        <v>196</v>
      </c>
      <c r="F786" s="3" t="s">
        <v>197</v>
      </c>
      <c r="G786" s="3" t="s">
        <v>53</v>
      </c>
      <c r="H786" s="3" t="str">
        <f t="array" ref="H786">XLOOKUP(G:G,'Account Manager Data'!A:A,'Account Manager Data'!B:B,0)</f>
        <v>Fajar Ramadhan</v>
      </c>
      <c r="I786" s="11" t="str">
        <f t="array" ref="I786">XLOOKUP($G:$G,'Account Manager Data'!$A:$A,'Account Manager Data'!C:C)</f>
        <v>Sulawesi</v>
      </c>
      <c r="J786" s="17">
        <v>5522412.0</v>
      </c>
      <c r="K786" s="17">
        <v>8663191.0</v>
      </c>
      <c r="L786" s="17">
        <v>5570142.0</v>
      </c>
      <c r="M786" s="17">
        <v>3374874.0</v>
      </c>
      <c r="N786" s="17">
        <v>1420120.0</v>
      </c>
      <c r="O786" s="17">
        <v>7501924.0</v>
      </c>
      <c r="P786" s="17">
        <v>1.4148331E7</v>
      </c>
      <c r="Q786" s="17">
        <v>1.4749819E7</v>
      </c>
      <c r="R786" s="17">
        <v>1.5768711E7</v>
      </c>
      <c r="S786" s="17">
        <v>1129364.0</v>
      </c>
      <c r="T786" s="17">
        <v>1.3232306E7</v>
      </c>
      <c r="U786" s="17">
        <v>9443634.0</v>
      </c>
      <c r="V786" s="11">
        <f t="array" ref="V786">XLOOKUP(A:A,'Raw Revenue'!A:A,'Raw Revenue'!B:B,0)
</f>
        <v>0</v>
      </c>
      <c r="W786" s="11">
        <f t="array" ref="W786">XLOOKUP(A:A,'Raw Revenue'!C:C,'Raw Revenue'!D:D,0)</f>
        <v>0</v>
      </c>
      <c r="X786" s="11">
        <f t="array" ref="X786">XLOOKUP(A:A,'Raw Revenue'!E:E,'Raw Revenue'!F:F,0)</f>
        <v>0</v>
      </c>
      <c r="Y786" s="11">
        <f t="array" ref="Y786">XLOOKUP(A:A,'Raw Revenue'!G:G,'Raw Revenue'!H:H,0)</f>
        <v>0</v>
      </c>
      <c r="Z786" s="11">
        <f t="array" ref="Z786">XLOOKUP(A:A,'Raw Revenue'!I:I,'Raw Revenue'!J:J,0)</f>
        <v>0</v>
      </c>
      <c r="AA786" s="11">
        <f t="array" ref="AA786">XLOOKUP(A:A,'Raw Revenue'!K:K,'Raw Revenue'!L:L,0)</f>
        <v>0</v>
      </c>
      <c r="AB786" s="11">
        <f t="array" ref="AB786">XLOOKUP(A:A,'Raw Revenue'!M:M,'Raw Revenue'!N:N,0)</f>
        <v>0</v>
      </c>
      <c r="AC786" s="3">
        <v>0.0</v>
      </c>
      <c r="AD786" s="3">
        <v>0.0</v>
      </c>
      <c r="AE786" s="3">
        <v>0.0</v>
      </c>
      <c r="AF786" s="3">
        <v>0.0</v>
      </c>
      <c r="AG786" s="3">
        <v>0.0</v>
      </c>
    </row>
    <row r="787">
      <c r="A787" s="3" t="s">
        <v>1797</v>
      </c>
      <c r="B787" s="3" t="s">
        <v>1798</v>
      </c>
      <c r="C787" s="3" t="str">
        <f t="shared" si="1"/>
        <v>PT. Digital Solusi Pratama</v>
      </c>
      <c r="D787" s="3" t="s">
        <v>84</v>
      </c>
      <c r="E787" s="3" t="s">
        <v>85</v>
      </c>
      <c r="F787" s="3" t="s">
        <v>248</v>
      </c>
      <c r="G787" s="3" t="s">
        <v>63</v>
      </c>
      <c r="H787" s="3" t="str">
        <f t="array" ref="H787">XLOOKUP(G:G,'Account Manager Data'!A:A,'Account Manager Data'!B:B,0)</f>
        <v>Hendra Gunawan</v>
      </c>
      <c r="I787" s="11" t="str">
        <f t="array" ref="I787">XLOOKUP($G:$G,'Account Manager Data'!$A:$A,'Account Manager Data'!C:C)</f>
        <v>Kalimantan</v>
      </c>
      <c r="J787" s="17">
        <v>3907921.0</v>
      </c>
      <c r="K787" s="17">
        <v>4656618.0</v>
      </c>
      <c r="L787" s="17">
        <v>4124236.0</v>
      </c>
      <c r="M787" s="17">
        <v>1.0594421E7</v>
      </c>
      <c r="N787" s="17">
        <v>6478765.0</v>
      </c>
      <c r="O787" s="17">
        <v>9711720.0</v>
      </c>
      <c r="P787" s="17">
        <v>1.2490945E7</v>
      </c>
      <c r="Q787" s="17">
        <v>1984195.0</v>
      </c>
      <c r="R787" s="17">
        <v>1.133088E7</v>
      </c>
      <c r="S787" s="17">
        <v>5266932.0</v>
      </c>
      <c r="T787" s="17">
        <v>462763.0</v>
      </c>
      <c r="U787" s="17">
        <v>8297201.0</v>
      </c>
      <c r="V787" s="11">
        <f t="array" ref="V787">XLOOKUP(A:A,'Raw Revenue'!A:A,'Raw Revenue'!B:B,0)
</f>
        <v>0</v>
      </c>
      <c r="W787" s="11">
        <f t="array" ref="W787">XLOOKUP(A:A,'Raw Revenue'!C:C,'Raw Revenue'!D:D,0)</f>
        <v>0</v>
      </c>
      <c r="X787" s="11">
        <f t="array" ref="X787">XLOOKUP(A:A,'Raw Revenue'!E:E,'Raw Revenue'!F:F,0)</f>
        <v>0</v>
      </c>
      <c r="Y787" s="11">
        <f t="array" ref="Y787">XLOOKUP(A:A,'Raw Revenue'!G:G,'Raw Revenue'!H:H,0)</f>
        <v>0</v>
      </c>
      <c r="Z787" s="11">
        <f t="array" ref="Z787">XLOOKUP(A:A,'Raw Revenue'!I:I,'Raw Revenue'!J:J,0)</f>
        <v>0</v>
      </c>
      <c r="AA787" s="11">
        <f t="array" ref="AA787">XLOOKUP(A:A,'Raw Revenue'!K:K,'Raw Revenue'!L:L,0)</f>
        <v>0</v>
      </c>
      <c r="AB787" s="11">
        <f t="array" ref="AB787">XLOOKUP(A:A,'Raw Revenue'!M:M,'Raw Revenue'!N:N,0)</f>
        <v>0</v>
      </c>
      <c r="AC787" s="3">
        <v>0.0</v>
      </c>
      <c r="AD787" s="3">
        <v>0.0</v>
      </c>
      <c r="AE787" s="3">
        <v>0.0</v>
      </c>
      <c r="AF787" s="3">
        <v>0.0</v>
      </c>
      <c r="AG787" s="3">
        <v>0.0</v>
      </c>
    </row>
    <row r="788">
      <c r="A788" s="3" t="s">
        <v>1799</v>
      </c>
      <c r="B788" s="3" t="s">
        <v>1800</v>
      </c>
      <c r="C788" s="3" t="str">
        <f t="shared" si="1"/>
        <v>PT. Global Niaga Abadi</v>
      </c>
      <c r="D788" s="3" t="s">
        <v>195</v>
      </c>
      <c r="E788" s="3" t="s">
        <v>104</v>
      </c>
      <c r="F788" s="3" t="s">
        <v>134</v>
      </c>
      <c r="G788" s="3" t="s">
        <v>35</v>
      </c>
      <c r="H788" s="3" t="str">
        <f t="array" ref="H788">XLOOKUP(G:G,'Account Manager Data'!A:A,'Account Manager Data'!B:B,0)</f>
        <v>Ahmad Fauzi</v>
      </c>
      <c r="I788" s="11" t="str">
        <f t="array" ref="I788">XLOOKUP($G:$G,'Account Manager Data'!$A:$A,'Account Manager Data'!C:C)</f>
        <v>Sumatera</v>
      </c>
      <c r="J788" s="17">
        <v>1237419.0</v>
      </c>
      <c r="K788" s="17">
        <v>3493707.0</v>
      </c>
      <c r="L788" s="17">
        <v>14400.0</v>
      </c>
      <c r="M788" s="17">
        <v>1003719.0</v>
      </c>
      <c r="N788" s="17">
        <v>9601932.0</v>
      </c>
      <c r="O788" s="17">
        <v>0.0</v>
      </c>
      <c r="P788" s="17">
        <v>1.4288095E7</v>
      </c>
      <c r="Q788" s="17">
        <v>7153698.0</v>
      </c>
      <c r="R788" s="17">
        <v>1.1423293E7</v>
      </c>
      <c r="S788" s="17">
        <v>5899906.0</v>
      </c>
      <c r="T788" s="17">
        <v>1680270.0</v>
      </c>
      <c r="U788" s="17">
        <v>1.7967864E7</v>
      </c>
      <c r="V788" s="11">
        <f t="array" ref="V788">XLOOKUP(A:A,'Raw Revenue'!A:A,'Raw Revenue'!B:B,0)
</f>
        <v>0</v>
      </c>
      <c r="W788" s="11">
        <f t="array" ref="W788">XLOOKUP(A:A,'Raw Revenue'!C:C,'Raw Revenue'!D:D,0)</f>
        <v>0</v>
      </c>
      <c r="X788" s="11">
        <f t="array" ref="X788">XLOOKUP(A:A,'Raw Revenue'!E:E,'Raw Revenue'!F:F,0)</f>
        <v>0</v>
      </c>
      <c r="Y788" s="11">
        <f t="array" ref="Y788">XLOOKUP(A:A,'Raw Revenue'!G:G,'Raw Revenue'!H:H,0)</f>
        <v>0</v>
      </c>
      <c r="Z788" s="11">
        <f t="array" ref="Z788">XLOOKUP(A:A,'Raw Revenue'!I:I,'Raw Revenue'!J:J,0)</f>
        <v>0</v>
      </c>
      <c r="AA788" s="11">
        <f t="array" ref="AA788">XLOOKUP(A:A,'Raw Revenue'!K:K,'Raw Revenue'!L:L,0)</f>
        <v>0</v>
      </c>
      <c r="AB788" s="11">
        <f t="array" ref="AB788">XLOOKUP(A:A,'Raw Revenue'!M:M,'Raw Revenue'!N:N,0)</f>
        <v>0</v>
      </c>
      <c r="AC788" s="3">
        <v>0.0</v>
      </c>
      <c r="AD788" s="3">
        <v>0.0</v>
      </c>
      <c r="AE788" s="3">
        <v>0.0</v>
      </c>
      <c r="AF788" s="3">
        <v>0.0</v>
      </c>
      <c r="AG788" s="3">
        <v>0.0</v>
      </c>
    </row>
    <row r="789">
      <c r="A789" s="3" t="s">
        <v>1801</v>
      </c>
      <c r="B789" s="3" t="s">
        <v>1802</v>
      </c>
      <c r="C789" s="3" t="str">
        <f t="shared" si="1"/>
        <v>PT. Indo Makmur Sentosa</v>
      </c>
      <c r="D789" s="3" t="s">
        <v>130</v>
      </c>
      <c r="E789" s="3" t="s">
        <v>196</v>
      </c>
      <c r="F789" s="3" t="s">
        <v>197</v>
      </c>
      <c r="G789" s="3" t="s">
        <v>74</v>
      </c>
      <c r="H789" s="3" t="str">
        <f t="array" ref="H789">XLOOKUP(G:G,'Account Manager Data'!A:A,'Account Manager Data'!B:B,0)</f>
        <v>Budi Santoso</v>
      </c>
      <c r="I789" s="11" t="str">
        <f t="array" ref="I789">XLOOKUP($G:$G,'Account Manager Data'!$A:$A,'Account Manager Data'!C:C)</f>
        <v>Papua</v>
      </c>
      <c r="J789" s="17">
        <v>1616456.0</v>
      </c>
      <c r="K789" s="17">
        <v>564278.0</v>
      </c>
      <c r="L789" s="17">
        <v>4159816.0</v>
      </c>
      <c r="M789" s="17">
        <v>0.0</v>
      </c>
      <c r="N789" s="17">
        <v>1.2974802E7</v>
      </c>
      <c r="O789" s="17">
        <v>4253476.0</v>
      </c>
      <c r="P789" s="17">
        <v>1.1091159E7</v>
      </c>
      <c r="Q789" s="17">
        <v>8743827.0</v>
      </c>
      <c r="R789" s="17">
        <v>1.2815366E7</v>
      </c>
      <c r="S789" s="17">
        <v>8889965.0</v>
      </c>
      <c r="T789" s="17">
        <v>1.6972878E7</v>
      </c>
      <c r="U789" s="17">
        <v>7193013.0</v>
      </c>
      <c r="V789" s="11">
        <f t="array" ref="V789">XLOOKUP(A:A,'Raw Revenue'!A:A,'Raw Revenue'!B:B,0)
</f>
        <v>0</v>
      </c>
      <c r="W789" s="11">
        <f t="array" ref="W789">XLOOKUP(A:A,'Raw Revenue'!C:C,'Raw Revenue'!D:D,0)</f>
        <v>0</v>
      </c>
      <c r="X789" s="11">
        <f t="array" ref="X789">XLOOKUP(A:A,'Raw Revenue'!E:E,'Raw Revenue'!F:F,0)</f>
        <v>0</v>
      </c>
      <c r="Y789" s="11">
        <f t="array" ref="Y789">XLOOKUP(A:A,'Raw Revenue'!G:G,'Raw Revenue'!H:H,0)</f>
        <v>0</v>
      </c>
      <c r="Z789" s="11">
        <f t="array" ref="Z789">XLOOKUP(A:A,'Raw Revenue'!I:I,'Raw Revenue'!J:J,0)</f>
        <v>0</v>
      </c>
      <c r="AA789" s="11">
        <f t="array" ref="AA789">XLOOKUP(A:A,'Raw Revenue'!K:K,'Raw Revenue'!L:L,0)</f>
        <v>0</v>
      </c>
      <c r="AB789" s="11">
        <f t="array" ref="AB789">XLOOKUP(A:A,'Raw Revenue'!M:M,'Raw Revenue'!N:N,0)</f>
        <v>0</v>
      </c>
      <c r="AC789" s="3">
        <v>0.0</v>
      </c>
      <c r="AD789" s="3">
        <v>0.0</v>
      </c>
      <c r="AE789" s="3">
        <v>0.0</v>
      </c>
      <c r="AF789" s="3">
        <v>0.0</v>
      </c>
      <c r="AG789" s="3">
        <v>0.0</v>
      </c>
    </row>
    <row r="790">
      <c r="A790" s="3" t="s">
        <v>1803</v>
      </c>
      <c r="B790" s="3" t="s">
        <v>1804</v>
      </c>
      <c r="C790" s="3" t="str">
        <f t="shared" si="1"/>
        <v>PT. Citra Mandiri Utama</v>
      </c>
      <c r="D790" s="3" t="s">
        <v>84</v>
      </c>
      <c r="E790" s="3" t="s">
        <v>187</v>
      </c>
      <c r="F790" s="3" t="s">
        <v>188</v>
      </c>
      <c r="G790" s="3" t="s">
        <v>43</v>
      </c>
      <c r="H790" s="3" t="str">
        <f t="array" ref="H790">XLOOKUP(G:G,'Account Manager Data'!A:A,'Account Manager Data'!B:B,0)</f>
        <v>Eko Prasetyo</v>
      </c>
      <c r="I790" s="11" t="str">
        <f t="array" ref="I790">XLOOKUP($G:$G,'Account Manager Data'!$A:$A,'Account Manager Data'!C:C)</f>
        <v>Papua</v>
      </c>
      <c r="J790" s="17">
        <v>7957931.0</v>
      </c>
      <c r="K790" s="17">
        <v>5851294.0</v>
      </c>
      <c r="L790" s="17">
        <v>4738135.0</v>
      </c>
      <c r="M790" s="17">
        <v>8534071.0</v>
      </c>
      <c r="N790" s="17">
        <v>5740633.0</v>
      </c>
      <c r="O790" s="17">
        <v>817573.0</v>
      </c>
      <c r="P790" s="17">
        <v>3471635.0</v>
      </c>
      <c r="Q790" s="17">
        <v>4116445.0</v>
      </c>
      <c r="R790" s="17">
        <v>1.0487876E7</v>
      </c>
      <c r="S790" s="17">
        <v>1.0918211E7</v>
      </c>
      <c r="T790" s="17">
        <v>1.4304199E7</v>
      </c>
      <c r="U790" s="17">
        <v>2055043.0</v>
      </c>
      <c r="V790" s="11">
        <f t="array" ref="V790">XLOOKUP(A:A,'Raw Revenue'!A:A,'Raw Revenue'!B:B,0)
</f>
        <v>0</v>
      </c>
      <c r="W790" s="11">
        <f t="array" ref="W790">XLOOKUP(A:A,'Raw Revenue'!C:C,'Raw Revenue'!D:D,0)</f>
        <v>0</v>
      </c>
      <c r="X790" s="11">
        <f t="array" ref="X790">XLOOKUP(A:A,'Raw Revenue'!E:E,'Raw Revenue'!F:F,0)</f>
        <v>0</v>
      </c>
      <c r="Y790" s="11">
        <f t="array" ref="Y790">XLOOKUP(A:A,'Raw Revenue'!G:G,'Raw Revenue'!H:H,0)</f>
        <v>0</v>
      </c>
      <c r="Z790" s="11">
        <f t="array" ref="Z790">XLOOKUP(A:A,'Raw Revenue'!I:I,'Raw Revenue'!J:J,0)</f>
        <v>0</v>
      </c>
      <c r="AA790" s="11">
        <f t="array" ref="AA790">XLOOKUP(A:A,'Raw Revenue'!K:K,'Raw Revenue'!L:L,0)</f>
        <v>0</v>
      </c>
      <c r="AB790" s="11">
        <f t="array" ref="AB790">XLOOKUP(A:A,'Raw Revenue'!M:M,'Raw Revenue'!N:N,0)</f>
        <v>0</v>
      </c>
      <c r="AC790" s="3">
        <v>0.0</v>
      </c>
      <c r="AD790" s="3">
        <v>0.0</v>
      </c>
      <c r="AE790" s="3">
        <v>0.0</v>
      </c>
      <c r="AF790" s="3">
        <v>0.0</v>
      </c>
      <c r="AG790" s="3">
        <v>0.0</v>
      </c>
    </row>
    <row r="791">
      <c r="A791" s="3" t="s">
        <v>1805</v>
      </c>
      <c r="B791" s="3" t="s">
        <v>1806</v>
      </c>
      <c r="C791" s="3" t="str">
        <f t="shared" si="1"/>
        <v>PT. Sinar Dunia Baru</v>
      </c>
      <c r="D791" s="3" t="s">
        <v>195</v>
      </c>
      <c r="E791" s="3" t="s">
        <v>215</v>
      </c>
      <c r="F791" s="3" t="s">
        <v>300</v>
      </c>
      <c r="G791" s="3" t="s">
        <v>76</v>
      </c>
      <c r="H791" s="3" t="str">
        <f t="array" ref="H791">XLOOKUP(G:G,'Account Manager Data'!A:A,'Account Manager Data'!B:B,0)</f>
        <v>Teguh Wijaya</v>
      </c>
      <c r="I791" s="11" t="str">
        <f t="array" ref="I791">XLOOKUP($G:$G,'Account Manager Data'!$A:$A,'Account Manager Data'!C:C)</f>
        <v>Sulawesi</v>
      </c>
      <c r="J791" s="17">
        <v>1071844.0</v>
      </c>
      <c r="K791" s="17">
        <v>6844394.0</v>
      </c>
      <c r="L791" s="17">
        <v>3218010.0</v>
      </c>
      <c r="M791" s="17">
        <v>7766231.0</v>
      </c>
      <c r="N791" s="17">
        <v>9024639.0</v>
      </c>
      <c r="O791" s="17">
        <v>1.4995223E7</v>
      </c>
      <c r="P791" s="17">
        <v>4346264.0</v>
      </c>
      <c r="Q791" s="17">
        <v>1.170777E7</v>
      </c>
      <c r="R791" s="17">
        <v>1.4804915E7</v>
      </c>
      <c r="S791" s="17">
        <v>8459989.0</v>
      </c>
      <c r="T791" s="17">
        <v>1.1622948E7</v>
      </c>
      <c r="U791" s="17">
        <v>8545955.0</v>
      </c>
      <c r="V791" s="11">
        <f t="array" ref="V791">XLOOKUP(A:A,'Raw Revenue'!A:A,'Raw Revenue'!B:B,0)
</f>
        <v>0</v>
      </c>
      <c r="W791" s="11">
        <f t="array" ref="W791">XLOOKUP(A:A,'Raw Revenue'!C:C,'Raw Revenue'!D:D,0)</f>
        <v>0</v>
      </c>
      <c r="X791" s="11">
        <f t="array" ref="X791">XLOOKUP(A:A,'Raw Revenue'!E:E,'Raw Revenue'!F:F,0)</f>
        <v>0</v>
      </c>
      <c r="Y791" s="11">
        <f t="array" ref="Y791">XLOOKUP(A:A,'Raw Revenue'!G:G,'Raw Revenue'!H:H,0)</f>
        <v>0</v>
      </c>
      <c r="Z791" s="11">
        <f t="array" ref="Z791">XLOOKUP(A:A,'Raw Revenue'!I:I,'Raw Revenue'!J:J,0)</f>
        <v>0</v>
      </c>
      <c r="AA791" s="11">
        <f t="array" ref="AA791">XLOOKUP(A:A,'Raw Revenue'!K:K,'Raw Revenue'!L:L,0)</f>
        <v>0</v>
      </c>
      <c r="AB791" s="11">
        <f t="array" ref="AB791">XLOOKUP(A:A,'Raw Revenue'!M:M,'Raw Revenue'!N:N,0)</f>
        <v>0</v>
      </c>
      <c r="AC791" s="3">
        <v>0.0</v>
      </c>
      <c r="AD791" s="3">
        <v>0.0</v>
      </c>
      <c r="AE791" s="3">
        <v>0.0</v>
      </c>
      <c r="AF791" s="3">
        <v>0.0</v>
      </c>
      <c r="AG791" s="3">
        <v>0.0</v>
      </c>
    </row>
    <row r="792">
      <c r="A792" s="3" t="s">
        <v>1807</v>
      </c>
      <c r="B792" s="3" t="s">
        <v>1808</v>
      </c>
      <c r="C792" s="3" t="str">
        <f t="shared" si="1"/>
        <v>CV. Karya Utama Mandiri</v>
      </c>
      <c r="D792" s="3" t="s">
        <v>130</v>
      </c>
      <c r="E792" s="3" t="s">
        <v>196</v>
      </c>
      <c r="F792" s="3" t="s">
        <v>315</v>
      </c>
      <c r="G792" s="3" t="s">
        <v>70</v>
      </c>
      <c r="H792" s="3" t="str">
        <f t="array" ref="H792">XLOOKUP(G:G,'Account Manager Data'!A:A,'Account Manager Data'!B:B,0)</f>
        <v>Yusuf Hidayat</v>
      </c>
      <c r="I792" s="11" t="str">
        <f t="array" ref="I792">XLOOKUP($G:$G,'Account Manager Data'!$A:$A,'Account Manager Data'!C:C)</f>
        <v>Sumatera</v>
      </c>
      <c r="J792" s="17">
        <v>6675950.0</v>
      </c>
      <c r="K792" s="17">
        <v>6235621.0</v>
      </c>
      <c r="L792" s="17">
        <v>7672687.0</v>
      </c>
      <c r="M792" s="17">
        <v>3098690.0</v>
      </c>
      <c r="N792" s="17">
        <v>3652773.0</v>
      </c>
      <c r="O792" s="17">
        <v>1.3390293E7</v>
      </c>
      <c r="P792" s="17">
        <v>0.0</v>
      </c>
      <c r="Q792" s="17">
        <v>929966.0</v>
      </c>
      <c r="R792" s="17">
        <v>1.1167123E7</v>
      </c>
      <c r="S792" s="17">
        <v>2455169.0</v>
      </c>
      <c r="T792" s="17">
        <v>1.8863955E7</v>
      </c>
      <c r="U792" s="17">
        <v>1796543.0</v>
      </c>
      <c r="V792" s="11">
        <f t="array" ref="V792">XLOOKUP(A:A,'Raw Revenue'!A:A,'Raw Revenue'!B:B,0)
</f>
        <v>0</v>
      </c>
      <c r="W792" s="11">
        <f t="array" ref="W792">XLOOKUP(A:A,'Raw Revenue'!C:C,'Raw Revenue'!D:D,0)</f>
        <v>0</v>
      </c>
      <c r="X792" s="11">
        <f t="array" ref="X792">XLOOKUP(A:A,'Raw Revenue'!E:E,'Raw Revenue'!F:F,0)</f>
        <v>0</v>
      </c>
      <c r="Y792" s="11">
        <f t="array" ref="Y792">XLOOKUP(A:A,'Raw Revenue'!G:G,'Raw Revenue'!H:H,0)</f>
        <v>0</v>
      </c>
      <c r="Z792" s="11">
        <f t="array" ref="Z792">XLOOKUP(A:A,'Raw Revenue'!I:I,'Raw Revenue'!J:J,0)</f>
        <v>0</v>
      </c>
      <c r="AA792" s="11">
        <f t="array" ref="AA792">XLOOKUP(A:A,'Raw Revenue'!K:K,'Raw Revenue'!L:L,0)</f>
        <v>0</v>
      </c>
      <c r="AB792" s="11">
        <f t="array" ref="AB792">XLOOKUP(A:A,'Raw Revenue'!M:M,'Raw Revenue'!N:N,0)</f>
        <v>0</v>
      </c>
      <c r="AC792" s="3">
        <v>0.0</v>
      </c>
      <c r="AD792" s="3">
        <v>0.0</v>
      </c>
      <c r="AE792" s="3">
        <v>0.0</v>
      </c>
      <c r="AF792" s="3">
        <v>0.0</v>
      </c>
      <c r="AG792" s="3">
        <v>0.0</v>
      </c>
    </row>
    <row r="793">
      <c r="A793" s="3" t="s">
        <v>1809</v>
      </c>
      <c r="B793" s="3" t="s">
        <v>1810</v>
      </c>
      <c r="C793" s="3" t="str">
        <f t="shared" si="1"/>
        <v>PT. Pratama Jaya Sentosa</v>
      </c>
      <c r="D793" s="3" t="s">
        <v>84</v>
      </c>
      <c r="E793" s="3" t="s">
        <v>196</v>
      </c>
      <c r="F793" s="3" t="s">
        <v>315</v>
      </c>
      <c r="G793" s="3" t="s">
        <v>15</v>
      </c>
      <c r="H793" s="3" t="str">
        <f t="array" ref="H793">XLOOKUP(G:G,'Account Manager Data'!A:A,'Account Manager Data'!B:B,0)</f>
        <v>Rizky Maulana</v>
      </c>
      <c r="I793" s="11" t="str">
        <f t="array" ref="I793">XLOOKUP($G:$G,'Account Manager Data'!$A:$A,'Account Manager Data'!C:C)</f>
        <v>Jawa</v>
      </c>
      <c r="J793" s="17">
        <v>7530101.0</v>
      </c>
      <c r="K793" s="17">
        <v>6124611.0</v>
      </c>
      <c r="L793" s="17">
        <v>7851914.0</v>
      </c>
      <c r="M793" s="17">
        <v>4320907.0</v>
      </c>
      <c r="N793" s="17">
        <v>1359026.0</v>
      </c>
      <c r="O793" s="17">
        <v>4283793.0</v>
      </c>
      <c r="P793" s="17">
        <v>1.0923679E7</v>
      </c>
      <c r="Q793" s="17">
        <v>9731027.0</v>
      </c>
      <c r="R793" s="17">
        <v>1.5066834E7</v>
      </c>
      <c r="S793" s="17">
        <v>813520.0</v>
      </c>
      <c r="T793" s="17">
        <v>1.6613325E7</v>
      </c>
      <c r="U793" s="17">
        <v>4564188.0</v>
      </c>
      <c r="V793" s="11">
        <f t="array" ref="V793">XLOOKUP(A:A,'Raw Revenue'!A:A,'Raw Revenue'!B:B,0)
</f>
        <v>0</v>
      </c>
      <c r="W793" s="11">
        <f t="array" ref="W793">XLOOKUP(A:A,'Raw Revenue'!C:C,'Raw Revenue'!D:D,0)</f>
        <v>0</v>
      </c>
      <c r="X793" s="11">
        <f t="array" ref="X793">XLOOKUP(A:A,'Raw Revenue'!E:E,'Raw Revenue'!F:F,0)</f>
        <v>0</v>
      </c>
      <c r="Y793" s="11">
        <f t="array" ref="Y793">XLOOKUP(A:A,'Raw Revenue'!G:G,'Raw Revenue'!H:H,0)</f>
        <v>0</v>
      </c>
      <c r="Z793" s="11">
        <f t="array" ref="Z793">XLOOKUP(A:A,'Raw Revenue'!I:I,'Raw Revenue'!J:J,0)</f>
        <v>0</v>
      </c>
      <c r="AA793" s="11">
        <f t="array" ref="AA793">XLOOKUP(A:A,'Raw Revenue'!K:K,'Raw Revenue'!L:L,0)</f>
        <v>0</v>
      </c>
      <c r="AB793" s="11">
        <f t="array" ref="AB793">XLOOKUP(A:A,'Raw Revenue'!M:M,'Raw Revenue'!N:N,0)</f>
        <v>0</v>
      </c>
      <c r="AC793" s="3">
        <v>0.0</v>
      </c>
      <c r="AD793" s="3">
        <v>0.0</v>
      </c>
      <c r="AE793" s="3">
        <v>0.0</v>
      </c>
      <c r="AF793" s="3">
        <v>0.0</v>
      </c>
      <c r="AG793" s="3">
        <v>0.0</v>
      </c>
    </row>
    <row r="794">
      <c r="A794" s="3" t="s">
        <v>1811</v>
      </c>
      <c r="B794" s="3" t="s">
        <v>1812</v>
      </c>
      <c r="C794" s="3" t="str">
        <f t="shared" si="1"/>
        <v>PT. Abadi Selamanya Jaya</v>
      </c>
      <c r="D794" s="3" t="s">
        <v>214</v>
      </c>
      <c r="E794" s="3" t="s">
        <v>187</v>
      </c>
      <c r="F794" s="3" t="s">
        <v>188</v>
      </c>
      <c r="G794" s="3" t="s">
        <v>53</v>
      </c>
      <c r="H794" s="3" t="str">
        <f t="array" ref="H794">XLOOKUP(G:G,'Account Manager Data'!A:A,'Account Manager Data'!B:B,0)</f>
        <v>Fajar Ramadhan</v>
      </c>
      <c r="I794" s="11" t="str">
        <f t="array" ref="I794">XLOOKUP($G:$G,'Account Manager Data'!$A:$A,'Account Manager Data'!C:C)</f>
        <v>Sulawesi</v>
      </c>
      <c r="J794" s="17">
        <v>1786499.0</v>
      </c>
      <c r="K794" s="17">
        <v>7237298.0</v>
      </c>
      <c r="L794" s="17">
        <v>6261247.0</v>
      </c>
      <c r="M794" s="17">
        <v>7613012.0</v>
      </c>
      <c r="N794" s="17">
        <v>4787303.0</v>
      </c>
      <c r="O794" s="17">
        <v>2578884.0</v>
      </c>
      <c r="P794" s="17">
        <v>1.0542282E7</v>
      </c>
      <c r="Q794" s="17">
        <v>1.4949531E7</v>
      </c>
      <c r="R794" s="17">
        <v>8803825.0</v>
      </c>
      <c r="S794" s="17">
        <v>1.6001732E7</v>
      </c>
      <c r="T794" s="17">
        <v>9047286.0</v>
      </c>
      <c r="U794" s="17">
        <v>1.6578977E7</v>
      </c>
      <c r="V794" s="11">
        <f t="array" ref="V794">XLOOKUP(A:A,'Raw Revenue'!A:A,'Raw Revenue'!B:B,0)
</f>
        <v>0</v>
      </c>
      <c r="W794" s="11">
        <f t="array" ref="W794">XLOOKUP(A:A,'Raw Revenue'!C:C,'Raw Revenue'!D:D,0)</f>
        <v>0</v>
      </c>
      <c r="X794" s="11">
        <f t="array" ref="X794">XLOOKUP(A:A,'Raw Revenue'!E:E,'Raw Revenue'!F:F,0)</f>
        <v>0</v>
      </c>
      <c r="Y794" s="11">
        <f t="array" ref="Y794">XLOOKUP(A:A,'Raw Revenue'!G:G,'Raw Revenue'!H:H,0)</f>
        <v>0</v>
      </c>
      <c r="Z794" s="11">
        <f t="array" ref="Z794">XLOOKUP(A:A,'Raw Revenue'!I:I,'Raw Revenue'!J:J,0)</f>
        <v>0</v>
      </c>
      <c r="AA794" s="11">
        <f t="array" ref="AA794">XLOOKUP(A:A,'Raw Revenue'!K:K,'Raw Revenue'!L:L,0)</f>
        <v>0</v>
      </c>
      <c r="AB794" s="11">
        <f t="array" ref="AB794">XLOOKUP(A:A,'Raw Revenue'!M:M,'Raw Revenue'!N:N,0)</f>
        <v>0</v>
      </c>
      <c r="AC794" s="3">
        <v>0.0</v>
      </c>
      <c r="AD794" s="3">
        <v>0.0</v>
      </c>
      <c r="AE794" s="3">
        <v>0.0</v>
      </c>
      <c r="AF794" s="3">
        <v>0.0</v>
      </c>
      <c r="AG794" s="3">
        <v>0.0</v>
      </c>
    </row>
    <row r="795">
      <c r="A795" s="3" t="s">
        <v>1813</v>
      </c>
      <c r="B795" s="3" t="s">
        <v>1814</v>
      </c>
      <c r="C795" s="3" t="str">
        <f t="shared" si="1"/>
        <v>PT. Mandiri Sejahtera Bersama</v>
      </c>
      <c r="D795" s="3" t="s">
        <v>186</v>
      </c>
      <c r="E795" s="3" t="s">
        <v>85</v>
      </c>
      <c r="F795" s="3" t="s">
        <v>407</v>
      </c>
      <c r="G795" s="3" t="s">
        <v>27</v>
      </c>
      <c r="H795" s="3" t="str">
        <f t="array" ref="H795">XLOOKUP(G:G,'Account Manager Data'!A:A,'Account Manager Data'!B:B,0)</f>
        <v>Dedi Kurniawan</v>
      </c>
      <c r="I795" s="11" t="str">
        <f t="array" ref="I795">XLOOKUP($G:$G,'Account Manager Data'!$A:$A,'Account Manager Data'!C:C)</f>
        <v>Kalimantan</v>
      </c>
      <c r="J795" s="17">
        <v>2496121.0</v>
      </c>
      <c r="K795" s="17">
        <v>1770371.0</v>
      </c>
      <c r="L795" s="17">
        <v>7999865.0</v>
      </c>
      <c r="M795" s="17">
        <v>2757141.0</v>
      </c>
      <c r="N795" s="17">
        <v>3428520.0</v>
      </c>
      <c r="O795" s="17">
        <v>4314363.0</v>
      </c>
      <c r="P795" s="17">
        <v>1.2451696E7</v>
      </c>
      <c r="Q795" s="17">
        <v>7304196.0</v>
      </c>
      <c r="R795" s="17">
        <v>1.2377579E7</v>
      </c>
      <c r="S795" s="17">
        <v>1.3043902E7</v>
      </c>
      <c r="T795" s="17">
        <v>2193092.0</v>
      </c>
      <c r="U795" s="17">
        <v>3672243.0</v>
      </c>
      <c r="V795" s="11">
        <f t="array" ref="V795">XLOOKUP(A:A,'Raw Revenue'!A:A,'Raw Revenue'!B:B,0)
</f>
        <v>0</v>
      </c>
      <c r="W795" s="11">
        <f t="array" ref="W795">XLOOKUP(A:A,'Raw Revenue'!C:C,'Raw Revenue'!D:D,0)</f>
        <v>0</v>
      </c>
      <c r="X795" s="11">
        <f t="array" ref="X795">XLOOKUP(A:A,'Raw Revenue'!E:E,'Raw Revenue'!F:F,0)</f>
        <v>0</v>
      </c>
      <c r="Y795" s="11">
        <f t="array" ref="Y795">XLOOKUP(A:A,'Raw Revenue'!G:G,'Raw Revenue'!H:H,0)</f>
        <v>0</v>
      </c>
      <c r="Z795" s="11">
        <f t="array" ref="Z795">XLOOKUP(A:A,'Raw Revenue'!I:I,'Raw Revenue'!J:J,0)</f>
        <v>0</v>
      </c>
      <c r="AA795" s="11">
        <f t="array" ref="AA795">XLOOKUP(A:A,'Raw Revenue'!K:K,'Raw Revenue'!L:L,0)</f>
        <v>0</v>
      </c>
      <c r="AB795" s="11">
        <f t="array" ref="AB795">XLOOKUP(A:A,'Raw Revenue'!M:M,'Raw Revenue'!N:N,0)</f>
        <v>0</v>
      </c>
      <c r="AC795" s="3">
        <v>0.0</v>
      </c>
      <c r="AD795" s="3">
        <v>0.0</v>
      </c>
      <c r="AE795" s="3">
        <v>0.0</v>
      </c>
      <c r="AF795" s="3">
        <v>0.0</v>
      </c>
      <c r="AG795" s="3">
        <v>0.0</v>
      </c>
    </row>
    <row r="796">
      <c r="A796" s="3" t="s">
        <v>1815</v>
      </c>
      <c r="B796" s="3" t="s">
        <v>1816</v>
      </c>
      <c r="C796" s="3" t="str">
        <f t="shared" si="1"/>
        <v>PT. Sejahtera Alam Indonesia</v>
      </c>
      <c r="D796" s="3" t="s">
        <v>130</v>
      </c>
      <c r="E796" s="3" t="s">
        <v>104</v>
      </c>
      <c r="F796" s="3" t="s">
        <v>105</v>
      </c>
      <c r="G796" s="3" t="s">
        <v>78</v>
      </c>
      <c r="H796" s="3" t="str">
        <f t="array" ref="H796">XLOOKUP(G:G,'Account Manager Data'!A:A,'Account Manager Data'!B:B,0)</f>
        <v>Ilham Saputra</v>
      </c>
      <c r="I796" s="11" t="str">
        <f t="array" ref="I796">XLOOKUP($G:$G,'Account Manager Data'!$A:$A,'Account Manager Data'!C:C)</f>
        <v>Jawa</v>
      </c>
      <c r="J796" s="17">
        <v>2453581.0</v>
      </c>
      <c r="K796" s="17">
        <v>3707213.0</v>
      </c>
      <c r="L796" s="17">
        <v>5744158.0</v>
      </c>
      <c r="M796" s="17">
        <v>5066211.0</v>
      </c>
      <c r="N796" s="17">
        <v>1.3505254E7</v>
      </c>
      <c r="O796" s="17">
        <v>1.0472505E7</v>
      </c>
      <c r="P796" s="17">
        <v>0.0</v>
      </c>
      <c r="Q796" s="17">
        <v>1.2403858E7</v>
      </c>
      <c r="R796" s="17">
        <v>2359722.0</v>
      </c>
      <c r="S796" s="17">
        <v>1.6036785E7</v>
      </c>
      <c r="T796" s="17">
        <v>1.2551005E7</v>
      </c>
      <c r="U796" s="17">
        <v>1.8512182E7</v>
      </c>
      <c r="V796" s="11">
        <f t="array" ref="V796">XLOOKUP(A:A,'Raw Revenue'!A:A,'Raw Revenue'!B:B,0)
</f>
        <v>0</v>
      </c>
      <c r="W796" s="11">
        <f t="array" ref="W796">XLOOKUP(A:A,'Raw Revenue'!C:C,'Raw Revenue'!D:D,0)</f>
        <v>0</v>
      </c>
      <c r="X796" s="11">
        <f t="array" ref="X796">XLOOKUP(A:A,'Raw Revenue'!E:E,'Raw Revenue'!F:F,0)</f>
        <v>0</v>
      </c>
      <c r="Y796" s="11">
        <f t="array" ref="Y796">XLOOKUP(A:A,'Raw Revenue'!G:G,'Raw Revenue'!H:H,0)</f>
        <v>0</v>
      </c>
      <c r="Z796" s="11">
        <f t="array" ref="Z796">XLOOKUP(A:A,'Raw Revenue'!I:I,'Raw Revenue'!J:J,0)</f>
        <v>0</v>
      </c>
      <c r="AA796" s="11">
        <f t="array" ref="AA796">XLOOKUP(A:A,'Raw Revenue'!K:K,'Raw Revenue'!L:L,0)</f>
        <v>0</v>
      </c>
      <c r="AB796" s="11">
        <f t="array" ref="AB796">XLOOKUP(A:A,'Raw Revenue'!M:M,'Raw Revenue'!N:N,0)</f>
        <v>0</v>
      </c>
      <c r="AC796" s="3">
        <v>0.0</v>
      </c>
      <c r="AD796" s="3">
        <v>0.0</v>
      </c>
      <c r="AE796" s="3">
        <v>0.0</v>
      </c>
      <c r="AF796" s="3">
        <v>0.0</v>
      </c>
      <c r="AG796" s="3">
        <v>0.0</v>
      </c>
    </row>
    <row r="797">
      <c r="A797" s="3" t="s">
        <v>1817</v>
      </c>
      <c r="B797" s="3" t="s">
        <v>1818</v>
      </c>
      <c r="C797" s="3" t="str">
        <f t="shared" si="1"/>
        <v>PT. Indah Kargo Logistik</v>
      </c>
      <c r="D797" s="3" t="s">
        <v>186</v>
      </c>
      <c r="E797" s="3" t="s">
        <v>85</v>
      </c>
      <c r="F797" s="3" t="s">
        <v>407</v>
      </c>
      <c r="G797" s="3" t="s">
        <v>63</v>
      </c>
      <c r="H797" s="3" t="str">
        <f t="array" ref="H797">XLOOKUP(G:G,'Account Manager Data'!A:A,'Account Manager Data'!B:B,0)</f>
        <v>Hendra Gunawan</v>
      </c>
      <c r="I797" s="11" t="str">
        <f t="array" ref="I797">XLOOKUP($G:$G,'Account Manager Data'!$A:$A,'Account Manager Data'!C:C)</f>
        <v>Kalimantan</v>
      </c>
      <c r="J797" s="17">
        <v>2740952.0</v>
      </c>
      <c r="K797" s="17">
        <v>234362.0</v>
      </c>
      <c r="L797" s="17">
        <v>8229451.0</v>
      </c>
      <c r="M797" s="17">
        <v>1.1732919E7</v>
      </c>
      <c r="N797" s="17">
        <v>1.077103E7</v>
      </c>
      <c r="O797" s="17">
        <v>7323249.0</v>
      </c>
      <c r="P797" s="17">
        <v>8033768.0</v>
      </c>
      <c r="Q797" s="17">
        <v>1.2111955E7</v>
      </c>
      <c r="R797" s="17">
        <v>1520834.0</v>
      </c>
      <c r="S797" s="17">
        <v>170862.0</v>
      </c>
      <c r="T797" s="17">
        <v>1.1074702E7</v>
      </c>
      <c r="U797" s="17">
        <v>5538643.0</v>
      </c>
      <c r="V797" s="11">
        <f t="array" ref="V797">XLOOKUP(A:A,'Raw Revenue'!A:A,'Raw Revenue'!B:B,0)
</f>
        <v>0</v>
      </c>
      <c r="W797" s="11">
        <f t="array" ref="W797">XLOOKUP(A:A,'Raw Revenue'!C:C,'Raw Revenue'!D:D,0)</f>
        <v>0</v>
      </c>
      <c r="X797" s="11">
        <f t="array" ref="X797">XLOOKUP(A:A,'Raw Revenue'!E:E,'Raw Revenue'!F:F,0)</f>
        <v>0</v>
      </c>
      <c r="Y797" s="11">
        <f t="array" ref="Y797">XLOOKUP(A:A,'Raw Revenue'!G:G,'Raw Revenue'!H:H,0)</f>
        <v>0</v>
      </c>
      <c r="Z797" s="11">
        <f t="array" ref="Z797">XLOOKUP(A:A,'Raw Revenue'!I:I,'Raw Revenue'!J:J,0)</f>
        <v>0</v>
      </c>
      <c r="AA797" s="11">
        <f t="array" ref="AA797">XLOOKUP(A:A,'Raw Revenue'!K:K,'Raw Revenue'!L:L,0)</f>
        <v>0</v>
      </c>
      <c r="AB797" s="11">
        <f t="array" ref="AB797">XLOOKUP(A:A,'Raw Revenue'!M:M,'Raw Revenue'!N:N,0)</f>
        <v>0</v>
      </c>
      <c r="AC797" s="3">
        <v>0.0</v>
      </c>
      <c r="AD797" s="3">
        <v>0.0</v>
      </c>
      <c r="AE797" s="3">
        <v>0.0</v>
      </c>
      <c r="AF797" s="3">
        <v>0.0</v>
      </c>
      <c r="AG797" s="3">
        <v>0.0</v>
      </c>
    </row>
    <row r="798">
      <c r="A798" s="3" t="s">
        <v>1819</v>
      </c>
      <c r="B798" s="3" t="s">
        <v>1820</v>
      </c>
      <c r="C798" s="3" t="str">
        <f t="shared" si="1"/>
        <v>PT. Berkah Alam Semesta</v>
      </c>
      <c r="D798" s="3" t="s">
        <v>84</v>
      </c>
      <c r="E798" s="3" t="s">
        <v>85</v>
      </c>
      <c r="F798" s="3" t="s">
        <v>407</v>
      </c>
      <c r="G798" s="3" t="s">
        <v>35</v>
      </c>
      <c r="H798" s="3" t="str">
        <f t="array" ref="H798">XLOOKUP(G:G,'Account Manager Data'!A:A,'Account Manager Data'!B:B,0)</f>
        <v>Ahmad Fauzi</v>
      </c>
      <c r="I798" s="11" t="str">
        <f t="array" ref="I798">XLOOKUP($G:$G,'Account Manager Data'!$A:$A,'Account Manager Data'!C:C)</f>
        <v>Sumatera</v>
      </c>
      <c r="J798" s="17">
        <v>3034069.0</v>
      </c>
      <c r="K798" s="17">
        <v>4225175.0</v>
      </c>
      <c r="L798" s="17">
        <v>3293826.0</v>
      </c>
      <c r="M798" s="17">
        <v>8330241.0</v>
      </c>
      <c r="N798" s="17">
        <v>3687457.0</v>
      </c>
      <c r="O798" s="17">
        <v>206444.0</v>
      </c>
      <c r="P798" s="17">
        <v>137216.0</v>
      </c>
      <c r="Q798" s="17">
        <v>1.5940645E7</v>
      </c>
      <c r="R798" s="17">
        <v>3993564.0</v>
      </c>
      <c r="S798" s="17">
        <v>5396563.0</v>
      </c>
      <c r="T798" s="17">
        <v>1.1450816E7</v>
      </c>
      <c r="U798" s="17">
        <v>1.3243109E7</v>
      </c>
      <c r="V798" s="11">
        <f t="array" ref="V798">XLOOKUP(A:A,'Raw Revenue'!A:A,'Raw Revenue'!B:B,0)
</f>
        <v>0</v>
      </c>
      <c r="W798" s="11">
        <f t="array" ref="W798">XLOOKUP(A:A,'Raw Revenue'!C:C,'Raw Revenue'!D:D,0)</f>
        <v>0</v>
      </c>
      <c r="X798" s="11">
        <f t="array" ref="X798">XLOOKUP(A:A,'Raw Revenue'!E:E,'Raw Revenue'!F:F,0)</f>
        <v>0</v>
      </c>
      <c r="Y798" s="11">
        <f t="array" ref="Y798">XLOOKUP(A:A,'Raw Revenue'!G:G,'Raw Revenue'!H:H,0)</f>
        <v>0</v>
      </c>
      <c r="Z798" s="11">
        <f t="array" ref="Z798">XLOOKUP(A:A,'Raw Revenue'!I:I,'Raw Revenue'!J:J,0)</f>
        <v>0</v>
      </c>
      <c r="AA798" s="11">
        <f t="array" ref="AA798">XLOOKUP(A:A,'Raw Revenue'!K:K,'Raw Revenue'!L:L,0)</f>
        <v>0</v>
      </c>
      <c r="AB798" s="11">
        <f t="array" ref="AB798">XLOOKUP(A:A,'Raw Revenue'!M:M,'Raw Revenue'!N:N,0)</f>
        <v>0</v>
      </c>
      <c r="AC798" s="3">
        <v>0.0</v>
      </c>
      <c r="AD798" s="3">
        <v>0.0</v>
      </c>
      <c r="AE798" s="3">
        <v>0.0</v>
      </c>
      <c r="AF798" s="3">
        <v>0.0</v>
      </c>
      <c r="AG798" s="3">
        <v>0.0</v>
      </c>
    </row>
    <row r="799">
      <c r="A799" s="3" t="s">
        <v>1821</v>
      </c>
      <c r="B799" s="3" t="s">
        <v>1822</v>
      </c>
      <c r="C799" s="3" t="str">
        <f t="shared" si="1"/>
        <v>PT. Cahaya Baru Indonesia</v>
      </c>
      <c r="D799" s="3" t="s">
        <v>195</v>
      </c>
      <c r="E799" s="3" t="s">
        <v>196</v>
      </c>
      <c r="F799" s="3" t="s">
        <v>260</v>
      </c>
      <c r="G799" s="3" t="s">
        <v>43</v>
      </c>
      <c r="H799" s="3" t="str">
        <f t="array" ref="H799">XLOOKUP(G:G,'Account Manager Data'!A:A,'Account Manager Data'!B:B,0)</f>
        <v>Eko Prasetyo</v>
      </c>
      <c r="I799" s="11" t="str">
        <f t="array" ref="I799">XLOOKUP($G:$G,'Account Manager Data'!$A:$A,'Account Manager Data'!C:C)</f>
        <v>Papua</v>
      </c>
      <c r="J799" s="17">
        <v>6147665.0</v>
      </c>
      <c r="K799" s="17">
        <v>3855705.0</v>
      </c>
      <c r="L799" s="17">
        <v>2998153.0</v>
      </c>
      <c r="M799" s="17">
        <v>9187994.0</v>
      </c>
      <c r="N799" s="17">
        <v>4458237.0</v>
      </c>
      <c r="O799" s="17">
        <v>1490400.0</v>
      </c>
      <c r="P799" s="17">
        <v>1.0558764E7</v>
      </c>
      <c r="Q799" s="17">
        <v>3247867.0</v>
      </c>
      <c r="R799" s="17">
        <v>1.1694529E7</v>
      </c>
      <c r="S799" s="17">
        <v>5204325.0</v>
      </c>
      <c r="T799" s="17">
        <v>9624881.0</v>
      </c>
      <c r="U799" s="17">
        <v>1.5043911E7</v>
      </c>
      <c r="V799" s="11">
        <f t="array" ref="V799">XLOOKUP(A:A,'Raw Revenue'!A:A,'Raw Revenue'!B:B,0)
</f>
        <v>0</v>
      </c>
      <c r="W799" s="11">
        <f t="array" ref="W799">XLOOKUP(A:A,'Raw Revenue'!C:C,'Raw Revenue'!D:D,0)</f>
        <v>0</v>
      </c>
      <c r="X799" s="11">
        <f t="array" ref="X799">XLOOKUP(A:A,'Raw Revenue'!E:E,'Raw Revenue'!F:F,0)</f>
        <v>0</v>
      </c>
      <c r="Y799" s="11">
        <f t="array" ref="Y799">XLOOKUP(A:A,'Raw Revenue'!G:G,'Raw Revenue'!H:H,0)</f>
        <v>0</v>
      </c>
      <c r="Z799" s="11">
        <f t="array" ref="Z799">XLOOKUP(A:A,'Raw Revenue'!I:I,'Raw Revenue'!J:J,0)</f>
        <v>0</v>
      </c>
      <c r="AA799" s="11">
        <f t="array" ref="AA799">XLOOKUP(A:A,'Raw Revenue'!K:K,'Raw Revenue'!L:L,0)</f>
        <v>0</v>
      </c>
      <c r="AB799" s="11">
        <f t="array" ref="AB799">XLOOKUP(A:A,'Raw Revenue'!M:M,'Raw Revenue'!N:N,0)</f>
        <v>0</v>
      </c>
      <c r="AC799" s="3">
        <v>0.0</v>
      </c>
      <c r="AD799" s="3">
        <v>0.0</v>
      </c>
      <c r="AE799" s="3">
        <v>0.0</v>
      </c>
      <c r="AF799" s="3">
        <v>0.0</v>
      </c>
      <c r="AG799" s="3">
        <v>0.0</v>
      </c>
    </row>
    <row r="800">
      <c r="A800" s="3" t="s">
        <v>1823</v>
      </c>
      <c r="B800" s="3" t="s">
        <v>1824</v>
      </c>
      <c r="C800" s="3" t="str">
        <f t="shared" si="1"/>
        <v>PT. Mentari Pagi Sejahtera</v>
      </c>
      <c r="D800" s="3" t="s">
        <v>84</v>
      </c>
      <c r="E800" s="3" t="s">
        <v>187</v>
      </c>
      <c r="F800" s="3" t="s">
        <v>295</v>
      </c>
      <c r="G800" s="3" t="s">
        <v>74</v>
      </c>
      <c r="H800" s="3" t="str">
        <f t="array" ref="H800">XLOOKUP(G:G,'Account Manager Data'!A:A,'Account Manager Data'!B:B,0)</f>
        <v>Budi Santoso</v>
      </c>
      <c r="I800" s="11" t="str">
        <f t="array" ref="I800">XLOOKUP($G:$G,'Account Manager Data'!$A:$A,'Account Manager Data'!C:C)</f>
        <v>Papua</v>
      </c>
      <c r="J800" s="17">
        <v>2731343.0</v>
      </c>
      <c r="K800" s="17">
        <v>5328448.0</v>
      </c>
      <c r="L800" s="17">
        <v>1.019951E7</v>
      </c>
      <c r="M800" s="17">
        <v>1.110384E7</v>
      </c>
      <c r="N800" s="17">
        <v>5379422.0</v>
      </c>
      <c r="O800" s="17">
        <v>1.1160834E7</v>
      </c>
      <c r="P800" s="17">
        <v>1.6130072E7</v>
      </c>
      <c r="Q800" s="17">
        <v>5929968.0</v>
      </c>
      <c r="R800" s="17">
        <v>3495805.0</v>
      </c>
      <c r="S800" s="17">
        <v>1.2554835E7</v>
      </c>
      <c r="T800" s="17">
        <v>1.0324146E7</v>
      </c>
      <c r="U800" s="17">
        <v>1.5215708E7</v>
      </c>
      <c r="V800" s="11">
        <f t="array" ref="V800">XLOOKUP(A:A,'Raw Revenue'!A:A,'Raw Revenue'!B:B,0)
</f>
        <v>0</v>
      </c>
      <c r="W800" s="11">
        <f t="array" ref="W800">XLOOKUP(A:A,'Raw Revenue'!C:C,'Raw Revenue'!D:D,0)</f>
        <v>0</v>
      </c>
      <c r="X800" s="11">
        <f t="array" ref="X800">XLOOKUP(A:A,'Raw Revenue'!E:E,'Raw Revenue'!F:F,0)</f>
        <v>0</v>
      </c>
      <c r="Y800" s="11">
        <f t="array" ref="Y800">XLOOKUP(A:A,'Raw Revenue'!G:G,'Raw Revenue'!H:H,0)</f>
        <v>0</v>
      </c>
      <c r="Z800" s="11">
        <f t="array" ref="Z800">XLOOKUP(A:A,'Raw Revenue'!I:I,'Raw Revenue'!J:J,0)</f>
        <v>0</v>
      </c>
      <c r="AA800" s="11">
        <f t="array" ref="AA800">XLOOKUP(A:A,'Raw Revenue'!K:K,'Raw Revenue'!L:L,0)</f>
        <v>0</v>
      </c>
      <c r="AB800" s="11">
        <f t="array" ref="AB800">XLOOKUP(A:A,'Raw Revenue'!M:M,'Raw Revenue'!N:N,0)</f>
        <v>0</v>
      </c>
      <c r="AC800" s="3">
        <v>0.0</v>
      </c>
      <c r="AD800" s="3">
        <v>0.0</v>
      </c>
      <c r="AE800" s="3">
        <v>0.0</v>
      </c>
      <c r="AF800" s="3">
        <v>0.0</v>
      </c>
      <c r="AG800" s="3">
        <v>0.0</v>
      </c>
    </row>
    <row r="801">
      <c r="A801" s="3" t="s">
        <v>1825</v>
      </c>
      <c r="B801" s="3" t="s">
        <v>1826</v>
      </c>
      <c r="C801" s="3" t="str">
        <f t="shared" si="1"/>
        <v>PT. Bintang Kejora Nusantara</v>
      </c>
      <c r="D801" s="3" t="s">
        <v>214</v>
      </c>
      <c r="E801" s="3" t="s">
        <v>215</v>
      </c>
      <c r="F801" s="3" t="s">
        <v>227</v>
      </c>
      <c r="G801" s="3" t="s">
        <v>76</v>
      </c>
      <c r="H801" s="3" t="str">
        <f t="array" ref="H801">XLOOKUP(G:G,'Account Manager Data'!A:A,'Account Manager Data'!B:B,0)</f>
        <v>Teguh Wijaya</v>
      </c>
      <c r="I801" s="11" t="str">
        <f t="array" ref="I801">XLOOKUP($G:$G,'Account Manager Data'!$A:$A,'Account Manager Data'!C:C)</f>
        <v>Sulawesi</v>
      </c>
      <c r="J801" s="17">
        <v>865845.0</v>
      </c>
      <c r="K801" s="17">
        <v>4370567.0</v>
      </c>
      <c r="L801" s="17">
        <v>1155553.0</v>
      </c>
      <c r="M801" s="17">
        <v>4215883.0</v>
      </c>
      <c r="N801" s="17">
        <v>1.3901993E7</v>
      </c>
      <c r="O801" s="17">
        <v>2595609.0</v>
      </c>
      <c r="P801" s="17">
        <v>5167482.0</v>
      </c>
      <c r="Q801" s="17">
        <v>2319814.0</v>
      </c>
      <c r="R801" s="17">
        <v>3236532.0</v>
      </c>
      <c r="S801" s="17">
        <v>1.2994449E7</v>
      </c>
      <c r="T801" s="17">
        <v>1.607336E7</v>
      </c>
      <c r="U801" s="17">
        <v>7828659.0</v>
      </c>
      <c r="V801" s="11">
        <f t="array" ref="V801">XLOOKUP(A:A,'Raw Revenue'!A:A,'Raw Revenue'!B:B,0)
</f>
        <v>0</v>
      </c>
      <c r="W801" s="11">
        <f t="array" ref="W801">XLOOKUP(A:A,'Raw Revenue'!C:C,'Raw Revenue'!D:D,0)</f>
        <v>0</v>
      </c>
      <c r="X801" s="11">
        <f t="array" ref="X801">XLOOKUP(A:A,'Raw Revenue'!E:E,'Raw Revenue'!F:F,0)</f>
        <v>0</v>
      </c>
      <c r="Y801" s="11">
        <f t="array" ref="Y801">XLOOKUP(A:A,'Raw Revenue'!G:G,'Raw Revenue'!H:H,0)</f>
        <v>0</v>
      </c>
      <c r="Z801" s="11">
        <f t="array" ref="Z801">XLOOKUP(A:A,'Raw Revenue'!I:I,'Raw Revenue'!J:J,0)</f>
        <v>0</v>
      </c>
      <c r="AA801" s="11">
        <f t="array" ref="AA801">XLOOKUP(A:A,'Raw Revenue'!K:K,'Raw Revenue'!L:L,0)</f>
        <v>0</v>
      </c>
      <c r="AB801" s="11">
        <f t="array" ref="AB801">XLOOKUP(A:A,'Raw Revenue'!M:M,'Raw Revenue'!N:N,0)</f>
        <v>0</v>
      </c>
      <c r="AC801" s="3">
        <v>0.0</v>
      </c>
      <c r="AD801" s="3">
        <v>0.0</v>
      </c>
      <c r="AE801" s="3">
        <v>0.0</v>
      </c>
      <c r="AF801" s="3">
        <v>0.0</v>
      </c>
      <c r="AG801" s="3">
        <v>0.0</v>
      </c>
    </row>
    <row r="802">
      <c r="A802" s="3" t="s">
        <v>1827</v>
      </c>
      <c r="B802" s="3" t="s">
        <v>1828</v>
      </c>
      <c r="C802" s="3" t="str">
        <f t="shared" si="1"/>
        <v>PT. Maju Jaya</v>
      </c>
      <c r="D802" s="3" t="s">
        <v>214</v>
      </c>
      <c r="E802" s="3" t="s">
        <v>215</v>
      </c>
      <c r="F802" s="3" t="s">
        <v>216</v>
      </c>
      <c r="G802" s="3" t="s">
        <v>70</v>
      </c>
      <c r="H802" s="3" t="str">
        <f t="array" ref="H802">XLOOKUP(G:G,'Account Manager Data'!A:A,'Account Manager Data'!B:B,0)</f>
        <v>Yusuf Hidayat</v>
      </c>
      <c r="I802" s="11" t="str">
        <f t="array" ref="I802">XLOOKUP($G:$G,'Account Manager Data'!$A:$A,'Account Manager Data'!C:C)</f>
        <v>Sumatera</v>
      </c>
      <c r="J802" s="17">
        <v>6157242.0</v>
      </c>
      <c r="K802" s="17">
        <v>2845174.0</v>
      </c>
      <c r="L802" s="17">
        <v>9287420.0</v>
      </c>
      <c r="M802" s="17">
        <v>0.0</v>
      </c>
      <c r="N802" s="17">
        <v>9667695.0</v>
      </c>
      <c r="O802" s="17">
        <v>8364381.0</v>
      </c>
      <c r="P802" s="17">
        <v>8187024.0</v>
      </c>
      <c r="Q802" s="17">
        <v>2064670.0</v>
      </c>
      <c r="R802" s="17">
        <v>1.1721083E7</v>
      </c>
      <c r="S802" s="17">
        <v>1.4126452E7</v>
      </c>
      <c r="T802" s="17">
        <v>1.6553553E7</v>
      </c>
      <c r="U802" s="17">
        <v>9464333.0</v>
      </c>
      <c r="V802" s="11">
        <f t="array" ref="V802">XLOOKUP(A:A,'Raw Revenue'!A:A,'Raw Revenue'!B:B,0)
</f>
        <v>0</v>
      </c>
      <c r="W802" s="11">
        <f t="array" ref="W802">XLOOKUP(A:A,'Raw Revenue'!C:C,'Raw Revenue'!D:D,0)</f>
        <v>0</v>
      </c>
      <c r="X802" s="11">
        <f t="array" ref="X802">XLOOKUP(A:A,'Raw Revenue'!E:E,'Raw Revenue'!F:F,0)</f>
        <v>0</v>
      </c>
      <c r="Y802" s="11">
        <f t="array" ref="Y802">XLOOKUP(A:A,'Raw Revenue'!G:G,'Raw Revenue'!H:H,0)</f>
        <v>0</v>
      </c>
      <c r="Z802" s="11">
        <f t="array" ref="Z802">XLOOKUP(A:A,'Raw Revenue'!I:I,'Raw Revenue'!J:J,0)</f>
        <v>0</v>
      </c>
      <c r="AA802" s="11">
        <f t="array" ref="AA802">XLOOKUP(A:A,'Raw Revenue'!K:K,'Raw Revenue'!L:L,0)</f>
        <v>0</v>
      </c>
      <c r="AB802" s="11">
        <f t="array" ref="AB802">XLOOKUP(A:A,'Raw Revenue'!M:M,'Raw Revenue'!N:N,0)</f>
        <v>0</v>
      </c>
      <c r="AC802" s="3">
        <v>0.0</v>
      </c>
      <c r="AD802" s="3">
        <v>0.0</v>
      </c>
      <c r="AE802" s="3">
        <v>0.0</v>
      </c>
      <c r="AF802" s="3">
        <v>0.0</v>
      </c>
      <c r="AG802" s="3">
        <v>0.0</v>
      </c>
    </row>
    <row r="803">
      <c r="A803" s="3" t="s">
        <v>1829</v>
      </c>
      <c r="B803" s="3" t="s">
        <v>1830</v>
      </c>
      <c r="C803" s="3" t="str">
        <f t="shared" si="1"/>
        <v>CV. Sumber Makmur</v>
      </c>
      <c r="D803" s="3" t="s">
        <v>214</v>
      </c>
      <c r="E803" s="3" t="s">
        <v>196</v>
      </c>
      <c r="F803" s="3" t="s">
        <v>260</v>
      </c>
      <c r="G803" s="3" t="s">
        <v>15</v>
      </c>
      <c r="H803" s="3" t="str">
        <f t="array" ref="H803">XLOOKUP(G:G,'Account Manager Data'!A:A,'Account Manager Data'!B:B,0)</f>
        <v>Rizky Maulana</v>
      </c>
      <c r="I803" s="11" t="str">
        <f t="array" ref="I803">XLOOKUP($G:$G,'Account Manager Data'!$A:$A,'Account Manager Data'!C:C)</f>
        <v>Jawa</v>
      </c>
      <c r="J803" s="17">
        <v>7215540.0</v>
      </c>
      <c r="K803" s="17">
        <v>2094736.0</v>
      </c>
      <c r="L803" s="17">
        <v>1.0201319E7</v>
      </c>
      <c r="M803" s="17">
        <v>5070096.0</v>
      </c>
      <c r="N803" s="17">
        <v>2469465.0</v>
      </c>
      <c r="O803" s="17">
        <v>1635020.0</v>
      </c>
      <c r="P803" s="17">
        <v>1.0787096E7</v>
      </c>
      <c r="Q803" s="17">
        <v>1085559.0</v>
      </c>
      <c r="R803" s="17">
        <v>1.1311875E7</v>
      </c>
      <c r="S803" s="17">
        <v>1.4209243E7</v>
      </c>
      <c r="T803" s="17">
        <v>518602.0</v>
      </c>
      <c r="U803" s="17">
        <v>1.0392946E7</v>
      </c>
      <c r="V803" s="11">
        <f t="array" ref="V803">XLOOKUP(A:A,'Raw Revenue'!A:A,'Raw Revenue'!B:B,0)
</f>
        <v>0</v>
      </c>
      <c r="W803" s="11">
        <f t="array" ref="W803">XLOOKUP(A:A,'Raw Revenue'!C:C,'Raw Revenue'!D:D,0)</f>
        <v>0</v>
      </c>
      <c r="X803" s="11">
        <f t="array" ref="X803">XLOOKUP(A:A,'Raw Revenue'!E:E,'Raw Revenue'!F:F,0)</f>
        <v>0</v>
      </c>
      <c r="Y803" s="11">
        <f t="array" ref="Y803">XLOOKUP(A:A,'Raw Revenue'!G:G,'Raw Revenue'!H:H,0)</f>
        <v>0</v>
      </c>
      <c r="Z803" s="11">
        <f t="array" ref="Z803">XLOOKUP(A:A,'Raw Revenue'!I:I,'Raw Revenue'!J:J,0)</f>
        <v>0</v>
      </c>
      <c r="AA803" s="11">
        <f t="array" ref="AA803">XLOOKUP(A:A,'Raw Revenue'!K:K,'Raw Revenue'!L:L,0)</f>
        <v>0</v>
      </c>
      <c r="AB803" s="11">
        <f t="array" ref="AB803">XLOOKUP(A:A,'Raw Revenue'!M:M,'Raw Revenue'!N:N,0)</f>
        <v>0</v>
      </c>
      <c r="AC803" s="3">
        <v>0.0</v>
      </c>
      <c r="AD803" s="3">
        <v>0.0</v>
      </c>
      <c r="AE803" s="3">
        <v>0.0</v>
      </c>
      <c r="AF803" s="3">
        <v>0.0</v>
      </c>
      <c r="AG803" s="3">
        <v>0.0</v>
      </c>
    </row>
    <row r="804">
      <c r="A804" s="3" t="s">
        <v>1831</v>
      </c>
      <c r="B804" s="3" t="s">
        <v>1832</v>
      </c>
      <c r="C804" s="3" t="str">
        <f t="shared" si="1"/>
        <v>PT. Teknologi Nusantara</v>
      </c>
      <c r="D804" s="3" t="s">
        <v>186</v>
      </c>
      <c r="E804" s="3" t="s">
        <v>215</v>
      </c>
      <c r="F804" s="3" t="s">
        <v>216</v>
      </c>
      <c r="G804" s="3" t="s">
        <v>27</v>
      </c>
      <c r="H804" s="3" t="str">
        <f t="array" ref="H804">XLOOKUP(G:G,'Account Manager Data'!A:A,'Account Manager Data'!B:B,0)</f>
        <v>Dedi Kurniawan</v>
      </c>
      <c r="I804" s="11" t="str">
        <f t="array" ref="I804">XLOOKUP($G:$G,'Account Manager Data'!$A:$A,'Account Manager Data'!C:C)</f>
        <v>Kalimantan</v>
      </c>
      <c r="J804" s="17">
        <v>283476.0</v>
      </c>
      <c r="K804" s="17">
        <v>5119557.0</v>
      </c>
      <c r="L804" s="17">
        <v>1.0354918E7</v>
      </c>
      <c r="M804" s="17">
        <v>243002.0</v>
      </c>
      <c r="N804" s="17">
        <v>1.3372635E7</v>
      </c>
      <c r="O804" s="17">
        <v>1.2942977E7</v>
      </c>
      <c r="P804" s="17">
        <v>7214675.0</v>
      </c>
      <c r="Q804" s="17">
        <v>1.2171613E7</v>
      </c>
      <c r="R804" s="17">
        <v>6568418.0</v>
      </c>
      <c r="S804" s="17">
        <v>6477824.0</v>
      </c>
      <c r="T804" s="17">
        <v>7620487.0</v>
      </c>
      <c r="U804" s="17">
        <v>96205.0</v>
      </c>
      <c r="V804" s="11">
        <f t="array" ref="V804">XLOOKUP(A:A,'Raw Revenue'!A:A,'Raw Revenue'!B:B,0)
</f>
        <v>0</v>
      </c>
      <c r="W804" s="11">
        <f t="array" ref="W804">XLOOKUP(A:A,'Raw Revenue'!C:C,'Raw Revenue'!D:D,0)</f>
        <v>0</v>
      </c>
      <c r="X804" s="11">
        <f t="array" ref="X804">XLOOKUP(A:A,'Raw Revenue'!E:E,'Raw Revenue'!F:F,0)</f>
        <v>0</v>
      </c>
      <c r="Y804" s="11">
        <f t="array" ref="Y804">XLOOKUP(A:A,'Raw Revenue'!G:G,'Raw Revenue'!H:H,0)</f>
        <v>0</v>
      </c>
      <c r="Z804" s="11">
        <f t="array" ref="Z804">XLOOKUP(A:A,'Raw Revenue'!I:I,'Raw Revenue'!J:J,0)</f>
        <v>0</v>
      </c>
      <c r="AA804" s="11">
        <f t="array" ref="AA804">XLOOKUP(A:A,'Raw Revenue'!K:K,'Raw Revenue'!L:L,0)</f>
        <v>0</v>
      </c>
      <c r="AB804" s="11">
        <f t="array" ref="AB804">XLOOKUP(A:A,'Raw Revenue'!M:M,'Raw Revenue'!N:N,0)</f>
        <v>0</v>
      </c>
      <c r="AC804" s="3">
        <v>0.0</v>
      </c>
      <c r="AD804" s="3">
        <v>0.0</v>
      </c>
      <c r="AE804" s="3">
        <v>0.0</v>
      </c>
      <c r="AF804" s="3">
        <v>0.0</v>
      </c>
      <c r="AG804" s="3">
        <v>0.0</v>
      </c>
    </row>
    <row r="805">
      <c r="A805" s="3" t="s">
        <v>1833</v>
      </c>
      <c r="B805" s="3" t="s">
        <v>1834</v>
      </c>
      <c r="C805" s="3" t="str">
        <f t="shared" si="1"/>
        <v>PT. Bakti Indonesia</v>
      </c>
      <c r="D805" s="3" t="s">
        <v>195</v>
      </c>
      <c r="E805" s="3" t="s">
        <v>187</v>
      </c>
      <c r="F805" s="3" t="s">
        <v>295</v>
      </c>
      <c r="G805" s="3" t="s">
        <v>78</v>
      </c>
      <c r="H805" s="3" t="str">
        <f t="array" ref="H805">XLOOKUP(G:G,'Account Manager Data'!A:A,'Account Manager Data'!B:B,0)</f>
        <v>Ilham Saputra</v>
      </c>
      <c r="I805" s="11" t="str">
        <f t="array" ref="I805">XLOOKUP($G:$G,'Account Manager Data'!$A:$A,'Account Manager Data'!C:C)</f>
        <v>Jawa</v>
      </c>
      <c r="J805" s="17">
        <v>5813677.0</v>
      </c>
      <c r="K805" s="17">
        <v>6260275.0</v>
      </c>
      <c r="L805" s="17">
        <v>0.0</v>
      </c>
      <c r="M805" s="17">
        <v>0.0</v>
      </c>
      <c r="N805" s="17">
        <v>1320716.0</v>
      </c>
      <c r="O805" s="17">
        <v>8813576.0</v>
      </c>
      <c r="P805" s="17">
        <v>5068204.0</v>
      </c>
      <c r="Q805" s="17">
        <v>6980733.0</v>
      </c>
      <c r="R805" s="17">
        <v>1.4072573E7</v>
      </c>
      <c r="S805" s="17">
        <v>1.1000652E7</v>
      </c>
      <c r="T805" s="17">
        <v>3141830.0</v>
      </c>
      <c r="U805" s="17">
        <v>0.0</v>
      </c>
      <c r="V805" s="11">
        <f t="array" ref="V805">XLOOKUP(A:A,'Raw Revenue'!A:A,'Raw Revenue'!B:B,0)
</f>
        <v>0</v>
      </c>
      <c r="W805" s="11">
        <f t="array" ref="W805">XLOOKUP(A:A,'Raw Revenue'!C:C,'Raw Revenue'!D:D,0)</f>
        <v>0</v>
      </c>
      <c r="X805" s="11">
        <f t="array" ref="X805">XLOOKUP(A:A,'Raw Revenue'!E:E,'Raw Revenue'!F:F,0)</f>
        <v>0</v>
      </c>
      <c r="Y805" s="11">
        <f t="array" ref="Y805">XLOOKUP(A:A,'Raw Revenue'!G:G,'Raw Revenue'!H:H,0)</f>
        <v>0</v>
      </c>
      <c r="Z805" s="11">
        <f t="array" ref="Z805">XLOOKUP(A:A,'Raw Revenue'!I:I,'Raw Revenue'!J:J,0)</f>
        <v>0</v>
      </c>
      <c r="AA805" s="11">
        <f t="array" ref="AA805">XLOOKUP(A:A,'Raw Revenue'!K:K,'Raw Revenue'!L:L,0)</f>
        <v>0</v>
      </c>
      <c r="AB805" s="11">
        <f t="array" ref="AB805">XLOOKUP(A:A,'Raw Revenue'!M:M,'Raw Revenue'!N:N,0)</f>
        <v>0</v>
      </c>
      <c r="AC805" s="3">
        <v>0.0</v>
      </c>
      <c r="AD805" s="3">
        <v>0.0</v>
      </c>
      <c r="AE805" s="3">
        <v>0.0</v>
      </c>
      <c r="AF805" s="3">
        <v>0.0</v>
      </c>
      <c r="AG805" s="3">
        <v>0.0</v>
      </c>
    </row>
    <row r="806">
      <c r="A806" s="3" t="s">
        <v>1835</v>
      </c>
      <c r="B806" s="3" t="s">
        <v>1836</v>
      </c>
      <c r="C806" s="3" t="str">
        <f t="shared" si="1"/>
        <v>CV. Amanah Sejahtera</v>
      </c>
      <c r="D806" s="3" t="s">
        <v>84</v>
      </c>
      <c r="E806" s="3" t="s">
        <v>104</v>
      </c>
      <c r="F806" s="3" t="s">
        <v>134</v>
      </c>
      <c r="G806" s="3" t="s">
        <v>53</v>
      </c>
      <c r="H806" s="3" t="str">
        <f t="array" ref="H806">XLOOKUP(G:G,'Account Manager Data'!A:A,'Account Manager Data'!B:B,0)</f>
        <v>Fajar Ramadhan</v>
      </c>
      <c r="I806" s="11" t="str">
        <f t="array" ref="I806">XLOOKUP($G:$G,'Account Manager Data'!$A:$A,'Account Manager Data'!C:C)</f>
        <v>Sulawesi</v>
      </c>
      <c r="J806" s="17">
        <v>3239731.0</v>
      </c>
      <c r="K806" s="17">
        <v>4996525.0</v>
      </c>
      <c r="L806" s="17">
        <v>8901369.0</v>
      </c>
      <c r="M806" s="17">
        <v>3778642.0</v>
      </c>
      <c r="N806" s="17">
        <v>2006169.0</v>
      </c>
      <c r="O806" s="17">
        <v>1.1033647E7</v>
      </c>
      <c r="P806" s="17">
        <v>1.321155E7</v>
      </c>
      <c r="Q806" s="17">
        <v>5623862.0</v>
      </c>
      <c r="R806" s="17">
        <v>7711109.0</v>
      </c>
      <c r="S806" s="17">
        <v>1.5817746E7</v>
      </c>
      <c r="T806" s="17">
        <v>1189454.0</v>
      </c>
      <c r="U806" s="17">
        <v>9425812.0</v>
      </c>
      <c r="V806" s="11">
        <f t="array" ref="V806">XLOOKUP(A:A,'Raw Revenue'!A:A,'Raw Revenue'!B:B,0)
</f>
        <v>0</v>
      </c>
      <c r="W806" s="11">
        <f t="array" ref="W806">XLOOKUP(A:A,'Raw Revenue'!C:C,'Raw Revenue'!D:D,0)</f>
        <v>0</v>
      </c>
      <c r="X806" s="11">
        <f t="array" ref="X806">XLOOKUP(A:A,'Raw Revenue'!E:E,'Raw Revenue'!F:F,0)</f>
        <v>0</v>
      </c>
      <c r="Y806" s="11">
        <f t="array" ref="Y806">XLOOKUP(A:A,'Raw Revenue'!G:G,'Raw Revenue'!H:H,0)</f>
        <v>0</v>
      </c>
      <c r="Z806" s="11">
        <f t="array" ref="Z806">XLOOKUP(A:A,'Raw Revenue'!I:I,'Raw Revenue'!J:J,0)</f>
        <v>0</v>
      </c>
      <c r="AA806" s="11">
        <f t="array" ref="AA806">XLOOKUP(A:A,'Raw Revenue'!K:K,'Raw Revenue'!L:L,0)</f>
        <v>0</v>
      </c>
      <c r="AB806" s="11">
        <f t="array" ref="AB806">XLOOKUP(A:A,'Raw Revenue'!M:M,'Raw Revenue'!N:N,0)</f>
        <v>0</v>
      </c>
      <c r="AC806" s="3">
        <v>0.0</v>
      </c>
      <c r="AD806" s="3">
        <v>0.0</v>
      </c>
      <c r="AE806" s="3">
        <v>0.0</v>
      </c>
      <c r="AF806" s="3">
        <v>0.0</v>
      </c>
      <c r="AG806" s="3">
        <v>0.0</v>
      </c>
    </row>
    <row r="807">
      <c r="A807" s="3" t="s">
        <v>1837</v>
      </c>
      <c r="B807" s="3" t="s">
        <v>1838</v>
      </c>
      <c r="C807" s="3" t="str">
        <f t="shared" si="1"/>
        <v>PT. Digital Solusi Pratama</v>
      </c>
      <c r="D807" s="3" t="s">
        <v>84</v>
      </c>
      <c r="E807" s="3" t="s">
        <v>215</v>
      </c>
      <c r="F807" s="3" t="s">
        <v>227</v>
      </c>
      <c r="G807" s="3" t="s">
        <v>63</v>
      </c>
      <c r="H807" s="3" t="str">
        <f t="array" ref="H807">XLOOKUP(G:G,'Account Manager Data'!A:A,'Account Manager Data'!B:B,0)</f>
        <v>Hendra Gunawan</v>
      </c>
      <c r="I807" s="11" t="str">
        <f t="array" ref="I807">XLOOKUP($G:$G,'Account Manager Data'!$A:$A,'Account Manager Data'!C:C)</f>
        <v>Kalimantan</v>
      </c>
      <c r="J807" s="17">
        <v>4989412.0</v>
      </c>
      <c r="K807" s="17">
        <v>373453.0</v>
      </c>
      <c r="L807" s="17">
        <v>3915913.0</v>
      </c>
      <c r="M807" s="17">
        <v>3062249.0</v>
      </c>
      <c r="N807" s="17">
        <v>1.1347387E7</v>
      </c>
      <c r="O807" s="17">
        <v>1.257861E7</v>
      </c>
      <c r="P807" s="17">
        <v>1.4820749E7</v>
      </c>
      <c r="Q807" s="17">
        <v>1.3293169E7</v>
      </c>
      <c r="R807" s="17">
        <v>1.4372091E7</v>
      </c>
      <c r="S807" s="17">
        <v>1.654505E7</v>
      </c>
      <c r="T807" s="17">
        <v>1.3335051E7</v>
      </c>
      <c r="U807" s="17">
        <v>1.5078862E7</v>
      </c>
      <c r="V807" s="11">
        <f t="array" ref="V807">XLOOKUP(A:A,'Raw Revenue'!A:A,'Raw Revenue'!B:B,0)
</f>
        <v>0</v>
      </c>
      <c r="W807" s="11">
        <f t="array" ref="W807">XLOOKUP(A:A,'Raw Revenue'!C:C,'Raw Revenue'!D:D,0)</f>
        <v>0</v>
      </c>
      <c r="X807" s="11">
        <f t="array" ref="X807">XLOOKUP(A:A,'Raw Revenue'!E:E,'Raw Revenue'!F:F,0)</f>
        <v>0</v>
      </c>
      <c r="Y807" s="11">
        <f t="array" ref="Y807">XLOOKUP(A:A,'Raw Revenue'!G:G,'Raw Revenue'!H:H,0)</f>
        <v>0</v>
      </c>
      <c r="Z807" s="11">
        <f t="array" ref="Z807">XLOOKUP(A:A,'Raw Revenue'!I:I,'Raw Revenue'!J:J,0)</f>
        <v>0</v>
      </c>
      <c r="AA807" s="11">
        <f t="array" ref="AA807">XLOOKUP(A:A,'Raw Revenue'!K:K,'Raw Revenue'!L:L,0)</f>
        <v>0</v>
      </c>
      <c r="AB807" s="11">
        <f t="array" ref="AB807">XLOOKUP(A:A,'Raw Revenue'!M:M,'Raw Revenue'!N:N,0)</f>
        <v>0</v>
      </c>
      <c r="AC807" s="3">
        <v>0.0</v>
      </c>
      <c r="AD807" s="3">
        <v>0.0</v>
      </c>
      <c r="AE807" s="3">
        <v>0.0</v>
      </c>
      <c r="AF807" s="3">
        <v>0.0</v>
      </c>
      <c r="AG807" s="3">
        <v>0.0</v>
      </c>
    </row>
    <row r="808">
      <c r="A808" s="3" t="s">
        <v>1839</v>
      </c>
      <c r="B808" s="3" t="s">
        <v>1840</v>
      </c>
      <c r="C808" s="3" t="str">
        <f t="shared" si="1"/>
        <v>PT. Global Niaga Abadi</v>
      </c>
      <c r="D808" s="3" t="s">
        <v>214</v>
      </c>
      <c r="E808" s="3" t="s">
        <v>85</v>
      </c>
      <c r="F808" s="3" t="s">
        <v>248</v>
      </c>
      <c r="G808" s="3" t="s">
        <v>35</v>
      </c>
      <c r="H808" s="3" t="str">
        <f t="array" ref="H808">XLOOKUP(G:G,'Account Manager Data'!A:A,'Account Manager Data'!B:B,0)</f>
        <v>Ahmad Fauzi</v>
      </c>
      <c r="I808" s="11" t="str">
        <f t="array" ref="I808">XLOOKUP($G:$G,'Account Manager Data'!$A:$A,'Account Manager Data'!C:C)</f>
        <v>Sumatera</v>
      </c>
      <c r="J808" s="17">
        <v>2075487.0</v>
      </c>
      <c r="K808" s="17">
        <v>7888205.0</v>
      </c>
      <c r="L808" s="17">
        <v>4043464.0</v>
      </c>
      <c r="M808" s="17">
        <v>7621066.0</v>
      </c>
      <c r="N808" s="17">
        <v>1.1887735E7</v>
      </c>
      <c r="O808" s="17">
        <v>7746085.0</v>
      </c>
      <c r="P808" s="17">
        <v>1.4556629E7</v>
      </c>
      <c r="Q808" s="17">
        <v>6618600.0</v>
      </c>
      <c r="R808" s="17">
        <v>3524886.0</v>
      </c>
      <c r="S808" s="17">
        <v>6766960.0</v>
      </c>
      <c r="T808" s="17">
        <v>1.8083744E7</v>
      </c>
      <c r="U808" s="17">
        <v>1.4828534E7</v>
      </c>
      <c r="V808" s="11">
        <f t="array" ref="V808">XLOOKUP(A:A,'Raw Revenue'!A:A,'Raw Revenue'!B:B,0)
</f>
        <v>0</v>
      </c>
      <c r="W808" s="11">
        <f t="array" ref="W808">XLOOKUP(A:A,'Raw Revenue'!C:C,'Raw Revenue'!D:D,0)</f>
        <v>0</v>
      </c>
      <c r="X808" s="11">
        <f t="array" ref="X808">XLOOKUP(A:A,'Raw Revenue'!E:E,'Raw Revenue'!F:F,0)</f>
        <v>0</v>
      </c>
      <c r="Y808" s="11">
        <f t="array" ref="Y808">XLOOKUP(A:A,'Raw Revenue'!G:G,'Raw Revenue'!H:H,0)</f>
        <v>0</v>
      </c>
      <c r="Z808" s="11">
        <f t="array" ref="Z808">XLOOKUP(A:A,'Raw Revenue'!I:I,'Raw Revenue'!J:J,0)</f>
        <v>0</v>
      </c>
      <c r="AA808" s="11">
        <f t="array" ref="AA808">XLOOKUP(A:A,'Raw Revenue'!K:K,'Raw Revenue'!L:L,0)</f>
        <v>0</v>
      </c>
      <c r="AB808" s="11">
        <f t="array" ref="AB808">XLOOKUP(A:A,'Raw Revenue'!M:M,'Raw Revenue'!N:N,0)</f>
        <v>0</v>
      </c>
      <c r="AC808" s="3">
        <v>0.0</v>
      </c>
      <c r="AD808" s="3">
        <v>0.0</v>
      </c>
      <c r="AE808" s="3">
        <v>0.0</v>
      </c>
      <c r="AF808" s="3">
        <v>0.0</v>
      </c>
      <c r="AG808" s="3">
        <v>0.0</v>
      </c>
    </row>
    <row r="809">
      <c r="A809" s="3" t="s">
        <v>1841</v>
      </c>
      <c r="B809" s="3" t="s">
        <v>1842</v>
      </c>
      <c r="C809" s="3" t="str">
        <f t="shared" si="1"/>
        <v>PT. Indo Makmur Sentosa</v>
      </c>
      <c r="D809" s="3" t="s">
        <v>214</v>
      </c>
      <c r="E809" s="3" t="s">
        <v>215</v>
      </c>
      <c r="F809" s="3" t="s">
        <v>227</v>
      </c>
      <c r="G809" s="3" t="s">
        <v>74</v>
      </c>
      <c r="H809" s="3" t="str">
        <f t="array" ref="H809">XLOOKUP(G:G,'Account Manager Data'!A:A,'Account Manager Data'!B:B,0)</f>
        <v>Budi Santoso</v>
      </c>
      <c r="I809" s="11" t="str">
        <f t="array" ref="I809">XLOOKUP($G:$G,'Account Manager Data'!$A:$A,'Account Manager Data'!C:C)</f>
        <v>Papua</v>
      </c>
      <c r="J809" s="17">
        <v>3464616.0</v>
      </c>
      <c r="K809" s="17">
        <v>1077078.0</v>
      </c>
      <c r="L809" s="17">
        <v>9505047.0</v>
      </c>
      <c r="M809" s="17">
        <v>4359027.0</v>
      </c>
      <c r="N809" s="17">
        <v>2218244.0</v>
      </c>
      <c r="O809" s="17">
        <v>5406674.0</v>
      </c>
      <c r="P809" s="17">
        <v>8552104.0</v>
      </c>
      <c r="Q809" s="17">
        <v>2717082.0</v>
      </c>
      <c r="R809" s="17">
        <v>4876614.0</v>
      </c>
      <c r="S809" s="17">
        <v>0.0</v>
      </c>
      <c r="T809" s="17">
        <v>1.2864701E7</v>
      </c>
      <c r="U809" s="17">
        <v>1.3042533E7</v>
      </c>
      <c r="V809" s="11">
        <f t="array" ref="V809">XLOOKUP(A:A,'Raw Revenue'!A:A,'Raw Revenue'!B:B,0)
</f>
        <v>0</v>
      </c>
      <c r="W809" s="11">
        <f t="array" ref="W809">XLOOKUP(A:A,'Raw Revenue'!C:C,'Raw Revenue'!D:D,0)</f>
        <v>0</v>
      </c>
      <c r="X809" s="11">
        <f t="array" ref="X809">XLOOKUP(A:A,'Raw Revenue'!E:E,'Raw Revenue'!F:F,0)</f>
        <v>0</v>
      </c>
      <c r="Y809" s="11">
        <f t="array" ref="Y809">XLOOKUP(A:A,'Raw Revenue'!G:G,'Raw Revenue'!H:H,0)</f>
        <v>0</v>
      </c>
      <c r="Z809" s="11">
        <f t="array" ref="Z809">XLOOKUP(A:A,'Raw Revenue'!I:I,'Raw Revenue'!J:J,0)</f>
        <v>0</v>
      </c>
      <c r="AA809" s="11">
        <f t="array" ref="AA809">XLOOKUP(A:A,'Raw Revenue'!K:K,'Raw Revenue'!L:L,0)</f>
        <v>0</v>
      </c>
      <c r="AB809" s="11">
        <f t="array" ref="AB809">XLOOKUP(A:A,'Raw Revenue'!M:M,'Raw Revenue'!N:N,0)</f>
        <v>0</v>
      </c>
      <c r="AC809" s="3">
        <v>0.0</v>
      </c>
      <c r="AD809" s="3">
        <v>0.0</v>
      </c>
      <c r="AE809" s="3">
        <v>0.0</v>
      </c>
      <c r="AF809" s="3">
        <v>0.0</v>
      </c>
      <c r="AG809" s="3">
        <v>0.0</v>
      </c>
    </row>
    <row r="810">
      <c r="A810" s="3" t="s">
        <v>1843</v>
      </c>
      <c r="B810" s="3" t="s">
        <v>1844</v>
      </c>
      <c r="C810" s="3" t="str">
        <f t="shared" si="1"/>
        <v>PT. Citra Mandiri Utama</v>
      </c>
      <c r="D810" s="3" t="s">
        <v>84</v>
      </c>
      <c r="E810" s="3" t="s">
        <v>215</v>
      </c>
      <c r="F810" s="3" t="s">
        <v>227</v>
      </c>
      <c r="G810" s="3" t="s">
        <v>43</v>
      </c>
      <c r="H810" s="3" t="str">
        <f t="array" ref="H810">XLOOKUP(G:G,'Account Manager Data'!A:A,'Account Manager Data'!B:B,0)</f>
        <v>Eko Prasetyo</v>
      </c>
      <c r="I810" s="11" t="str">
        <f t="array" ref="I810">XLOOKUP($G:$G,'Account Manager Data'!$A:$A,'Account Manager Data'!C:C)</f>
        <v>Papua</v>
      </c>
      <c r="J810" s="17">
        <v>1170438.0</v>
      </c>
      <c r="K810" s="17">
        <v>6154512.0</v>
      </c>
      <c r="L810" s="17">
        <v>1184190.0</v>
      </c>
      <c r="M810" s="17">
        <v>8344499.0</v>
      </c>
      <c r="N810" s="17">
        <v>7796868.0</v>
      </c>
      <c r="O810" s="17">
        <v>1.5091413E7</v>
      </c>
      <c r="P810" s="17">
        <v>1.2187126E7</v>
      </c>
      <c r="Q810" s="17">
        <v>2453643.0</v>
      </c>
      <c r="R810" s="17">
        <v>98746.0</v>
      </c>
      <c r="S810" s="17">
        <v>1.2019929E7</v>
      </c>
      <c r="T810" s="17">
        <v>8838742.0</v>
      </c>
      <c r="U810" s="17">
        <v>5655290.0</v>
      </c>
      <c r="V810" s="11">
        <f t="array" ref="V810">XLOOKUP(A:A,'Raw Revenue'!A:A,'Raw Revenue'!B:B,0)
</f>
        <v>0</v>
      </c>
      <c r="W810" s="11">
        <f t="array" ref="W810">XLOOKUP(A:A,'Raw Revenue'!C:C,'Raw Revenue'!D:D,0)</f>
        <v>0</v>
      </c>
      <c r="X810" s="11">
        <f t="array" ref="X810">XLOOKUP(A:A,'Raw Revenue'!E:E,'Raw Revenue'!F:F,0)</f>
        <v>0</v>
      </c>
      <c r="Y810" s="11">
        <f t="array" ref="Y810">XLOOKUP(A:A,'Raw Revenue'!G:G,'Raw Revenue'!H:H,0)</f>
        <v>0</v>
      </c>
      <c r="Z810" s="11">
        <f t="array" ref="Z810">XLOOKUP(A:A,'Raw Revenue'!I:I,'Raw Revenue'!J:J,0)</f>
        <v>0</v>
      </c>
      <c r="AA810" s="11">
        <f t="array" ref="AA810">XLOOKUP(A:A,'Raw Revenue'!K:K,'Raw Revenue'!L:L,0)</f>
        <v>0</v>
      </c>
      <c r="AB810" s="11">
        <f t="array" ref="AB810">XLOOKUP(A:A,'Raw Revenue'!M:M,'Raw Revenue'!N:N,0)</f>
        <v>0</v>
      </c>
      <c r="AC810" s="3">
        <v>0.0</v>
      </c>
      <c r="AD810" s="3">
        <v>0.0</v>
      </c>
      <c r="AE810" s="3">
        <v>0.0</v>
      </c>
      <c r="AF810" s="3">
        <v>0.0</v>
      </c>
      <c r="AG810" s="3">
        <v>0.0</v>
      </c>
    </row>
    <row r="811">
      <c r="A811" s="3" t="s">
        <v>1845</v>
      </c>
      <c r="B811" s="3" t="s">
        <v>1846</v>
      </c>
      <c r="C811" s="3" t="str">
        <f t="shared" si="1"/>
        <v>PT. Sinar Dunia Baru</v>
      </c>
      <c r="D811" s="3" t="s">
        <v>84</v>
      </c>
      <c r="E811" s="3" t="s">
        <v>187</v>
      </c>
      <c r="F811" s="3" t="s">
        <v>295</v>
      </c>
      <c r="G811" s="3" t="s">
        <v>76</v>
      </c>
      <c r="H811" s="3" t="str">
        <f t="array" ref="H811">XLOOKUP(G:G,'Account Manager Data'!A:A,'Account Manager Data'!B:B,0)</f>
        <v>Teguh Wijaya</v>
      </c>
      <c r="I811" s="11" t="str">
        <f t="array" ref="I811">XLOOKUP($G:$G,'Account Manager Data'!$A:$A,'Account Manager Data'!C:C)</f>
        <v>Sulawesi</v>
      </c>
      <c r="J811" s="17">
        <v>6420181.0</v>
      </c>
      <c r="K811" s="17">
        <v>2908452.0</v>
      </c>
      <c r="L811" s="17">
        <v>4789465.0</v>
      </c>
      <c r="M811" s="17">
        <v>6121035.0</v>
      </c>
      <c r="N811" s="17">
        <v>7272583.0</v>
      </c>
      <c r="O811" s="17">
        <v>1.4818776E7</v>
      </c>
      <c r="P811" s="17">
        <v>6836403.0</v>
      </c>
      <c r="Q811" s="17">
        <v>236543.0</v>
      </c>
      <c r="R811" s="17">
        <v>1770011.0</v>
      </c>
      <c r="S811" s="17">
        <v>0.0</v>
      </c>
      <c r="T811" s="17">
        <v>1.9378778E7</v>
      </c>
      <c r="U811" s="17">
        <v>842636.0</v>
      </c>
      <c r="V811" s="11">
        <f t="array" ref="V811">XLOOKUP(A:A,'Raw Revenue'!A:A,'Raw Revenue'!B:B,0)
</f>
        <v>0</v>
      </c>
      <c r="W811" s="11">
        <f t="array" ref="W811">XLOOKUP(A:A,'Raw Revenue'!C:C,'Raw Revenue'!D:D,0)</f>
        <v>0</v>
      </c>
      <c r="X811" s="11">
        <f t="array" ref="X811">XLOOKUP(A:A,'Raw Revenue'!E:E,'Raw Revenue'!F:F,0)</f>
        <v>0</v>
      </c>
      <c r="Y811" s="11">
        <f t="array" ref="Y811">XLOOKUP(A:A,'Raw Revenue'!G:G,'Raw Revenue'!H:H,0)</f>
        <v>0</v>
      </c>
      <c r="Z811" s="11">
        <f t="array" ref="Z811">XLOOKUP(A:A,'Raw Revenue'!I:I,'Raw Revenue'!J:J,0)</f>
        <v>0</v>
      </c>
      <c r="AA811" s="11">
        <f t="array" ref="AA811">XLOOKUP(A:A,'Raw Revenue'!K:K,'Raw Revenue'!L:L,0)</f>
        <v>0</v>
      </c>
      <c r="AB811" s="11">
        <f t="array" ref="AB811">XLOOKUP(A:A,'Raw Revenue'!M:M,'Raw Revenue'!N:N,0)</f>
        <v>0</v>
      </c>
      <c r="AC811" s="3">
        <v>0.0</v>
      </c>
      <c r="AD811" s="3">
        <v>0.0</v>
      </c>
      <c r="AE811" s="3">
        <v>0.0</v>
      </c>
      <c r="AF811" s="3">
        <v>0.0</v>
      </c>
      <c r="AG811" s="3">
        <v>0.0</v>
      </c>
    </row>
    <row r="812">
      <c r="A812" s="3" t="s">
        <v>1847</v>
      </c>
      <c r="B812" s="3" t="s">
        <v>1848</v>
      </c>
      <c r="C812" s="3" t="str">
        <f t="shared" si="1"/>
        <v>CV. Karya Utama Mandiri</v>
      </c>
      <c r="D812" s="3" t="s">
        <v>186</v>
      </c>
      <c r="E812" s="3" t="s">
        <v>215</v>
      </c>
      <c r="F812" s="3" t="s">
        <v>300</v>
      </c>
      <c r="G812" s="3" t="s">
        <v>70</v>
      </c>
      <c r="H812" s="3" t="str">
        <f t="array" ref="H812">XLOOKUP(G:G,'Account Manager Data'!A:A,'Account Manager Data'!B:B,0)</f>
        <v>Yusuf Hidayat</v>
      </c>
      <c r="I812" s="11" t="str">
        <f t="array" ref="I812">XLOOKUP($G:$G,'Account Manager Data'!$A:$A,'Account Manager Data'!C:C)</f>
        <v>Sumatera</v>
      </c>
      <c r="J812" s="17">
        <v>0.0</v>
      </c>
      <c r="K812" s="17">
        <v>6824005.0</v>
      </c>
      <c r="L812" s="17">
        <v>1.0542745E7</v>
      </c>
      <c r="M812" s="17">
        <v>7513180.0</v>
      </c>
      <c r="N812" s="17">
        <v>1931496.0</v>
      </c>
      <c r="O812" s="17">
        <v>8581171.0</v>
      </c>
      <c r="P812" s="17">
        <v>9683342.0</v>
      </c>
      <c r="Q812" s="17">
        <v>2175081.0</v>
      </c>
      <c r="R812" s="17">
        <v>1.6756761E7</v>
      </c>
      <c r="S812" s="17">
        <v>1.2709952E7</v>
      </c>
      <c r="T812" s="17">
        <v>847010.0</v>
      </c>
      <c r="U812" s="17">
        <v>6235755.0</v>
      </c>
      <c r="V812" s="11">
        <f t="array" ref="V812">XLOOKUP(A:A,'Raw Revenue'!A:A,'Raw Revenue'!B:B,0)
</f>
        <v>0</v>
      </c>
      <c r="W812" s="11">
        <f t="array" ref="W812">XLOOKUP(A:A,'Raw Revenue'!C:C,'Raw Revenue'!D:D,0)</f>
        <v>0</v>
      </c>
      <c r="X812" s="11">
        <f t="array" ref="X812">XLOOKUP(A:A,'Raw Revenue'!E:E,'Raw Revenue'!F:F,0)</f>
        <v>0</v>
      </c>
      <c r="Y812" s="11">
        <f t="array" ref="Y812">XLOOKUP(A:A,'Raw Revenue'!G:G,'Raw Revenue'!H:H,0)</f>
        <v>0</v>
      </c>
      <c r="Z812" s="11">
        <f t="array" ref="Z812">XLOOKUP(A:A,'Raw Revenue'!I:I,'Raw Revenue'!J:J,0)</f>
        <v>0</v>
      </c>
      <c r="AA812" s="11">
        <f t="array" ref="AA812">XLOOKUP(A:A,'Raw Revenue'!K:K,'Raw Revenue'!L:L,0)</f>
        <v>0</v>
      </c>
      <c r="AB812" s="11">
        <f t="array" ref="AB812">XLOOKUP(A:A,'Raw Revenue'!M:M,'Raw Revenue'!N:N,0)</f>
        <v>0</v>
      </c>
      <c r="AC812" s="3">
        <v>0.0</v>
      </c>
      <c r="AD812" s="3">
        <v>0.0</v>
      </c>
      <c r="AE812" s="3">
        <v>0.0</v>
      </c>
      <c r="AF812" s="3">
        <v>0.0</v>
      </c>
      <c r="AG812" s="3">
        <v>0.0</v>
      </c>
    </row>
    <row r="813">
      <c r="A813" s="3" t="s">
        <v>1849</v>
      </c>
      <c r="B813" s="3" t="s">
        <v>1850</v>
      </c>
      <c r="C813" s="3" t="str">
        <f t="shared" si="1"/>
        <v>PT. Pratama Jaya Sentosa</v>
      </c>
      <c r="D813" s="3" t="s">
        <v>84</v>
      </c>
      <c r="E813" s="3" t="s">
        <v>104</v>
      </c>
      <c r="F813" s="3" t="s">
        <v>105</v>
      </c>
      <c r="G813" s="3" t="s">
        <v>15</v>
      </c>
      <c r="H813" s="3" t="str">
        <f t="array" ref="H813">XLOOKUP(G:G,'Account Manager Data'!A:A,'Account Manager Data'!B:B,0)</f>
        <v>Rizky Maulana</v>
      </c>
      <c r="I813" s="11" t="str">
        <f t="array" ref="I813">XLOOKUP($G:$G,'Account Manager Data'!$A:$A,'Account Manager Data'!C:C)</f>
        <v>Jawa</v>
      </c>
      <c r="J813" s="17">
        <v>593259.0</v>
      </c>
      <c r="K813" s="17">
        <v>5972814.0</v>
      </c>
      <c r="L813" s="17">
        <v>7469727.0</v>
      </c>
      <c r="M813" s="17">
        <v>0.0</v>
      </c>
      <c r="N813" s="17">
        <v>1.3507961E7</v>
      </c>
      <c r="O813" s="17">
        <v>1.4794721E7</v>
      </c>
      <c r="P813" s="17">
        <v>9684884.0</v>
      </c>
      <c r="Q813" s="17">
        <v>1.1848359E7</v>
      </c>
      <c r="R813" s="17">
        <v>2739268.0</v>
      </c>
      <c r="S813" s="17">
        <v>1.2308961E7</v>
      </c>
      <c r="T813" s="17">
        <v>1.5765077E7</v>
      </c>
      <c r="U813" s="17">
        <v>1.4703636E7</v>
      </c>
      <c r="V813" s="11">
        <f t="array" ref="V813">XLOOKUP(A:A,'Raw Revenue'!A:A,'Raw Revenue'!B:B,0)
</f>
        <v>0</v>
      </c>
      <c r="W813" s="11">
        <f t="array" ref="W813">XLOOKUP(A:A,'Raw Revenue'!C:C,'Raw Revenue'!D:D,0)</f>
        <v>0</v>
      </c>
      <c r="X813" s="11">
        <f t="array" ref="X813">XLOOKUP(A:A,'Raw Revenue'!E:E,'Raw Revenue'!F:F,0)</f>
        <v>0</v>
      </c>
      <c r="Y813" s="11">
        <f t="array" ref="Y813">XLOOKUP(A:A,'Raw Revenue'!G:G,'Raw Revenue'!H:H,0)</f>
        <v>0</v>
      </c>
      <c r="Z813" s="11">
        <f t="array" ref="Z813">XLOOKUP(A:A,'Raw Revenue'!I:I,'Raw Revenue'!J:J,0)</f>
        <v>0</v>
      </c>
      <c r="AA813" s="11">
        <f t="array" ref="AA813">XLOOKUP(A:A,'Raw Revenue'!K:K,'Raw Revenue'!L:L,0)</f>
        <v>0</v>
      </c>
      <c r="AB813" s="11">
        <f t="array" ref="AB813">XLOOKUP(A:A,'Raw Revenue'!M:M,'Raw Revenue'!N:N,0)</f>
        <v>0</v>
      </c>
      <c r="AC813" s="3">
        <v>0.0</v>
      </c>
      <c r="AD813" s="3">
        <v>0.0</v>
      </c>
      <c r="AE813" s="3">
        <v>0.0</v>
      </c>
      <c r="AF813" s="3">
        <v>0.0</v>
      </c>
      <c r="AG813" s="3">
        <v>0.0</v>
      </c>
    </row>
    <row r="814">
      <c r="A814" s="3" t="s">
        <v>1851</v>
      </c>
      <c r="B814" s="3" t="s">
        <v>1852</v>
      </c>
      <c r="C814" s="3" t="str">
        <f t="shared" si="1"/>
        <v>PT. Abadi Selamanya Jaya</v>
      </c>
      <c r="D814" s="3" t="s">
        <v>214</v>
      </c>
      <c r="E814" s="3" t="s">
        <v>187</v>
      </c>
      <c r="F814" s="3" t="s">
        <v>269</v>
      </c>
      <c r="G814" s="3" t="s">
        <v>53</v>
      </c>
      <c r="H814" s="3" t="str">
        <f t="array" ref="H814">XLOOKUP(G:G,'Account Manager Data'!A:A,'Account Manager Data'!B:B,0)</f>
        <v>Fajar Ramadhan</v>
      </c>
      <c r="I814" s="11" t="str">
        <f t="array" ref="I814">XLOOKUP($G:$G,'Account Manager Data'!$A:$A,'Account Manager Data'!C:C)</f>
        <v>Sulawesi</v>
      </c>
      <c r="J814" s="17">
        <v>7529946.0</v>
      </c>
      <c r="K814" s="17">
        <v>6277387.0</v>
      </c>
      <c r="L814" s="17">
        <v>1661311.0</v>
      </c>
      <c r="M814" s="17">
        <v>1145191.0</v>
      </c>
      <c r="N814" s="17">
        <v>1.1777582E7</v>
      </c>
      <c r="O814" s="17">
        <v>2915342.0</v>
      </c>
      <c r="P814" s="17">
        <v>6877879.0</v>
      </c>
      <c r="Q814" s="17">
        <v>7525747.0</v>
      </c>
      <c r="R814" s="17">
        <v>6522568.0</v>
      </c>
      <c r="S814" s="17">
        <v>4153223.0</v>
      </c>
      <c r="T814" s="17">
        <v>0.0</v>
      </c>
      <c r="U814" s="17">
        <v>1.4393008E7</v>
      </c>
      <c r="V814" s="11">
        <f t="array" ref="V814">XLOOKUP(A:A,'Raw Revenue'!A:A,'Raw Revenue'!B:B,0)
</f>
        <v>0</v>
      </c>
      <c r="W814" s="11">
        <f t="array" ref="W814">XLOOKUP(A:A,'Raw Revenue'!C:C,'Raw Revenue'!D:D,0)</f>
        <v>0</v>
      </c>
      <c r="X814" s="11">
        <f t="array" ref="X814">XLOOKUP(A:A,'Raw Revenue'!E:E,'Raw Revenue'!F:F,0)</f>
        <v>0</v>
      </c>
      <c r="Y814" s="11">
        <f t="array" ref="Y814">XLOOKUP(A:A,'Raw Revenue'!G:G,'Raw Revenue'!H:H,0)</f>
        <v>0</v>
      </c>
      <c r="Z814" s="11">
        <f t="array" ref="Z814">XLOOKUP(A:A,'Raw Revenue'!I:I,'Raw Revenue'!J:J,0)</f>
        <v>0</v>
      </c>
      <c r="AA814" s="11">
        <f t="array" ref="AA814">XLOOKUP(A:A,'Raw Revenue'!K:K,'Raw Revenue'!L:L,0)</f>
        <v>0</v>
      </c>
      <c r="AB814" s="11">
        <f t="array" ref="AB814">XLOOKUP(A:A,'Raw Revenue'!M:M,'Raw Revenue'!N:N,0)</f>
        <v>0</v>
      </c>
      <c r="AC814" s="3">
        <v>0.0</v>
      </c>
      <c r="AD814" s="3">
        <v>0.0</v>
      </c>
      <c r="AE814" s="3">
        <v>0.0</v>
      </c>
      <c r="AF814" s="3">
        <v>0.0</v>
      </c>
      <c r="AG814" s="3">
        <v>0.0</v>
      </c>
    </row>
    <row r="815">
      <c r="A815" s="3" t="s">
        <v>1853</v>
      </c>
      <c r="B815" s="3" t="s">
        <v>1854</v>
      </c>
      <c r="C815" s="3" t="str">
        <f t="shared" si="1"/>
        <v>PT. Mandiri Sejahtera Bersama</v>
      </c>
      <c r="D815" s="3" t="s">
        <v>130</v>
      </c>
      <c r="E815" s="3" t="s">
        <v>215</v>
      </c>
      <c r="F815" s="3" t="s">
        <v>227</v>
      </c>
      <c r="G815" s="3" t="s">
        <v>27</v>
      </c>
      <c r="H815" s="3" t="str">
        <f t="array" ref="H815">XLOOKUP(G:G,'Account Manager Data'!A:A,'Account Manager Data'!B:B,0)</f>
        <v>Dedi Kurniawan</v>
      </c>
      <c r="I815" s="11" t="str">
        <f t="array" ref="I815">XLOOKUP($G:$G,'Account Manager Data'!$A:$A,'Account Manager Data'!C:C)</f>
        <v>Kalimantan</v>
      </c>
      <c r="J815" s="17">
        <v>1639964.0</v>
      </c>
      <c r="K815" s="17">
        <v>8697480.0</v>
      </c>
      <c r="L815" s="17">
        <v>8816941.0</v>
      </c>
      <c r="M815" s="17">
        <v>6680611.0</v>
      </c>
      <c r="N815" s="17">
        <v>0.0</v>
      </c>
      <c r="O815" s="17">
        <v>1.2358201E7</v>
      </c>
      <c r="P815" s="17">
        <v>5791168.0</v>
      </c>
      <c r="Q815" s="17">
        <v>3323370.0</v>
      </c>
      <c r="R815" s="17">
        <v>0.0</v>
      </c>
      <c r="S815" s="17">
        <v>0.0</v>
      </c>
      <c r="T815" s="17">
        <v>1.2803513E7</v>
      </c>
      <c r="U815" s="17">
        <v>1798755.0</v>
      </c>
      <c r="V815" s="11">
        <f t="array" ref="V815">XLOOKUP(A:A,'Raw Revenue'!A:A,'Raw Revenue'!B:B,0)
</f>
        <v>0</v>
      </c>
      <c r="W815" s="11">
        <f t="array" ref="W815">XLOOKUP(A:A,'Raw Revenue'!C:C,'Raw Revenue'!D:D,0)</f>
        <v>0</v>
      </c>
      <c r="X815" s="11">
        <f t="array" ref="X815">XLOOKUP(A:A,'Raw Revenue'!E:E,'Raw Revenue'!F:F,0)</f>
        <v>0</v>
      </c>
      <c r="Y815" s="11">
        <f t="array" ref="Y815">XLOOKUP(A:A,'Raw Revenue'!G:G,'Raw Revenue'!H:H,0)</f>
        <v>0</v>
      </c>
      <c r="Z815" s="11">
        <f t="array" ref="Z815">XLOOKUP(A:A,'Raw Revenue'!I:I,'Raw Revenue'!J:J,0)</f>
        <v>0</v>
      </c>
      <c r="AA815" s="11">
        <f t="array" ref="AA815">XLOOKUP(A:A,'Raw Revenue'!K:K,'Raw Revenue'!L:L,0)</f>
        <v>0</v>
      </c>
      <c r="AB815" s="11">
        <f t="array" ref="AB815">XLOOKUP(A:A,'Raw Revenue'!M:M,'Raw Revenue'!N:N,0)</f>
        <v>0</v>
      </c>
      <c r="AC815" s="3">
        <v>0.0</v>
      </c>
      <c r="AD815" s="3">
        <v>0.0</v>
      </c>
      <c r="AE815" s="3">
        <v>0.0</v>
      </c>
      <c r="AF815" s="3">
        <v>0.0</v>
      </c>
      <c r="AG815" s="3">
        <v>0.0</v>
      </c>
    </row>
    <row r="816">
      <c r="A816" s="3" t="s">
        <v>1855</v>
      </c>
      <c r="B816" s="3" t="s">
        <v>1856</v>
      </c>
      <c r="C816" s="3" t="str">
        <f t="shared" si="1"/>
        <v>PT. Sejahtera Alam Indonesia</v>
      </c>
      <c r="D816" s="3" t="s">
        <v>84</v>
      </c>
      <c r="E816" s="3" t="s">
        <v>187</v>
      </c>
      <c r="F816" s="3" t="s">
        <v>188</v>
      </c>
      <c r="G816" s="3" t="s">
        <v>78</v>
      </c>
      <c r="H816" s="3" t="str">
        <f t="array" ref="H816">XLOOKUP(G:G,'Account Manager Data'!A:A,'Account Manager Data'!B:B,0)</f>
        <v>Ilham Saputra</v>
      </c>
      <c r="I816" s="11" t="str">
        <f t="array" ref="I816">XLOOKUP($G:$G,'Account Manager Data'!$A:$A,'Account Manager Data'!C:C)</f>
        <v>Jawa</v>
      </c>
      <c r="J816" s="17">
        <v>3068809.0</v>
      </c>
      <c r="K816" s="17">
        <v>6812423.0</v>
      </c>
      <c r="L816" s="17">
        <v>5780184.0</v>
      </c>
      <c r="M816" s="17">
        <v>4327367.0</v>
      </c>
      <c r="N816" s="17">
        <v>1.2885934E7</v>
      </c>
      <c r="O816" s="17">
        <v>4448052.0</v>
      </c>
      <c r="P816" s="17">
        <v>1.2388387E7</v>
      </c>
      <c r="Q816" s="17">
        <v>1.1539616E7</v>
      </c>
      <c r="R816" s="17">
        <v>4616971.0</v>
      </c>
      <c r="S816" s="17">
        <v>1.1846973E7</v>
      </c>
      <c r="T816" s="17">
        <v>785312.0</v>
      </c>
      <c r="U816" s="17">
        <v>4629548.0</v>
      </c>
      <c r="V816" s="11">
        <f t="array" ref="V816">XLOOKUP(A:A,'Raw Revenue'!A:A,'Raw Revenue'!B:B,0)
</f>
        <v>0</v>
      </c>
      <c r="W816" s="11">
        <f t="array" ref="W816">XLOOKUP(A:A,'Raw Revenue'!C:C,'Raw Revenue'!D:D,0)</f>
        <v>0</v>
      </c>
      <c r="X816" s="11">
        <f t="array" ref="X816">XLOOKUP(A:A,'Raw Revenue'!E:E,'Raw Revenue'!F:F,0)</f>
        <v>0</v>
      </c>
      <c r="Y816" s="11">
        <f t="array" ref="Y816">XLOOKUP(A:A,'Raw Revenue'!G:G,'Raw Revenue'!H:H,0)</f>
        <v>0</v>
      </c>
      <c r="Z816" s="11">
        <f t="array" ref="Z816">XLOOKUP(A:A,'Raw Revenue'!I:I,'Raw Revenue'!J:J,0)</f>
        <v>0</v>
      </c>
      <c r="AA816" s="11">
        <f t="array" ref="AA816">XLOOKUP(A:A,'Raw Revenue'!K:K,'Raw Revenue'!L:L,0)</f>
        <v>0</v>
      </c>
      <c r="AB816" s="11">
        <f t="array" ref="AB816">XLOOKUP(A:A,'Raw Revenue'!M:M,'Raw Revenue'!N:N,0)</f>
        <v>0</v>
      </c>
      <c r="AC816" s="3">
        <v>0.0</v>
      </c>
      <c r="AD816" s="3">
        <v>0.0</v>
      </c>
      <c r="AE816" s="3">
        <v>0.0</v>
      </c>
      <c r="AF816" s="3">
        <v>0.0</v>
      </c>
      <c r="AG816" s="3">
        <v>0.0</v>
      </c>
    </row>
    <row r="817">
      <c r="A817" s="3" t="s">
        <v>464</v>
      </c>
      <c r="B817" s="3" t="s">
        <v>1857</v>
      </c>
      <c r="C817" s="3" t="str">
        <f t="shared" si="1"/>
        <v>PT. Indah Kargo Logistik</v>
      </c>
      <c r="D817" s="3" t="s">
        <v>103</v>
      </c>
      <c r="E817" s="3" t="s">
        <v>215</v>
      </c>
      <c r="F817" s="3" t="s">
        <v>227</v>
      </c>
      <c r="G817" s="3" t="s">
        <v>63</v>
      </c>
      <c r="H817" s="3" t="str">
        <f t="array" ref="H817">XLOOKUP(G:G,'Account Manager Data'!A:A,'Account Manager Data'!B:B,0)</f>
        <v>Hendra Gunawan</v>
      </c>
      <c r="I817" s="11" t="str">
        <f t="array" ref="I817">XLOOKUP($G:$G,'Account Manager Data'!$A:$A,'Account Manager Data'!C:C)</f>
        <v>Kalimantan</v>
      </c>
      <c r="J817" s="17">
        <v>6857518.0</v>
      </c>
      <c r="K817" s="17">
        <v>7371267.0</v>
      </c>
      <c r="L817" s="17">
        <v>0.0</v>
      </c>
      <c r="M817" s="17">
        <v>6995280.0</v>
      </c>
      <c r="N817" s="17">
        <v>7939128.0</v>
      </c>
      <c r="O817" s="17">
        <v>8232207.0</v>
      </c>
      <c r="P817" s="17">
        <v>1.1628268E7</v>
      </c>
      <c r="Q817" s="17">
        <v>1.2346933E7</v>
      </c>
      <c r="R817" s="17">
        <v>0.0</v>
      </c>
      <c r="S817" s="17">
        <v>1.2150329E7</v>
      </c>
      <c r="T817" s="17">
        <v>2273459.0</v>
      </c>
      <c r="U817" s="17">
        <v>3028644.0</v>
      </c>
      <c r="V817" s="11">
        <f t="array" ref="V817">XLOOKUP(A:A,'Raw Revenue'!A:A,'Raw Revenue'!B:B,0)
</f>
        <v>9282679.039</v>
      </c>
      <c r="W817" s="11">
        <f t="array" ref="W817">XLOOKUP(A:A,'Raw Revenue'!C:C,'Raw Revenue'!D:D,0)</f>
        <v>9282679.039</v>
      </c>
      <c r="X817" s="11">
        <f t="array" ref="X817">XLOOKUP(A:A,'Raw Revenue'!E:E,'Raw Revenue'!F:F,0)</f>
        <v>18565358.08</v>
      </c>
      <c r="Y817" s="11">
        <f t="array" ref="Y817">XLOOKUP(A:A,'Raw Revenue'!G:G,'Raw Revenue'!H:H,0)</f>
        <v>15161709.1</v>
      </c>
      <c r="Z817" s="11">
        <f t="array" ref="Z817">XLOOKUP(A:A,'Raw Revenue'!I:I,'Raw Revenue'!J:J,0)</f>
        <v>13614595.92</v>
      </c>
      <c r="AA817" s="11">
        <f t="array" ref="AA817">XLOOKUP(A:A,'Raw Revenue'!K:K,'Raw Revenue'!L:L,0)</f>
        <v>34810046.4</v>
      </c>
      <c r="AB817" s="11">
        <f t="array" ref="AB817">XLOOKUP(A:A,'Raw Revenue'!M:M,'Raw Revenue'!N:N,0)</f>
        <v>32025242.69</v>
      </c>
      <c r="AC817" s="3">
        <v>0.0</v>
      </c>
      <c r="AD817" s="3">
        <v>0.0</v>
      </c>
      <c r="AE817" s="3">
        <v>0.0</v>
      </c>
      <c r="AF817" s="3">
        <v>0.0</v>
      </c>
      <c r="AG817" s="3">
        <v>0.0</v>
      </c>
    </row>
    <row r="818">
      <c r="A818" s="3" t="s">
        <v>1858</v>
      </c>
      <c r="B818" s="3" t="s">
        <v>1859</v>
      </c>
      <c r="C818" s="3" t="str">
        <f t="shared" si="1"/>
        <v>PT. Berkah Alam Semesta</v>
      </c>
      <c r="D818" s="3" t="s">
        <v>130</v>
      </c>
      <c r="E818" s="3" t="s">
        <v>215</v>
      </c>
      <c r="F818" s="3" t="s">
        <v>300</v>
      </c>
      <c r="G818" s="3" t="s">
        <v>35</v>
      </c>
      <c r="H818" s="3" t="str">
        <f t="array" ref="H818">XLOOKUP(G:G,'Account Manager Data'!A:A,'Account Manager Data'!B:B,0)</f>
        <v>Ahmad Fauzi</v>
      </c>
      <c r="I818" s="11" t="str">
        <f t="array" ref="I818">XLOOKUP($G:$G,'Account Manager Data'!$A:$A,'Account Manager Data'!C:C)</f>
        <v>Sumatera</v>
      </c>
      <c r="J818" s="17">
        <v>4925061.0</v>
      </c>
      <c r="K818" s="17">
        <v>5393527.0</v>
      </c>
      <c r="L818" s="17">
        <v>6344701.0</v>
      </c>
      <c r="M818" s="17">
        <v>1.0210879E7</v>
      </c>
      <c r="N818" s="17">
        <v>1.1271413E7</v>
      </c>
      <c r="O818" s="17">
        <v>1.3700261E7</v>
      </c>
      <c r="P818" s="17">
        <v>1869769.0</v>
      </c>
      <c r="Q818" s="17">
        <v>9589791.0</v>
      </c>
      <c r="R818" s="17">
        <v>4298920.0</v>
      </c>
      <c r="S818" s="17">
        <v>1.1017567E7</v>
      </c>
      <c r="T818" s="17">
        <v>1.0124176E7</v>
      </c>
      <c r="U818" s="17">
        <v>7508185.0</v>
      </c>
      <c r="V818" s="11">
        <f t="array" ref="V818">XLOOKUP(A:A,'Raw Revenue'!A:A,'Raw Revenue'!B:B,0)
</f>
        <v>0</v>
      </c>
      <c r="W818" s="11">
        <f t="array" ref="W818">XLOOKUP(A:A,'Raw Revenue'!C:C,'Raw Revenue'!D:D,0)</f>
        <v>0</v>
      </c>
      <c r="X818" s="11">
        <f t="array" ref="X818">XLOOKUP(A:A,'Raw Revenue'!E:E,'Raw Revenue'!F:F,0)</f>
        <v>0</v>
      </c>
      <c r="Y818" s="11">
        <f t="array" ref="Y818">XLOOKUP(A:A,'Raw Revenue'!G:G,'Raw Revenue'!H:H,0)</f>
        <v>0</v>
      </c>
      <c r="Z818" s="11">
        <f t="array" ref="Z818">XLOOKUP(A:A,'Raw Revenue'!I:I,'Raw Revenue'!J:J,0)</f>
        <v>0</v>
      </c>
      <c r="AA818" s="11">
        <f t="array" ref="AA818">XLOOKUP(A:A,'Raw Revenue'!K:K,'Raw Revenue'!L:L,0)</f>
        <v>0</v>
      </c>
      <c r="AB818" s="11">
        <f t="array" ref="AB818">XLOOKUP(A:A,'Raw Revenue'!M:M,'Raw Revenue'!N:N,0)</f>
        <v>0</v>
      </c>
      <c r="AC818" s="3">
        <v>0.0</v>
      </c>
      <c r="AD818" s="3">
        <v>0.0</v>
      </c>
      <c r="AE818" s="3">
        <v>0.0</v>
      </c>
      <c r="AF818" s="3">
        <v>0.0</v>
      </c>
      <c r="AG818" s="3">
        <v>0.0</v>
      </c>
    </row>
    <row r="819">
      <c r="A819" s="3" t="s">
        <v>1860</v>
      </c>
      <c r="B819" s="3" t="s">
        <v>1861</v>
      </c>
      <c r="C819" s="3" t="str">
        <f t="shared" si="1"/>
        <v>PT. Cahaya Baru Indonesia</v>
      </c>
      <c r="D819" s="3" t="s">
        <v>130</v>
      </c>
      <c r="E819" s="3" t="s">
        <v>215</v>
      </c>
      <c r="F819" s="3" t="s">
        <v>300</v>
      </c>
      <c r="G819" s="3" t="s">
        <v>43</v>
      </c>
      <c r="H819" s="3" t="str">
        <f t="array" ref="H819">XLOOKUP(G:G,'Account Manager Data'!A:A,'Account Manager Data'!B:B,0)</f>
        <v>Eko Prasetyo</v>
      </c>
      <c r="I819" s="11" t="str">
        <f t="array" ref="I819">XLOOKUP($G:$G,'Account Manager Data'!$A:$A,'Account Manager Data'!C:C)</f>
        <v>Papua</v>
      </c>
      <c r="J819" s="17">
        <v>4499397.0</v>
      </c>
      <c r="K819" s="17">
        <v>7699211.0</v>
      </c>
      <c r="L819" s="17">
        <v>6160643.0</v>
      </c>
      <c r="M819" s="17">
        <v>2581893.0</v>
      </c>
      <c r="N819" s="17">
        <v>1.0271787E7</v>
      </c>
      <c r="O819" s="17">
        <v>7767977.0</v>
      </c>
      <c r="P819" s="17">
        <v>5091752.0</v>
      </c>
      <c r="Q819" s="17">
        <v>1.5541262E7</v>
      </c>
      <c r="R819" s="17">
        <v>4407114.0</v>
      </c>
      <c r="S819" s="17">
        <v>1.159864E7</v>
      </c>
      <c r="T819" s="17">
        <v>2495577.0</v>
      </c>
      <c r="U819" s="17">
        <v>4666131.0</v>
      </c>
      <c r="V819" s="11">
        <f t="array" ref="V819">XLOOKUP(A:A,'Raw Revenue'!A:A,'Raw Revenue'!B:B,0)
</f>
        <v>0</v>
      </c>
      <c r="W819" s="11">
        <f t="array" ref="W819">XLOOKUP(A:A,'Raw Revenue'!C:C,'Raw Revenue'!D:D,0)</f>
        <v>0</v>
      </c>
      <c r="X819" s="11">
        <f t="array" ref="X819">XLOOKUP(A:A,'Raw Revenue'!E:E,'Raw Revenue'!F:F,0)</f>
        <v>0</v>
      </c>
      <c r="Y819" s="11">
        <f t="array" ref="Y819">XLOOKUP(A:A,'Raw Revenue'!G:G,'Raw Revenue'!H:H,0)</f>
        <v>0</v>
      </c>
      <c r="Z819" s="11">
        <f t="array" ref="Z819">XLOOKUP(A:A,'Raw Revenue'!I:I,'Raw Revenue'!J:J,0)</f>
        <v>0</v>
      </c>
      <c r="AA819" s="11">
        <f t="array" ref="AA819">XLOOKUP(A:A,'Raw Revenue'!K:K,'Raw Revenue'!L:L,0)</f>
        <v>0</v>
      </c>
      <c r="AB819" s="11">
        <f t="array" ref="AB819">XLOOKUP(A:A,'Raw Revenue'!M:M,'Raw Revenue'!N:N,0)</f>
        <v>0</v>
      </c>
      <c r="AC819" s="3">
        <v>0.0</v>
      </c>
      <c r="AD819" s="3">
        <v>0.0</v>
      </c>
      <c r="AE819" s="3">
        <v>0.0</v>
      </c>
      <c r="AF819" s="3">
        <v>0.0</v>
      </c>
      <c r="AG819" s="3">
        <v>0.0</v>
      </c>
    </row>
    <row r="820">
      <c r="A820" s="3" t="s">
        <v>394</v>
      </c>
      <c r="B820" s="3" t="s">
        <v>1862</v>
      </c>
      <c r="C820" s="3" t="str">
        <f t="shared" si="1"/>
        <v>PT. Mentari Pagi Sejahtera</v>
      </c>
      <c r="D820" s="3" t="s">
        <v>103</v>
      </c>
      <c r="E820" s="3" t="s">
        <v>215</v>
      </c>
      <c r="F820" s="3" t="s">
        <v>300</v>
      </c>
      <c r="G820" s="3" t="s">
        <v>74</v>
      </c>
      <c r="H820" s="3" t="str">
        <f t="array" ref="H820">XLOOKUP(G:G,'Account Manager Data'!A:A,'Account Manager Data'!B:B,0)</f>
        <v>Budi Santoso</v>
      </c>
      <c r="I820" s="11" t="str">
        <f t="array" ref="I820">XLOOKUP($G:$G,'Account Manager Data'!$A:$A,'Account Manager Data'!C:C)</f>
        <v>Papua</v>
      </c>
      <c r="J820" s="17">
        <v>914668.0</v>
      </c>
      <c r="K820" s="17">
        <v>6402528.0</v>
      </c>
      <c r="L820" s="17">
        <v>1.001966E7</v>
      </c>
      <c r="M820" s="17">
        <v>4493739.0</v>
      </c>
      <c r="N820" s="17">
        <v>5817859.0</v>
      </c>
      <c r="O820" s="17">
        <v>6972105.0</v>
      </c>
      <c r="P820" s="17">
        <v>1.5414977E7</v>
      </c>
      <c r="Q820" s="17">
        <v>9423919.0</v>
      </c>
      <c r="R820" s="17">
        <v>1.3562797E7</v>
      </c>
      <c r="S820" s="17">
        <v>1.2144832E7</v>
      </c>
      <c r="T820" s="17">
        <v>9926608.0</v>
      </c>
      <c r="U820" s="17">
        <v>7050879.0</v>
      </c>
      <c r="V820" s="11">
        <f t="array" ref="V820">XLOOKUP(A:A,'Raw Revenue'!A:A,'Raw Revenue'!B:B,0)
</f>
        <v>146568.6164</v>
      </c>
      <c r="W820" s="11">
        <f t="array" ref="W820">XLOOKUP(A:A,'Raw Revenue'!C:C,'Raw Revenue'!D:D,0)</f>
        <v>73284.3082</v>
      </c>
      <c r="X820" s="11">
        <f t="array" ref="X820">XLOOKUP(A:A,'Raw Revenue'!E:E,'Raw Revenue'!F:F,0)</f>
        <v>43970.58492</v>
      </c>
      <c r="Y820" s="11">
        <f t="array" ref="Y820">XLOOKUP(A:A,'Raw Revenue'!G:G,'Raw Revenue'!H:H,0)</f>
        <v>512990.1574</v>
      </c>
      <c r="Z820" s="11">
        <f t="array" ref="Z820">XLOOKUP(A:A,'Raw Revenue'!I:I,'Raw Revenue'!J:J,0)</f>
        <v>117254.8931</v>
      </c>
      <c r="AA820" s="11">
        <f t="array" ref="AA820">XLOOKUP(A:A,'Raw Revenue'!K:K,'Raw Revenue'!L:L,0)</f>
        <v>3297.793869</v>
      </c>
      <c r="AB820" s="11">
        <f t="array" ref="AB820">XLOOKUP(A:A,'Raw Revenue'!M:M,'Raw Revenue'!N:N,0)</f>
        <v>441904.3785</v>
      </c>
      <c r="AC820" s="3">
        <v>0.0</v>
      </c>
      <c r="AD820" s="3">
        <v>0.0</v>
      </c>
      <c r="AE820" s="3">
        <v>0.0</v>
      </c>
      <c r="AF820" s="3">
        <v>0.0</v>
      </c>
      <c r="AG820" s="3">
        <v>0.0</v>
      </c>
    </row>
    <row r="821">
      <c r="A821" s="3" t="s">
        <v>1863</v>
      </c>
      <c r="B821" s="3" t="s">
        <v>1864</v>
      </c>
      <c r="C821" s="3" t="str">
        <f t="shared" si="1"/>
        <v>PT. Bintang Kejora Nusantara</v>
      </c>
      <c r="D821" s="3" t="s">
        <v>195</v>
      </c>
      <c r="E821" s="3" t="s">
        <v>215</v>
      </c>
      <c r="F821" s="3" t="s">
        <v>216</v>
      </c>
      <c r="G821" s="3" t="s">
        <v>76</v>
      </c>
      <c r="H821" s="3" t="str">
        <f t="array" ref="H821">XLOOKUP(G:G,'Account Manager Data'!A:A,'Account Manager Data'!B:B,0)</f>
        <v>Teguh Wijaya</v>
      </c>
      <c r="I821" s="11" t="str">
        <f t="array" ref="I821">XLOOKUP($G:$G,'Account Manager Data'!$A:$A,'Account Manager Data'!C:C)</f>
        <v>Sulawesi</v>
      </c>
      <c r="J821" s="17">
        <v>7377884.0</v>
      </c>
      <c r="K821" s="17">
        <v>4787400.0</v>
      </c>
      <c r="L821" s="17">
        <v>0.0</v>
      </c>
      <c r="M821" s="17">
        <v>5458283.0</v>
      </c>
      <c r="N821" s="17">
        <v>1.2842052E7</v>
      </c>
      <c r="O821" s="17">
        <v>7748943.0</v>
      </c>
      <c r="P821" s="17">
        <v>1.1959356E7</v>
      </c>
      <c r="Q821" s="17">
        <v>7973449.0</v>
      </c>
      <c r="R821" s="17">
        <v>7173899.0</v>
      </c>
      <c r="S821" s="17">
        <v>1.4523192E7</v>
      </c>
      <c r="T821" s="17">
        <v>5206779.0</v>
      </c>
      <c r="U821" s="17">
        <v>1.6666675E7</v>
      </c>
      <c r="V821" s="11">
        <f t="array" ref="V821">XLOOKUP(A:A,'Raw Revenue'!A:A,'Raw Revenue'!B:B,0)
</f>
        <v>0</v>
      </c>
      <c r="W821" s="11">
        <f t="array" ref="W821">XLOOKUP(A:A,'Raw Revenue'!C:C,'Raw Revenue'!D:D,0)</f>
        <v>0</v>
      </c>
      <c r="X821" s="11">
        <f t="array" ref="X821">XLOOKUP(A:A,'Raw Revenue'!E:E,'Raw Revenue'!F:F,0)</f>
        <v>0</v>
      </c>
      <c r="Y821" s="11">
        <f t="array" ref="Y821">XLOOKUP(A:A,'Raw Revenue'!G:G,'Raw Revenue'!H:H,0)</f>
        <v>0</v>
      </c>
      <c r="Z821" s="11">
        <f t="array" ref="Z821">XLOOKUP(A:A,'Raw Revenue'!I:I,'Raw Revenue'!J:J,0)</f>
        <v>0</v>
      </c>
      <c r="AA821" s="11">
        <f t="array" ref="AA821">XLOOKUP(A:A,'Raw Revenue'!K:K,'Raw Revenue'!L:L,0)</f>
        <v>0</v>
      </c>
      <c r="AB821" s="11">
        <f t="array" ref="AB821">XLOOKUP(A:A,'Raw Revenue'!M:M,'Raw Revenue'!N:N,0)</f>
        <v>0</v>
      </c>
      <c r="AC821" s="3">
        <v>0.0</v>
      </c>
      <c r="AD821" s="3">
        <v>0.0</v>
      </c>
      <c r="AE821" s="3">
        <v>0.0</v>
      </c>
      <c r="AF821" s="3">
        <v>0.0</v>
      </c>
      <c r="AG821" s="3">
        <v>0.0</v>
      </c>
    </row>
    <row r="822">
      <c r="A822" s="3" t="s">
        <v>1865</v>
      </c>
      <c r="B822" s="3" t="s">
        <v>1866</v>
      </c>
      <c r="C822" s="3" t="str">
        <f t="shared" si="1"/>
        <v>PT. Maju Jaya</v>
      </c>
      <c r="D822" s="3" t="s">
        <v>195</v>
      </c>
      <c r="E822" s="3" t="s">
        <v>104</v>
      </c>
      <c r="F822" s="3" t="s">
        <v>105</v>
      </c>
      <c r="G822" s="3" t="s">
        <v>70</v>
      </c>
      <c r="H822" s="3" t="str">
        <f t="array" ref="H822">XLOOKUP(G:G,'Account Manager Data'!A:A,'Account Manager Data'!B:B,0)</f>
        <v>Yusuf Hidayat</v>
      </c>
      <c r="I822" s="11" t="str">
        <f t="array" ref="I822">XLOOKUP($G:$G,'Account Manager Data'!$A:$A,'Account Manager Data'!C:C)</f>
        <v>Sumatera</v>
      </c>
      <c r="J822" s="17">
        <v>2907823.0</v>
      </c>
      <c r="K822" s="17">
        <v>3563503.0</v>
      </c>
      <c r="L822" s="17">
        <v>7733156.0</v>
      </c>
      <c r="M822" s="17">
        <v>125949.0</v>
      </c>
      <c r="N822" s="17">
        <v>2318164.0</v>
      </c>
      <c r="O822" s="17">
        <v>1.182336E7</v>
      </c>
      <c r="P822" s="17">
        <v>9403296.0</v>
      </c>
      <c r="Q822" s="17">
        <v>1.4764583E7</v>
      </c>
      <c r="R822" s="17">
        <v>1.5327169E7</v>
      </c>
      <c r="S822" s="17">
        <v>3357677.0</v>
      </c>
      <c r="T822" s="17">
        <v>1.1421293E7</v>
      </c>
      <c r="U822" s="17">
        <v>4205379.0</v>
      </c>
      <c r="V822" s="11">
        <f t="array" ref="V822">XLOOKUP(A:A,'Raw Revenue'!A:A,'Raw Revenue'!B:B,0)
</f>
        <v>0</v>
      </c>
      <c r="W822" s="11">
        <f t="array" ref="W822">XLOOKUP(A:A,'Raw Revenue'!C:C,'Raw Revenue'!D:D,0)</f>
        <v>0</v>
      </c>
      <c r="X822" s="11">
        <f t="array" ref="X822">XLOOKUP(A:A,'Raw Revenue'!E:E,'Raw Revenue'!F:F,0)</f>
        <v>0</v>
      </c>
      <c r="Y822" s="11">
        <f t="array" ref="Y822">XLOOKUP(A:A,'Raw Revenue'!G:G,'Raw Revenue'!H:H,0)</f>
        <v>0</v>
      </c>
      <c r="Z822" s="11">
        <f t="array" ref="Z822">XLOOKUP(A:A,'Raw Revenue'!I:I,'Raw Revenue'!J:J,0)</f>
        <v>0</v>
      </c>
      <c r="AA822" s="11">
        <f t="array" ref="AA822">XLOOKUP(A:A,'Raw Revenue'!K:K,'Raw Revenue'!L:L,0)</f>
        <v>0</v>
      </c>
      <c r="AB822" s="11">
        <f t="array" ref="AB822">XLOOKUP(A:A,'Raw Revenue'!M:M,'Raw Revenue'!N:N,0)</f>
        <v>0</v>
      </c>
      <c r="AC822" s="3">
        <v>0.0</v>
      </c>
      <c r="AD822" s="3">
        <v>0.0</v>
      </c>
      <c r="AE822" s="3">
        <v>0.0</v>
      </c>
      <c r="AF822" s="3">
        <v>0.0</v>
      </c>
      <c r="AG822" s="3">
        <v>0.0</v>
      </c>
    </row>
    <row r="823">
      <c r="A823" s="3" t="s">
        <v>1867</v>
      </c>
      <c r="B823" s="3" t="s">
        <v>1868</v>
      </c>
      <c r="C823" s="3" t="str">
        <f t="shared" si="1"/>
        <v>CV. Sumber Makmur</v>
      </c>
      <c r="D823" s="3" t="s">
        <v>84</v>
      </c>
      <c r="E823" s="3" t="s">
        <v>104</v>
      </c>
      <c r="F823" s="3" t="s">
        <v>252</v>
      </c>
      <c r="G823" s="3" t="s">
        <v>15</v>
      </c>
      <c r="H823" s="3" t="str">
        <f t="array" ref="H823">XLOOKUP(G:G,'Account Manager Data'!A:A,'Account Manager Data'!B:B,0)</f>
        <v>Rizky Maulana</v>
      </c>
      <c r="I823" s="11" t="str">
        <f t="array" ref="I823">XLOOKUP($G:$G,'Account Manager Data'!$A:$A,'Account Manager Data'!C:C)</f>
        <v>Jawa</v>
      </c>
      <c r="J823" s="17">
        <v>7201656.0</v>
      </c>
      <c r="K823" s="17">
        <v>1306812.0</v>
      </c>
      <c r="L823" s="17">
        <v>4086896.0</v>
      </c>
      <c r="M823" s="17">
        <v>0.0</v>
      </c>
      <c r="N823" s="17">
        <v>1.0038215E7</v>
      </c>
      <c r="O823" s="17">
        <v>1.1028782E7</v>
      </c>
      <c r="P823" s="17">
        <v>1.4411747E7</v>
      </c>
      <c r="Q823" s="17">
        <v>1.0306842E7</v>
      </c>
      <c r="R823" s="17">
        <v>1.3691537E7</v>
      </c>
      <c r="S823" s="17">
        <v>6240918.0</v>
      </c>
      <c r="T823" s="17">
        <v>1.4657579E7</v>
      </c>
      <c r="U823" s="17">
        <v>8326346.0</v>
      </c>
      <c r="V823" s="11">
        <f t="array" ref="V823">XLOOKUP(A:A,'Raw Revenue'!A:A,'Raw Revenue'!B:B,0)
</f>
        <v>0</v>
      </c>
      <c r="W823" s="11">
        <f t="array" ref="W823">XLOOKUP(A:A,'Raw Revenue'!C:C,'Raw Revenue'!D:D,0)</f>
        <v>0</v>
      </c>
      <c r="X823" s="11">
        <f t="array" ref="X823">XLOOKUP(A:A,'Raw Revenue'!E:E,'Raw Revenue'!F:F,0)</f>
        <v>0</v>
      </c>
      <c r="Y823" s="11">
        <f t="array" ref="Y823">XLOOKUP(A:A,'Raw Revenue'!G:G,'Raw Revenue'!H:H,0)</f>
        <v>0</v>
      </c>
      <c r="Z823" s="11">
        <f t="array" ref="Z823">XLOOKUP(A:A,'Raw Revenue'!I:I,'Raw Revenue'!J:J,0)</f>
        <v>0</v>
      </c>
      <c r="AA823" s="11">
        <f t="array" ref="AA823">XLOOKUP(A:A,'Raw Revenue'!K:K,'Raw Revenue'!L:L,0)</f>
        <v>0</v>
      </c>
      <c r="AB823" s="11">
        <f t="array" ref="AB823">XLOOKUP(A:A,'Raw Revenue'!M:M,'Raw Revenue'!N:N,0)</f>
        <v>0</v>
      </c>
      <c r="AC823" s="3">
        <v>0.0</v>
      </c>
      <c r="AD823" s="3">
        <v>0.0</v>
      </c>
      <c r="AE823" s="3">
        <v>0.0</v>
      </c>
      <c r="AF823" s="3">
        <v>0.0</v>
      </c>
      <c r="AG823" s="3">
        <v>0.0</v>
      </c>
    </row>
    <row r="824">
      <c r="A824" s="3" t="s">
        <v>1869</v>
      </c>
      <c r="B824" s="3" t="s">
        <v>1870</v>
      </c>
      <c r="C824" s="3" t="str">
        <f t="shared" si="1"/>
        <v>PT. Teknologi Nusantara</v>
      </c>
      <c r="D824" s="3" t="s">
        <v>186</v>
      </c>
      <c r="E824" s="3" t="s">
        <v>196</v>
      </c>
      <c r="F824" s="3" t="s">
        <v>197</v>
      </c>
      <c r="G824" s="3" t="s">
        <v>27</v>
      </c>
      <c r="H824" s="3" t="str">
        <f t="array" ref="H824">XLOOKUP(G:G,'Account Manager Data'!A:A,'Account Manager Data'!B:B,0)</f>
        <v>Dedi Kurniawan</v>
      </c>
      <c r="I824" s="11" t="str">
        <f t="array" ref="I824">XLOOKUP($G:$G,'Account Manager Data'!$A:$A,'Account Manager Data'!C:C)</f>
        <v>Kalimantan</v>
      </c>
      <c r="J824" s="17">
        <v>1327756.0</v>
      </c>
      <c r="K824" s="17">
        <v>597762.0</v>
      </c>
      <c r="L824" s="17">
        <v>8268446.0</v>
      </c>
      <c r="M824" s="17">
        <v>1983705.0</v>
      </c>
      <c r="N824" s="17">
        <v>1.1855439E7</v>
      </c>
      <c r="O824" s="17">
        <v>7919790.0</v>
      </c>
      <c r="P824" s="17">
        <v>6552539.0</v>
      </c>
      <c r="Q824" s="17">
        <v>1.2494548E7</v>
      </c>
      <c r="R824" s="17">
        <v>1.6350609E7</v>
      </c>
      <c r="S824" s="17">
        <v>2413334.0</v>
      </c>
      <c r="T824" s="17">
        <v>3751151.0</v>
      </c>
      <c r="U824" s="17">
        <v>6940062.0</v>
      </c>
      <c r="V824" s="11">
        <f t="array" ref="V824">XLOOKUP(A:A,'Raw Revenue'!A:A,'Raw Revenue'!B:B,0)
</f>
        <v>0</v>
      </c>
      <c r="W824" s="11">
        <f t="array" ref="W824">XLOOKUP(A:A,'Raw Revenue'!C:C,'Raw Revenue'!D:D,0)</f>
        <v>0</v>
      </c>
      <c r="X824" s="11">
        <f t="array" ref="X824">XLOOKUP(A:A,'Raw Revenue'!E:E,'Raw Revenue'!F:F,0)</f>
        <v>0</v>
      </c>
      <c r="Y824" s="11">
        <f t="array" ref="Y824">XLOOKUP(A:A,'Raw Revenue'!G:G,'Raw Revenue'!H:H,0)</f>
        <v>0</v>
      </c>
      <c r="Z824" s="11">
        <f t="array" ref="Z824">XLOOKUP(A:A,'Raw Revenue'!I:I,'Raw Revenue'!J:J,0)</f>
        <v>0</v>
      </c>
      <c r="AA824" s="11">
        <f t="array" ref="AA824">XLOOKUP(A:A,'Raw Revenue'!K:K,'Raw Revenue'!L:L,0)</f>
        <v>0</v>
      </c>
      <c r="AB824" s="11">
        <f t="array" ref="AB824">XLOOKUP(A:A,'Raw Revenue'!M:M,'Raw Revenue'!N:N,0)</f>
        <v>0</v>
      </c>
      <c r="AC824" s="3">
        <v>0.0</v>
      </c>
      <c r="AD824" s="3">
        <v>0.0</v>
      </c>
      <c r="AE824" s="3">
        <v>0.0</v>
      </c>
      <c r="AF824" s="3">
        <v>0.0</v>
      </c>
      <c r="AG824" s="3">
        <v>0.0</v>
      </c>
    </row>
    <row r="825">
      <c r="A825" s="3" t="s">
        <v>434</v>
      </c>
      <c r="B825" s="3" t="s">
        <v>1871</v>
      </c>
      <c r="C825" s="3" t="str">
        <f t="shared" si="1"/>
        <v>PT. Bakti Indonesia</v>
      </c>
      <c r="D825" s="3" t="s">
        <v>103</v>
      </c>
      <c r="E825" s="3" t="s">
        <v>104</v>
      </c>
      <c r="F825" s="3" t="s">
        <v>105</v>
      </c>
      <c r="G825" s="3" t="s">
        <v>78</v>
      </c>
      <c r="H825" s="3" t="str">
        <f t="array" ref="H825">XLOOKUP(G:G,'Account Manager Data'!A:A,'Account Manager Data'!B:B,0)</f>
        <v>Ilham Saputra</v>
      </c>
      <c r="I825" s="11" t="str">
        <f t="array" ref="I825">XLOOKUP($G:$G,'Account Manager Data'!$A:$A,'Account Manager Data'!C:C)</f>
        <v>Jawa</v>
      </c>
      <c r="J825" s="17">
        <v>7089595.0</v>
      </c>
      <c r="K825" s="17">
        <v>4986710.0</v>
      </c>
      <c r="L825" s="17">
        <v>4838934.0</v>
      </c>
      <c r="M825" s="17">
        <v>9370548.0</v>
      </c>
      <c r="N825" s="17">
        <v>9300914.0</v>
      </c>
      <c r="O825" s="17">
        <v>3739326.0</v>
      </c>
      <c r="P825" s="17">
        <v>853869.0</v>
      </c>
      <c r="Q825" s="17">
        <v>8570801.0</v>
      </c>
      <c r="R825" s="17">
        <v>86701.0</v>
      </c>
      <c r="S825" s="17">
        <v>1.2313639E7</v>
      </c>
      <c r="T825" s="17">
        <v>1.7422207E7</v>
      </c>
      <c r="U825" s="17">
        <v>3567534.0</v>
      </c>
      <c r="V825" s="11">
        <f t="array" ref="V825">XLOOKUP(A:A,'Raw Revenue'!A:A,'Raw Revenue'!B:B,0)
</f>
        <v>1071078.351</v>
      </c>
      <c r="W825" s="11">
        <f t="array" ref="W825">XLOOKUP(A:A,'Raw Revenue'!C:C,'Raw Revenue'!D:D,0)</f>
        <v>535539.1753</v>
      </c>
      <c r="X825" s="11">
        <f t="array" ref="X825">XLOOKUP(A:A,'Raw Revenue'!E:E,'Raw Revenue'!F:F,0)</f>
        <v>321323.5052</v>
      </c>
      <c r="Y825" s="11">
        <f t="array" ref="Y825">XLOOKUP(A:A,'Raw Revenue'!G:G,'Raw Revenue'!H:H,0)</f>
        <v>3748774.227</v>
      </c>
      <c r="Z825" s="11">
        <f t="array" ref="Z825">XLOOKUP(A:A,'Raw Revenue'!I:I,'Raw Revenue'!J:J,0)</f>
        <v>856862.6805</v>
      </c>
      <c r="AA825" s="11">
        <f t="array" ref="AA825">XLOOKUP(A:A,'Raw Revenue'!K:K,'Raw Revenue'!L:L,0)</f>
        <v>24099.26289</v>
      </c>
      <c r="AB825" s="11">
        <f t="array" ref="AB825">XLOOKUP(A:A,'Raw Revenue'!M:M,'Raw Revenue'!N:N,0)</f>
        <v>3229301.227</v>
      </c>
      <c r="AC825" s="3">
        <v>0.0</v>
      </c>
      <c r="AD825" s="3">
        <v>0.0</v>
      </c>
      <c r="AE825" s="3">
        <v>0.0</v>
      </c>
      <c r="AF825" s="3">
        <v>0.0</v>
      </c>
      <c r="AG825" s="3">
        <v>0.0</v>
      </c>
    </row>
    <row r="826">
      <c r="A826" s="3" t="s">
        <v>1872</v>
      </c>
      <c r="B826" s="3" t="s">
        <v>1873</v>
      </c>
      <c r="C826" s="3" t="str">
        <f t="shared" si="1"/>
        <v>CV. Amanah Sejahtera</v>
      </c>
      <c r="D826" s="3" t="s">
        <v>130</v>
      </c>
      <c r="E826" s="3" t="s">
        <v>104</v>
      </c>
      <c r="F826" s="3" t="s">
        <v>134</v>
      </c>
      <c r="G826" s="3" t="s">
        <v>53</v>
      </c>
      <c r="H826" s="3" t="str">
        <f t="array" ref="H826">XLOOKUP(G:G,'Account Manager Data'!A:A,'Account Manager Data'!B:B,0)</f>
        <v>Fajar Ramadhan</v>
      </c>
      <c r="I826" s="11" t="str">
        <f t="array" ref="I826">XLOOKUP($G:$G,'Account Manager Data'!$A:$A,'Account Manager Data'!C:C)</f>
        <v>Sulawesi</v>
      </c>
      <c r="J826" s="17">
        <v>2812858.0</v>
      </c>
      <c r="K826" s="17">
        <v>8840302.0</v>
      </c>
      <c r="L826" s="17">
        <v>1432329.0</v>
      </c>
      <c r="M826" s="17">
        <v>1.0852172E7</v>
      </c>
      <c r="N826" s="17">
        <v>1553151.0</v>
      </c>
      <c r="O826" s="17">
        <v>6540028.0</v>
      </c>
      <c r="P826" s="17">
        <v>4058060.0</v>
      </c>
      <c r="Q826" s="17">
        <v>2774258.0</v>
      </c>
      <c r="R826" s="17">
        <v>1.1527315E7</v>
      </c>
      <c r="S826" s="17">
        <v>1.5577615E7</v>
      </c>
      <c r="T826" s="17">
        <v>1.9101708E7</v>
      </c>
      <c r="U826" s="17">
        <v>8483864.0</v>
      </c>
      <c r="V826" s="11">
        <f t="array" ref="V826">XLOOKUP(A:A,'Raw Revenue'!A:A,'Raw Revenue'!B:B,0)
</f>
        <v>0</v>
      </c>
      <c r="W826" s="11">
        <f t="array" ref="W826">XLOOKUP(A:A,'Raw Revenue'!C:C,'Raw Revenue'!D:D,0)</f>
        <v>0</v>
      </c>
      <c r="X826" s="11">
        <f t="array" ref="X826">XLOOKUP(A:A,'Raw Revenue'!E:E,'Raw Revenue'!F:F,0)</f>
        <v>0</v>
      </c>
      <c r="Y826" s="11">
        <f t="array" ref="Y826">XLOOKUP(A:A,'Raw Revenue'!G:G,'Raw Revenue'!H:H,0)</f>
        <v>0</v>
      </c>
      <c r="Z826" s="11">
        <f t="array" ref="Z826">XLOOKUP(A:A,'Raw Revenue'!I:I,'Raw Revenue'!J:J,0)</f>
        <v>0</v>
      </c>
      <c r="AA826" s="11">
        <f t="array" ref="AA826">XLOOKUP(A:A,'Raw Revenue'!K:K,'Raw Revenue'!L:L,0)</f>
        <v>0</v>
      </c>
      <c r="AB826" s="11">
        <f t="array" ref="AB826">XLOOKUP(A:A,'Raw Revenue'!M:M,'Raw Revenue'!N:N,0)</f>
        <v>0</v>
      </c>
      <c r="AC826" s="3">
        <v>0.0</v>
      </c>
      <c r="AD826" s="3">
        <v>0.0</v>
      </c>
      <c r="AE826" s="3">
        <v>0.0</v>
      </c>
      <c r="AF826" s="3">
        <v>0.0</v>
      </c>
      <c r="AG826" s="3">
        <v>0.0</v>
      </c>
    </row>
    <row r="827">
      <c r="A827" s="3" t="s">
        <v>1874</v>
      </c>
      <c r="B827" s="3" t="s">
        <v>1875</v>
      </c>
      <c r="C827" s="3" t="str">
        <f t="shared" si="1"/>
        <v>PT. Digital Solusi Pratama</v>
      </c>
      <c r="D827" s="3" t="s">
        <v>186</v>
      </c>
      <c r="E827" s="3" t="s">
        <v>85</v>
      </c>
      <c r="F827" s="3" t="s">
        <v>248</v>
      </c>
      <c r="G827" s="3" t="s">
        <v>63</v>
      </c>
      <c r="H827" s="3" t="str">
        <f t="array" ref="H827">XLOOKUP(G:G,'Account Manager Data'!A:A,'Account Manager Data'!B:B,0)</f>
        <v>Hendra Gunawan</v>
      </c>
      <c r="I827" s="11" t="str">
        <f t="array" ref="I827">XLOOKUP($G:$G,'Account Manager Data'!$A:$A,'Account Manager Data'!C:C)</f>
        <v>Kalimantan</v>
      </c>
      <c r="J827" s="17">
        <v>5542140.0</v>
      </c>
      <c r="K827" s="17">
        <v>7690089.0</v>
      </c>
      <c r="L827" s="17">
        <v>3997209.0</v>
      </c>
      <c r="M827" s="17">
        <v>5136866.0</v>
      </c>
      <c r="N827" s="17">
        <v>9383622.0</v>
      </c>
      <c r="O827" s="17">
        <v>1.3864439E7</v>
      </c>
      <c r="P827" s="17">
        <v>1.3939961E7</v>
      </c>
      <c r="Q827" s="17">
        <v>2253372.0</v>
      </c>
      <c r="R827" s="17">
        <v>8558463.0</v>
      </c>
      <c r="S827" s="17">
        <v>4133916.0</v>
      </c>
      <c r="T827" s="17">
        <v>4160491.0</v>
      </c>
      <c r="U827" s="17">
        <v>8987742.0</v>
      </c>
      <c r="V827" s="11">
        <f t="array" ref="V827">XLOOKUP(A:A,'Raw Revenue'!A:A,'Raw Revenue'!B:B,0)
</f>
        <v>0</v>
      </c>
      <c r="W827" s="11">
        <f t="array" ref="W827">XLOOKUP(A:A,'Raw Revenue'!C:C,'Raw Revenue'!D:D,0)</f>
        <v>0</v>
      </c>
      <c r="X827" s="11">
        <f t="array" ref="X827">XLOOKUP(A:A,'Raw Revenue'!E:E,'Raw Revenue'!F:F,0)</f>
        <v>0</v>
      </c>
      <c r="Y827" s="11">
        <f t="array" ref="Y827">XLOOKUP(A:A,'Raw Revenue'!G:G,'Raw Revenue'!H:H,0)</f>
        <v>0</v>
      </c>
      <c r="Z827" s="11">
        <f t="array" ref="Z827">XLOOKUP(A:A,'Raw Revenue'!I:I,'Raw Revenue'!J:J,0)</f>
        <v>0</v>
      </c>
      <c r="AA827" s="11">
        <f t="array" ref="AA827">XLOOKUP(A:A,'Raw Revenue'!K:K,'Raw Revenue'!L:L,0)</f>
        <v>0</v>
      </c>
      <c r="AB827" s="11">
        <f t="array" ref="AB827">XLOOKUP(A:A,'Raw Revenue'!M:M,'Raw Revenue'!N:N,0)</f>
        <v>0</v>
      </c>
      <c r="AC827" s="3">
        <v>0.0</v>
      </c>
      <c r="AD827" s="3">
        <v>0.0</v>
      </c>
      <c r="AE827" s="3">
        <v>0.0</v>
      </c>
      <c r="AF827" s="3">
        <v>0.0</v>
      </c>
      <c r="AG827" s="3">
        <v>0.0</v>
      </c>
    </row>
    <row r="828">
      <c r="A828" s="3" t="s">
        <v>1876</v>
      </c>
      <c r="B828" s="3" t="s">
        <v>1877</v>
      </c>
      <c r="C828" s="3" t="str">
        <f t="shared" si="1"/>
        <v>PT. Global Niaga Abadi</v>
      </c>
      <c r="D828" s="3" t="s">
        <v>130</v>
      </c>
      <c r="E828" s="3" t="s">
        <v>215</v>
      </c>
      <c r="F828" s="3" t="s">
        <v>227</v>
      </c>
      <c r="G828" s="3" t="s">
        <v>35</v>
      </c>
      <c r="H828" s="3" t="str">
        <f t="array" ref="H828">XLOOKUP(G:G,'Account Manager Data'!A:A,'Account Manager Data'!B:B,0)</f>
        <v>Ahmad Fauzi</v>
      </c>
      <c r="I828" s="11" t="str">
        <f t="array" ref="I828">XLOOKUP($G:$G,'Account Manager Data'!$A:$A,'Account Manager Data'!C:C)</f>
        <v>Sumatera</v>
      </c>
      <c r="J828" s="17">
        <v>2117567.0</v>
      </c>
      <c r="K828" s="17">
        <v>4649086.0</v>
      </c>
      <c r="L828" s="17">
        <v>4102236.0</v>
      </c>
      <c r="M828" s="17">
        <v>8545129.0</v>
      </c>
      <c r="N828" s="17">
        <v>817603.0</v>
      </c>
      <c r="O828" s="17">
        <v>3496674.0</v>
      </c>
      <c r="P828" s="17">
        <v>8902309.0</v>
      </c>
      <c r="Q828" s="17">
        <v>9786726.0</v>
      </c>
      <c r="R828" s="17">
        <v>321831.0</v>
      </c>
      <c r="S828" s="17">
        <v>4830460.0</v>
      </c>
      <c r="T828" s="17">
        <v>9043155.0</v>
      </c>
      <c r="U828" s="17">
        <v>1.7603653E7</v>
      </c>
      <c r="V828" s="11">
        <f t="array" ref="V828">XLOOKUP(A:A,'Raw Revenue'!A:A,'Raw Revenue'!B:B,0)
</f>
        <v>0</v>
      </c>
      <c r="W828" s="11">
        <f t="array" ref="W828">XLOOKUP(A:A,'Raw Revenue'!C:C,'Raw Revenue'!D:D,0)</f>
        <v>0</v>
      </c>
      <c r="X828" s="11">
        <f t="array" ref="X828">XLOOKUP(A:A,'Raw Revenue'!E:E,'Raw Revenue'!F:F,0)</f>
        <v>0</v>
      </c>
      <c r="Y828" s="11">
        <f t="array" ref="Y828">XLOOKUP(A:A,'Raw Revenue'!G:G,'Raw Revenue'!H:H,0)</f>
        <v>0</v>
      </c>
      <c r="Z828" s="11">
        <f t="array" ref="Z828">XLOOKUP(A:A,'Raw Revenue'!I:I,'Raw Revenue'!J:J,0)</f>
        <v>0</v>
      </c>
      <c r="AA828" s="11">
        <f t="array" ref="AA828">XLOOKUP(A:A,'Raw Revenue'!K:K,'Raw Revenue'!L:L,0)</f>
        <v>0</v>
      </c>
      <c r="AB828" s="11">
        <f t="array" ref="AB828">XLOOKUP(A:A,'Raw Revenue'!M:M,'Raw Revenue'!N:N,0)</f>
        <v>0</v>
      </c>
      <c r="AC828" s="3">
        <v>0.0</v>
      </c>
      <c r="AD828" s="3">
        <v>0.0</v>
      </c>
      <c r="AE828" s="3">
        <v>0.0</v>
      </c>
      <c r="AF828" s="3">
        <v>0.0</v>
      </c>
      <c r="AG828" s="3">
        <v>0.0</v>
      </c>
    </row>
    <row r="829">
      <c r="A829" s="3" t="s">
        <v>1878</v>
      </c>
      <c r="B829" s="3" t="s">
        <v>1879</v>
      </c>
      <c r="C829" s="3" t="str">
        <f t="shared" si="1"/>
        <v>PT. Indo Makmur Sentosa</v>
      </c>
      <c r="D829" s="3" t="s">
        <v>84</v>
      </c>
      <c r="E829" s="3" t="s">
        <v>215</v>
      </c>
      <c r="F829" s="3" t="s">
        <v>227</v>
      </c>
      <c r="G829" s="3" t="s">
        <v>74</v>
      </c>
      <c r="H829" s="3" t="str">
        <f t="array" ref="H829">XLOOKUP(G:G,'Account Manager Data'!A:A,'Account Manager Data'!B:B,0)</f>
        <v>Budi Santoso</v>
      </c>
      <c r="I829" s="11" t="str">
        <f t="array" ref="I829">XLOOKUP($G:$G,'Account Manager Data'!$A:$A,'Account Manager Data'!C:C)</f>
        <v>Papua</v>
      </c>
      <c r="J829" s="17">
        <v>4426025.0</v>
      </c>
      <c r="K829" s="17">
        <v>6268657.0</v>
      </c>
      <c r="L829" s="17">
        <v>5955162.0</v>
      </c>
      <c r="M829" s="17">
        <v>9517985.0</v>
      </c>
      <c r="N829" s="17">
        <v>2367884.0</v>
      </c>
      <c r="O829" s="17">
        <v>7752593.0</v>
      </c>
      <c r="P829" s="17">
        <v>3362191.0</v>
      </c>
      <c r="Q829" s="17">
        <v>1.509014E7</v>
      </c>
      <c r="R829" s="17">
        <v>5623524.0</v>
      </c>
      <c r="S829" s="17">
        <v>1.6796552E7</v>
      </c>
      <c r="T829" s="17">
        <v>8990624.0</v>
      </c>
      <c r="U829" s="17">
        <v>8729552.0</v>
      </c>
      <c r="V829" s="11">
        <f t="array" ref="V829">XLOOKUP(A:A,'Raw Revenue'!A:A,'Raw Revenue'!B:B,0)
</f>
        <v>0</v>
      </c>
      <c r="W829" s="11">
        <f t="array" ref="W829">XLOOKUP(A:A,'Raw Revenue'!C:C,'Raw Revenue'!D:D,0)</f>
        <v>0</v>
      </c>
      <c r="X829" s="11">
        <f t="array" ref="X829">XLOOKUP(A:A,'Raw Revenue'!E:E,'Raw Revenue'!F:F,0)</f>
        <v>0</v>
      </c>
      <c r="Y829" s="11">
        <f t="array" ref="Y829">XLOOKUP(A:A,'Raw Revenue'!G:G,'Raw Revenue'!H:H,0)</f>
        <v>0</v>
      </c>
      <c r="Z829" s="11">
        <f t="array" ref="Z829">XLOOKUP(A:A,'Raw Revenue'!I:I,'Raw Revenue'!J:J,0)</f>
        <v>0</v>
      </c>
      <c r="AA829" s="11">
        <f t="array" ref="AA829">XLOOKUP(A:A,'Raw Revenue'!K:K,'Raw Revenue'!L:L,0)</f>
        <v>0</v>
      </c>
      <c r="AB829" s="11">
        <f t="array" ref="AB829">XLOOKUP(A:A,'Raw Revenue'!M:M,'Raw Revenue'!N:N,0)</f>
        <v>0</v>
      </c>
      <c r="AC829" s="3">
        <v>0.0</v>
      </c>
      <c r="AD829" s="3">
        <v>0.0</v>
      </c>
      <c r="AE829" s="3">
        <v>0.0</v>
      </c>
      <c r="AF829" s="3">
        <v>0.0</v>
      </c>
      <c r="AG829" s="3">
        <v>0.0</v>
      </c>
    </row>
    <row r="830">
      <c r="A830" s="3" t="s">
        <v>259</v>
      </c>
      <c r="B830" s="3" t="s">
        <v>1880</v>
      </c>
      <c r="C830" s="3" t="str">
        <f t="shared" si="1"/>
        <v>PT. Citra Mandiri Utama</v>
      </c>
      <c r="D830" s="3" t="s">
        <v>103</v>
      </c>
      <c r="E830" s="3" t="s">
        <v>85</v>
      </c>
      <c r="F830" s="3" t="s">
        <v>248</v>
      </c>
      <c r="G830" s="3" t="s">
        <v>43</v>
      </c>
      <c r="H830" s="3" t="str">
        <f t="array" ref="H830">XLOOKUP(G:G,'Account Manager Data'!A:A,'Account Manager Data'!B:B,0)</f>
        <v>Eko Prasetyo</v>
      </c>
      <c r="I830" s="11" t="str">
        <f t="array" ref="I830">XLOOKUP($G:$G,'Account Manager Data'!$A:$A,'Account Manager Data'!C:C)</f>
        <v>Papua</v>
      </c>
      <c r="J830" s="17">
        <v>6586739.0</v>
      </c>
      <c r="K830" s="17">
        <v>4044846.0</v>
      </c>
      <c r="L830" s="17">
        <v>853302.0</v>
      </c>
      <c r="M830" s="17">
        <v>1519309.0</v>
      </c>
      <c r="N830" s="17">
        <v>6300796.0</v>
      </c>
      <c r="O830" s="17">
        <v>0.0</v>
      </c>
      <c r="P830" s="17">
        <v>1423491.0</v>
      </c>
      <c r="Q830" s="17">
        <v>8983810.0</v>
      </c>
      <c r="R830" s="17">
        <v>343193.0</v>
      </c>
      <c r="S830" s="17">
        <v>1.0561552E7</v>
      </c>
      <c r="T830" s="17">
        <v>0.0</v>
      </c>
      <c r="U830" s="17">
        <v>0.0</v>
      </c>
      <c r="V830" s="11">
        <f t="array" ref="V830">XLOOKUP(A:A,'Raw Revenue'!A:A,'Raw Revenue'!B:B,0)
</f>
        <v>6866639.289</v>
      </c>
      <c r="W830" s="11">
        <f t="array" ref="W830">XLOOKUP(A:A,'Raw Revenue'!C:C,'Raw Revenue'!D:D,0)</f>
        <v>6866639.289</v>
      </c>
      <c r="X830" s="11">
        <f t="array" ref="X830">XLOOKUP(A:A,'Raw Revenue'!E:E,'Raw Revenue'!F:F,0)</f>
        <v>13733278.58</v>
      </c>
      <c r="Y830" s="11">
        <f t="array" ref="Y830">XLOOKUP(A:A,'Raw Revenue'!G:G,'Raw Revenue'!H:H,0)</f>
        <v>11215510.84</v>
      </c>
      <c r="Z830" s="11">
        <f t="array" ref="Z830">XLOOKUP(A:A,'Raw Revenue'!I:I,'Raw Revenue'!J:J,0)</f>
        <v>10071070.96</v>
      </c>
      <c r="AA830" s="11">
        <f t="array" ref="AA830">XLOOKUP(A:A,'Raw Revenue'!K:K,'Raw Revenue'!L:L,0)</f>
        <v>25749897.33</v>
      </c>
      <c r="AB830" s="11">
        <f t="array" ref="AB830">XLOOKUP(A:A,'Raw Revenue'!M:M,'Raw Revenue'!N:N,0)</f>
        <v>23689905.55</v>
      </c>
      <c r="AC830" s="3">
        <v>0.0</v>
      </c>
      <c r="AD830" s="3">
        <v>0.0</v>
      </c>
      <c r="AE830" s="3">
        <v>0.0</v>
      </c>
      <c r="AF830" s="3">
        <v>0.0</v>
      </c>
      <c r="AG830" s="3">
        <v>0.0</v>
      </c>
    </row>
    <row r="831">
      <c r="A831" s="3" t="s">
        <v>1881</v>
      </c>
      <c r="B831" s="3" t="s">
        <v>1882</v>
      </c>
      <c r="C831" s="3" t="str">
        <f t="shared" si="1"/>
        <v>PT. Sinar Dunia Baru</v>
      </c>
      <c r="D831" s="3" t="s">
        <v>186</v>
      </c>
      <c r="E831" s="3" t="s">
        <v>196</v>
      </c>
      <c r="F831" s="3" t="s">
        <v>260</v>
      </c>
      <c r="G831" s="3" t="s">
        <v>76</v>
      </c>
      <c r="H831" s="3" t="str">
        <f t="array" ref="H831">XLOOKUP(G:G,'Account Manager Data'!A:A,'Account Manager Data'!B:B,0)</f>
        <v>Teguh Wijaya</v>
      </c>
      <c r="I831" s="11" t="str">
        <f t="array" ref="I831">XLOOKUP($G:$G,'Account Manager Data'!$A:$A,'Account Manager Data'!C:C)</f>
        <v>Sulawesi</v>
      </c>
      <c r="J831" s="17">
        <v>1833419.0</v>
      </c>
      <c r="K831" s="17">
        <v>5693238.0</v>
      </c>
      <c r="L831" s="17">
        <v>8817431.0</v>
      </c>
      <c r="M831" s="17">
        <v>1730085.0</v>
      </c>
      <c r="N831" s="17">
        <v>1.3778902E7</v>
      </c>
      <c r="O831" s="17">
        <v>4129464.0</v>
      </c>
      <c r="P831" s="17">
        <v>8369762.0</v>
      </c>
      <c r="Q831" s="17">
        <v>1422292.0</v>
      </c>
      <c r="R831" s="17">
        <v>1.6338751E7</v>
      </c>
      <c r="S831" s="17">
        <v>922196.0</v>
      </c>
      <c r="T831" s="17">
        <v>1.649909E7</v>
      </c>
      <c r="U831" s="17">
        <v>1.6424165E7</v>
      </c>
      <c r="V831" s="11">
        <f t="array" ref="V831">XLOOKUP(A:A,'Raw Revenue'!A:A,'Raw Revenue'!B:B,0)
</f>
        <v>0</v>
      </c>
      <c r="W831" s="11">
        <f t="array" ref="W831">XLOOKUP(A:A,'Raw Revenue'!C:C,'Raw Revenue'!D:D,0)</f>
        <v>0</v>
      </c>
      <c r="X831" s="11">
        <f t="array" ref="X831">XLOOKUP(A:A,'Raw Revenue'!E:E,'Raw Revenue'!F:F,0)</f>
        <v>0</v>
      </c>
      <c r="Y831" s="11">
        <f t="array" ref="Y831">XLOOKUP(A:A,'Raw Revenue'!G:G,'Raw Revenue'!H:H,0)</f>
        <v>0</v>
      </c>
      <c r="Z831" s="11">
        <f t="array" ref="Z831">XLOOKUP(A:A,'Raw Revenue'!I:I,'Raw Revenue'!J:J,0)</f>
        <v>0</v>
      </c>
      <c r="AA831" s="11">
        <f t="array" ref="AA831">XLOOKUP(A:A,'Raw Revenue'!K:K,'Raw Revenue'!L:L,0)</f>
        <v>0</v>
      </c>
      <c r="AB831" s="11">
        <f t="array" ref="AB831">XLOOKUP(A:A,'Raw Revenue'!M:M,'Raw Revenue'!N:N,0)</f>
        <v>0</v>
      </c>
      <c r="AC831" s="3">
        <v>0.0</v>
      </c>
      <c r="AD831" s="3">
        <v>0.0</v>
      </c>
      <c r="AE831" s="3">
        <v>0.0</v>
      </c>
      <c r="AF831" s="3">
        <v>0.0</v>
      </c>
      <c r="AG831" s="3">
        <v>0.0</v>
      </c>
    </row>
    <row r="832">
      <c r="A832" s="3" t="s">
        <v>1883</v>
      </c>
      <c r="B832" s="3" t="s">
        <v>1884</v>
      </c>
      <c r="C832" s="3" t="str">
        <f t="shared" si="1"/>
        <v>CV. Karya Utama Mandiri</v>
      </c>
      <c r="D832" s="3" t="s">
        <v>130</v>
      </c>
      <c r="E832" s="3" t="s">
        <v>85</v>
      </c>
      <c r="F832" s="3" t="s">
        <v>407</v>
      </c>
      <c r="G832" s="3" t="s">
        <v>70</v>
      </c>
      <c r="H832" s="3" t="str">
        <f t="array" ref="H832">XLOOKUP(G:G,'Account Manager Data'!A:A,'Account Manager Data'!B:B,0)</f>
        <v>Yusuf Hidayat</v>
      </c>
      <c r="I832" s="11" t="str">
        <f t="array" ref="I832">XLOOKUP($G:$G,'Account Manager Data'!$A:$A,'Account Manager Data'!C:C)</f>
        <v>Sumatera</v>
      </c>
      <c r="J832" s="17">
        <v>4154600.0</v>
      </c>
      <c r="K832" s="17">
        <v>305403.0</v>
      </c>
      <c r="L832" s="17">
        <v>6365823.0</v>
      </c>
      <c r="M832" s="17">
        <v>6982637.0</v>
      </c>
      <c r="N832" s="17">
        <v>6496181.0</v>
      </c>
      <c r="O832" s="17">
        <v>1477999.0</v>
      </c>
      <c r="P832" s="17">
        <v>1.5473246E7</v>
      </c>
      <c r="Q832" s="17">
        <v>1.5528606E7</v>
      </c>
      <c r="R832" s="17">
        <v>0.0</v>
      </c>
      <c r="S832" s="17">
        <v>1.4167444E7</v>
      </c>
      <c r="T832" s="17">
        <v>9836008.0</v>
      </c>
      <c r="U832" s="17">
        <v>8325849.0</v>
      </c>
      <c r="V832" s="11">
        <f t="array" ref="V832">XLOOKUP(A:A,'Raw Revenue'!A:A,'Raw Revenue'!B:B,0)
</f>
        <v>0</v>
      </c>
      <c r="W832" s="11">
        <f t="array" ref="W832">XLOOKUP(A:A,'Raw Revenue'!C:C,'Raw Revenue'!D:D,0)</f>
        <v>0</v>
      </c>
      <c r="X832" s="11">
        <f t="array" ref="X832">XLOOKUP(A:A,'Raw Revenue'!E:E,'Raw Revenue'!F:F,0)</f>
        <v>0</v>
      </c>
      <c r="Y832" s="11">
        <f t="array" ref="Y832">XLOOKUP(A:A,'Raw Revenue'!G:G,'Raw Revenue'!H:H,0)</f>
        <v>0</v>
      </c>
      <c r="Z832" s="11">
        <f t="array" ref="Z832">XLOOKUP(A:A,'Raw Revenue'!I:I,'Raw Revenue'!J:J,0)</f>
        <v>0</v>
      </c>
      <c r="AA832" s="11">
        <f t="array" ref="AA832">XLOOKUP(A:A,'Raw Revenue'!K:K,'Raw Revenue'!L:L,0)</f>
        <v>0</v>
      </c>
      <c r="AB832" s="11">
        <f t="array" ref="AB832">XLOOKUP(A:A,'Raw Revenue'!M:M,'Raw Revenue'!N:N,0)</f>
        <v>0</v>
      </c>
      <c r="AC832" s="3">
        <v>0.0</v>
      </c>
      <c r="AD832" s="3">
        <v>0.0</v>
      </c>
      <c r="AE832" s="3">
        <v>0.0</v>
      </c>
      <c r="AF832" s="3">
        <v>0.0</v>
      </c>
      <c r="AG832" s="3">
        <v>0.0</v>
      </c>
    </row>
    <row r="833">
      <c r="A833" s="3" t="s">
        <v>1885</v>
      </c>
      <c r="B833" s="3" t="s">
        <v>1886</v>
      </c>
      <c r="C833" s="3" t="str">
        <f t="shared" si="1"/>
        <v>PT. Pratama Jaya Sentosa</v>
      </c>
      <c r="D833" s="3" t="s">
        <v>84</v>
      </c>
      <c r="E833" s="3" t="s">
        <v>187</v>
      </c>
      <c r="F833" s="3" t="s">
        <v>269</v>
      </c>
      <c r="G833" s="3" t="s">
        <v>15</v>
      </c>
      <c r="H833" s="3" t="str">
        <f t="array" ref="H833">XLOOKUP(G:G,'Account Manager Data'!A:A,'Account Manager Data'!B:B,0)</f>
        <v>Rizky Maulana</v>
      </c>
      <c r="I833" s="11" t="str">
        <f t="array" ref="I833">XLOOKUP($G:$G,'Account Manager Data'!$A:$A,'Account Manager Data'!C:C)</f>
        <v>Jawa</v>
      </c>
      <c r="J833" s="17">
        <v>5971458.0</v>
      </c>
      <c r="K833" s="17">
        <v>5770374.0</v>
      </c>
      <c r="L833" s="17">
        <v>3161446.0</v>
      </c>
      <c r="M833" s="17">
        <v>9769228.0</v>
      </c>
      <c r="N833" s="17">
        <v>1.0595159E7</v>
      </c>
      <c r="O833" s="17">
        <v>1.2847998E7</v>
      </c>
      <c r="P833" s="17">
        <v>6466534.0</v>
      </c>
      <c r="Q833" s="17">
        <v>1.0679157E7</v>
      </c>
      <c r="R833" s="17">
        <v>1.6167596E7</v>
      </c>
      <c r="S833" s="17">
        <v>1.410297E7</v>
      </c>
      <c r="T833" s="17">
        <v>1.2628579E7</v>
      </c>
      <c r="U833" s="17">
        <v>3244712.0</v>
      </c>
      <c r="V833" s="11">
        <f t="array" ref="V833">XLOOKUP(A:A,'Raw Revenue'!A:A,'Raw Revenue'!B:B,0)
</f>
        <v>0</v>
      </c>
      <c r="W833" s="11">
        <f t="array" ref="W833">XLOOKUP(A:A,'Raw Revenue'!C:C,'Raw Revenue'!D:D,0)</f>
        <v>0</v>
      </c>
      <c r="X833" s="11">
        <f t="array" ref="X833">XLOOKUP(A:A,'Raw Revenue'!E:E,'Raw Revenue'!F:F,0)</f>
        <v>0</v>
      </c>
      <c r="Y833" s="11">
        <f t="array" ref="Y833">XLOOKUP(A:A,'Raw Revenue'!G:G,'Raw Revenue'!H:H,0)</f>
        <v>0</v>
      </c>
      <c r="Z833" s="11">
        <f t="array" ref="Z833">XLOOKUP(A:A,'Raw Revenue'!I:I,'Raw Revenue'!J:J,0)</f>
        <v>0</v>
      </c>
      <c r="AA833" s="11">
        <f t="array" ref="AA833">XLOOKUP(A:A,'Raw Revenue'!K:K,'Raw Revenue'!L:L,0)</f>
        <v>0</v>
      </c>
      <c r="AB833" s="11">
        <f t="array" ref="AB833">XLOOKUP(A:A,'Raw Revenue'!M:M,'Raw Revenue'!N:N,0)</f>
        <v>0</v>
      </c>
      <c r="AC833" s="3">
        <v>0.0</v>
      </c>
      <c r="AD833" s="3">
        <v>0.0</v>
      </c>
      <c r="AE833" s="3">
        <v>0.0</v>
      </c>
      <c r="AF833" s="3">
        <v>0.0</v>
      </c>
      <c r="AG833" s="3">
        <v>0.0</v>
      </c>
    </row>
    <row r="834">
      <c r="A834" s="3" t="s">
        <v>1887</v>
      </c>
      <c r="B834" s="3" t="s">
        <v>1888</v>
      </c>
      <c r="C834" s="3" t="str">
        <f t="shared" si="1"/>
        <v>PT. Abadi Selamanya Jaya</v>
      </c>
      <c r="D834" s="3" t="s">
        <v>195</v>
      </c>
      <c r="E834" s="3" t="s">
        <v>104</v>
      </c>
      <c r="F834" s="3" t="s">
        <v>252</v>
      </c>
      <c r="G834" s="3" t="s">
        <v>53</v>
      </c>
      <c r="H834" s="3" t="str">
        <f t="array" ref="H834">XLOOKUP(G:G,'Account Manager Data'!A:A,'Account Manager Data'!B:B,0)</f>
        <v>Fajar Ramadhan</v>
      </c>
      <c r="I834" s="11" t="str">
        <f t="array" ref="I834">XLOOKUP($G:$G,'Account Manager Data'!$A:$A,'Account Manager Data'!C:C)</f>
        <v>Sulawesi</v>
      </c>
      <c r="J834" s="17">
        <v>7058217.0</v>
      </c>
      <c r="K834" s="17">
        <v>9143286.0</v>
      </c>
      <c r="L834" s="17">
        <v>1.0642211E7</v>
      </c>
      <c r="M834" s="17">
        <v>3820265.0</v>
      </c>
      <c r="N834" s="17">
        <v>3010363.0</v>
      </c>
      <c r="O834" s="17">
        <v>1.026934E7</v>
      </c>
      <c r="P834" s="17">
        <v>1106231.0</v>
      </c>
      <c r="Q834" s="17">
        <v>1.4307504E7</v>
      </c>
      <c r="R834" s="17">
        <v>1.6571069E7</v>
      </c>
      <c r="S834" s="17">
        <v>0.0</v>
      </c>
      <c r="T834" s="17">
        <v>5670679.0</v>
      </c>
      <c r="U834" s="17">
        <v>8135894.0</v>
      </c>
      <c r="V834" s="11">
        <f t="array" ref="V834">XLOOKUP(A:A,'Raw Revenue'!A:A,'Raw Revenue'!B:B,0)
</f>
        <v>0</v>
      </c>
      <c r="W834" s="11">
        <f t="array" ref="W834">XLOOKUP(A:A,'Raw Revenue'!C:C,'Raw Revenue'!D:D,0)</f>
        <v>0</v>
      </c>
      <c r="X834" s="11">
        <f t="array" ref="X834">XLOOKUP(A:A,'Raw Revenue'!E:E,'Raw Revenue'!F:F,0)</f>
        <v>0</v>
      </c>
      <c r="Y834" s="11">
        <f t="array" ref="Y834">XLOOKUP(A:A,'Raw Revenue'!G:G,'Raw Revenue'!H:H,0)</f>
        <v>0</v>
      </c>
      <c r="Z834" s="11">
        <f t="array" ref="Z834">XLOOKUP(A:A,'Raw Revenue'!I:I,'Raw Revenue'!J:J,0)</f>
        <v>0</v>
      </c>
      <c r="AA834" s="11">
        <f t="array" ref="AA834">XLOOKUP(A:A,'Raw Revenue'!K:K,'Raw Revenue'!L:L,0)</f>
        <v>0</v>
      </c>
      <c r="AB834" s="11">
        <f t="array" ref="AB834">XLOOKUP(A:A,'Raw Revenue'!M:M,'Raw Revenue'!N:N,0)</f>
        <v>0</v>
      </c>
      <c r="AC834" s="3">
        <v>0.0</v>
      </c>
      <c r="AD834" s="3">
        <v>0.0</v>
      </c>
      <c r="AE834" s="3">
        <v>0.0</v>
      </c>
      <c r="AF834" s="3">
        <v>0.0</v>
      </c>
      <c r="AG834" s="3">
        <v>0.0</v>
      </c>
    </row>
    <row r="835">
      <c r="A835" s="3" t="s">
        <v>1889</v>
      </c>
      <c r="B835" s="3" t="s">
        <v>1890</v>
      </c>
      <c r="C835" s="3" t="str">
        <f t="shared" si="1"/>
        <v>PT. Mandiri Sejahtera Bersama</v>
      </c>
      <c r="D835" s="3" t="s">
        <v>214</v>
      </c>
      <c r="E835" s="3" t="s">
        <v>104</v>
      </c>
      <c r="F835" s="3" t="s">
        <v>252</v>
      </c>
      <c r="G835" s="3" t="s">
        <v>27</v>
      </c>
      <c r="H835" s="3" t="str">
        <f t="array" ref="H835">XLOOKUP(G:G,'Account Manager Data'!A:A,'Account Manager Data'!B:B,0)</f>
        <v>Dedi Kurniawan</v>
      </c>
      <c r="I835" s="11" t="str">
        <f t="array" ref="I835">XLOOKUP($G:$G,'Account Manager Data'!$A:$A,'Account Manager Data'!C:C)</f>
        <v>Kalimantan</v>
      </c>
      <c r="J835" s="17">
        <v>1175964.0</v>
      </c>
      <c r="K835" s="17">
        <v>2862949.0</v>
      </c>
      <c r="L835" s="17">
        <v>190052.0</v>
      </c>
      <c r="M835" s="17">
        <v>8603804.0</v>
      </c>
      <c r="N835" s="17">
        <v>6028912.0</v>
      </c>
      <c r="O835" s="17">
        <v>1.097397E7</v>
      </c>
      <c r="P835" s="17">
        <v>1.5236694E7</v>
      </c>
      <c r="Q835" s="17">
        <v>2053784.0</v>
      </c>
      <c r="R835" s="17">
        <v>3509135.0</v>
      </c>
      <c r="S835" s="17">
        <v>6817323.0</v>
      </c>
      <c r="T835" s="17">
        <v>2942016.0</v>
      </c>
      <c r="U835" s="17">
        <v>1.114613E7</v>
      </c>
      <c r="V835" s="11">
        <f t="array" ref="V835">XLOOKUP(A:A,'Raw Revenue'!A:A,'Raw Revenue'!B:B,0)
</f>
        <v>0</v>
      </c>
      <c r="W835" s="11">
        <f t="array" ref="W835">XLOOKUP(A:A,'Raw Revenue'!C:C,'Raw Revenue'!D:D,0)</f>
        <v>0</v>
      </c>
      <c r="X835" s="11">
        <f t="array" ref="X835">XLOOKUP(A:A,'Raw Revenue'!E:E,'Raw Revenue'!F:F,0)</f>
        <v>0</v>
      </c>
      <c r="Y835" s="11">
        <f t="array" ref="Y835">XLOOKUP(A:A,'Raw Revenue'!G:G,'Raw Revenue'!H:H,0)</f>
        <v>0</v>
      </c>
      <c r="Z835" s="11">
        <f t="array" ref="Z835">XLOOKUP(A:A,'Raw Revenue'!I:I,'Raw Revenue'!J:J,0)</f>
        <v>0</v>
      </c>
      <c r="AA835" s="11">
        <f t="array" ref="AA835">XLOOKUP(A:A,'Raw Revenue'!K:K,'Raw Revenue'!L:L,0)</f>
        <v>0</v>
      </c>
      <c r="AB835" s="11">
        <f t="array" ref="AB835">XLOOKUP(A:A,'Raw Revenue'!M:M,'Raw Revenue'!N:N,0)</f>
        <v>0</v>
      </c>
      <c r="AC835" s="3">
        <v>0.0</v>
      </c>
      <c r="AD835" s="3">
        <v>0.0</v>
      </c>
      <c r="AE835" s="3">
        <v>0.0</v>
      </c>
      <c r="AF835" s="3">
        <v>0.0</v>
      </c>
      <c r="AG835" s="3">
        <v>0.0</v>
      </c>
    </row>
    <row r="836">
      <c r="A836" s="3" t="s">
        <v>1891</v>
      </c>
      <c r="B836" s="3" t="s">
        <v>1892</v>
      </c>
      <c r="C836" s="3" t="str">
        <f t="shared" si="1"/>
        <v>PT. Sejahtera Alam Indonesia</v>
      </c>
      <c r="D836" s="3" t="s">
        <v>214</v>
      </c>
      <c r="E836" s="3" t="s">
        <v>85</v>
      </c>
      <c r="F836" s="3" t="s">
        <v>86</v>
      </c>
      <c r="G836" s="3" t="s">
        <v>78</v>
      </c>
      <c r="H836" s="3" t="str">
        <f t="array" ref="H836">XLOOKUP(G:G,'Account Manager Data'!A:A,'Account Manager Data'!B:B,0)</f>
        <v>Ilham Saputra</v>
      </c>
      <c r="I836" s="11" t="str">
        <f t="array" ref="I836">XLOOKUP($G:$G,'Account Manager Data'!$A:$A,'Account Manager Data'!C:C)</f>
        <v>Jawa</v>
      </c>
      <c r="J836" s="17">
        <v>1071837.0</v>
      </c>
      <c r="K836" s="17">
        <v>2149573.0</v>
      </c>
      <c r="L836" s="17">
        <v>0.0</v>
      </c>
      <c r="M836" s="17">
        <v>3324824.0</v>
      </c>
      <c r="N836" s="17">
        <v>9751832.0</v>
      </c>
      <c r="O836" s="17">
        <v>0.0</v>
      </c>
      <c r="P836" s="17">
        <v>6431757.0</v>
      </c>
      <c r="Q836" s="17">
        <v>1449489.0</v>
      </c>
      <c r="R836" s="17">
        <v>1.4953533E7</v>
      </c>
      <c r="S836" s="17">
        <v>5192692.0</v>
      </c>
      <c r="T836" s="17">
        <v>0.0</v>
      </c>
      <c r="U836" s="17">
        <v>1.6623471E7</v>
      </c>
      <c r="V836" s="11">
        <f t="array" ref="V836">XLOOKUP(A:A,'Raw Revenue'!A:A,'Raw Revenue'!B:B,0)
</f>
        <v>0</v>
      </c>
      <c r="W836" s="11">
        <f t="array" ref="W836">XLOOKUP(A:A,'Raw Revenue'!C:C,'Raw Revenue'!D:D,0)</f>
        <v>0</v>
      </c>
      <c r="X836" s="11">
        <f t="array" ref="X836">XLOOKUP(A:A,'Raw Revenue'!E:E,'Raw Revenue'!F:F,0)</f>
        <v>0</v>
      </c>
      <c r="Y836" s="11">
        <f t="array" ref="Y836">XLOOKUP(A:A,'Raw Revenue'!G:G,'Raw Revenue'!H:H,0)</f>
        <v>0</v>
      </c>
      <c r="Z836" s="11">
        <f t="array" ref="Z836">XLOOKUP(A:A,'Raw Revenue'!I:I,'Raw Revenue'!J:J,0)</f>
        <v>0</v>
      </c>
      <c r="AA836" s="11">
        <f t="array" ref="AA836">XLOOKUP(A:A,'Raw Revenue'!K:K,'Raw Revenue'!L:L,0)</f>
        <v>0</v>
      </c>
      <c r="AB836" s="11">
        <f t="array" ref="AB836">XLOOKUP(A:A,'Raw Revenue'!M:M,'Raw Revenue'!N:N,0)</f>
        <v>0</v>
      </c>
      <c r="AC836" s="3">
        <v>0.0</v>
      </c>
      <c r="AD836" s="3">
        <v>0.0</v>
      </c>
      <c r="AE836" s="3">
        <v>0.0</v>
      </c>
      <c r="AF836" s="3">
        <v>0.0</v>
      </c>
      <c r="AG836" s="3">
        <v>0.0</v>
      </c>
    </row>
    <row r="837">
      <c r="A837" s="3" t="s">
        <v>1893</v>
      </c>
      <c r="B837" s="3" t="s">
        <v>1894</v>
      </c>
      <c r="C837" s="3" t="str">
        <f t="shared" si="1"/>
        <v>PT. Indah Kargo Logistik</v>
      </c>
      <c r="D837" s="3" t="s">
        <v>195</v>
      </c>
      <c r="E837" s="3" t="s">
        <v>104</v>
      </c>
      <c r="F837" s="3" t="s">
        <v>105</v>
      </c>
      <c r="G837" s="3" t="s">
        <v>63</v>
      </c>
      <c r="H837" s="3" t="str">
        <f t="array" ref="H837">XLOOKUP(G:G,'Account Manager Data'!A:A,'Account Manager Data'!B:B,0)</f>
        <v>Hendra Gunawan</v>
      </c>
      <c r="I837" s="11" t="str">
        <f t="array" ref="I837">XLOOKUP($G:$G,'Account Manager Data'!$A:$A,'Account Manager Data'!C:C)</f>
        <v>Kalimantan</v>
      </c>
      <c r="J837" s="17">
        <v>1519736.0</v>
      </c>
      <c r="K837" s="17">
        <v>697065.0</v>
      </c>
      <c r="L837" s="17">
        <v>0.0</v>
      </c>
      <c r="M837" s="17">
        <v>2838622.0</v>
      </c>
      <c r="N837" s="17">
        <v>0.0</v>
      </c>
      <c r="O837" s="17">
        <v>3348421.0</v>
      </c>
      <c r="P837" s="17">
        <v>4850827.0</v>
      </c>
      <c r="Q837" s="17">
        <v>1.1865587E7</v>
      </c>
      <c r="R837" s="17">
        <v>1.4571121E7</v>
      </c>
      <c r="S837" s="17">
        <v>4459829.0</v>
      </c>
      <c r="T837" s="17">
        <v>8397197.0</v>
      </c>
      <c r="U837" s="17">
        <v>1.3992075E7</v>
      </c>
      <c r="V837" s="11">
        <f t="array" ref="V837">XLOOKUP(A:A,'Raw Revenue'!A:A,'Raw Revenue'!B:B,0)
</f>
        <v>0</v>
      </c>
      <c r="W837" s="11">
        <f t="array" ref="W837">XLOOKUP(A:A,'Raw Revenue'!C:C,'Raw Revenue'!D:D,0)</f>
        <v>0</v>
      </c>
      <c r="X837" s="11">
        <f t="array" ref="X837">XLOOKUP(A:A,'Raw Revenue'!E:E,'Raw Revenue'!F:F,0)</f>
        <v>0</v>
      </c>
      <c r="Y837" s="11">
        <f t="array" ref="Y837">XLOOKUP(A:A,'Raw Revenue'!G:G,'Raw Revenue'!H:H,0)</f>
        <v>0</v>
      </c>
      <c r="Z837" s="11">
        <f t="array" ref="Z837">XLOOKUP(A:A,'Raw Revenue'!I:I,'Raw Revenue'!J:J,0)</f>
        <v>0</v>
      </c>
      <c r="AA837" s="11">
        <f t="array" ref="AA837">XLOOKUP(A:A,'Raw Revenue'!K:K,'Raw Revenue'!L:L,0)</f>
        <v>0</v>
      </c>
      <c r="AB837" s="11">
        <f t="array" ref="AB837">XLOOKUP(A:A,'Raw Revenue'!M:M,'Raw Revenue'!N:N,0)</f>
        <v>0</v>
      </c>
      <c r="AC837" s="3">
        <v>0.0</v>
      </c>
      <c r="AD837" s="3">
        <v>0.0</v>
      </c>
      <c r="AE837" s="3">
        <v>0.0</v>
      </c>
      <c r="AF837" s="3">
        <v>0.0</v>
      </c>
      <c r="AG837" s="3">
        <v>0.0</v>
      </c>
    </row>
    <row r="838">
      <c r="A838" s="3" t="s">
        <v>1895</v>
      </c>
      <c r="B838" s="3" t="s">
        <v>1896</v>
      </c>
      <c r="C838" s="3" t="str">
        <f t="shared" si="1"/>
        <v>PT. Berkah Alam Semesta</v>
      </c>
      <c r="D838" s="3" t="s">
        <v>214</v>
      </c>
      <c r="E838" s="3" t="s">
        <v>85</v>
      </c>
      <c r="F838" s="3" t="s">
        <v>407</v>
      </c>
      <c r="G838" s="3" t="s">
        <v>35</v>
      </c>
      <c r="H838" s="3" t="str">
        <f t="array" ref="H838">XLOOKUP(G:G,'Account Manager Data'!A:A,'Account Manager Data'!B:B,0)</f>
        <v>Ahmad Fauzi</v>
      </c>
      <c r="I838" s="11" t="str">
        <f t="array" ref="I838">XLOOKUP($G:$G,'Account Manager Data'!$A:$A,'Account Manager Data'!C:C)</f>
        <v>Sumatera</v>
      </c>
      <c r="J838" s="17">
        <v>388868.0</v>
      </c>
      <c r="K838" s="17">
        <v>1777923.0</v>
      </c>
      <c r="L838" s="17">
        <v>1037806.0</v>
      </c>
      <c r="M838" s="17">
        <v>9559545.0</v>
      </c>
      <c r="N838" s="17">
        <v>1099376.0</v>
      </c>
      <c r="O838" s="17">
        <v>4359236.0</v>
      </c>
      <c r="P838" s="17">
        <v>0.0</v>
      </c>
      <c r="Q838" s="17">
        <v>1.0198771E7</v>
      </c>
      <c r="R838" s="17">
        <v>4810060.0</v>
      </c>
      <c r="S838" s="17">
        <v>9093140.0</v>
      </c>
      <c r="T838" s="17">
        <v>1.7981234E7</v>
      </c>
      <c r="U838" s="17">
        <v>4506872.0</v>
      </c>
      <c r="V838" s="11">
        <f t="array" ref="V838">XLOOKUP(A:A,'Raw Revenue'!A:A,'Raw Revenue'!B:B,0)
</f>
        <v>0</v>
      </c>
      <c r="W838" s="11">
        <f t="array" ref="W838">XLOOKUP(A:A,'Raw Revenue'!C:C,'Raw Revenue'!D:D,0)</f>
        <v>0</v>
      </c>
      <c r="X838" s="11">
        <f t="array" ref="X838">XLOOKUP(A:A,'Raw Revenue'!E:E,'Raw Revenue'!F:F,0)</f>
        <v>0</v>
      </c>
      <c r="Y838" s="11">
        <f t="array" ref="Y838">XLOOKUP(A:A,'Raw Revenue'!G:G,'Raw Revenue'!H:H,0)</f>
        <v>0</v>
      </c>
      <c r="Z838" s="11">
        <f t="array" ref="Z838">XLOOKUP(A:A,'Raw Revenue'!I:I,'Raw Revenue'!J:J,0)</f>
        <v>0</v>
      </c>
      <c r="AA838" s="11">
        <f t="array" ref="AA838">XLOOKUP(A:A,'Raw Revenue'!K:K,'Raw Revenue'!L:L,0)</f>
        <v>0</v>
      </c>
      <c r="AB838" s="11">
        <f t="array" ref="AB838">XLOOKUP(A:A,'Raw Revenue'!M:M,'Raw Revenue'!N:N,0)</f>
        <v>0</v>
      </c>
      <c r="AC838" s="3">
        <v>0.0</v>
      </c>
      <c r="AD838" s="3">
        <v>0.0</v>
      </c>
      <c r="AE838" s="3">
        <v>0.0</v>
      </c>
      <c r="AF838" s="3">
        <v>0.0</v>
      </c>
      <c r="AG838" s="3">
        <v>0.0</v>
      </c>
    </row>
    <row r="839">
      <c r="A839" s="3" t="s">
        <v>1897</v>
      </c>
      <c r="B839" s="3" t="s">
        <v>1898</v>
      </c>
      <c r="C839" s="3" t="str">
        <f t="shared" si="1"/>
        <v>PT. Cahaya Baru Indonesia</v>
      </c>
      <c r="D839" s="3" t="s">
        <v>214</v>
      </c>
      <c r="E839" s="3" t="s">
        <v>196</v>
      </c>
      <c r="F839" s="3" t="s">
        <v>315</v>
      </c>
      <c r="G839" s="3" t="s">
        <v>43</v>
      </c>
      <c r="H839" s="3" t="str">
        <f t="array" ref="H839">XLOOKUP(G:G,'Account Manager Data'!A:A,'Account Manager Data'!B:B,0)</f>
        <v>Eko Prasetyo</v>
      </c>
      <c r="I839" s="11" t="str">
        <f t="array" ref="I839">XLOOKUP($G:$G,'Account Manager Data'!$A:$A,'Account Manager Data'!C:C)</f>
        <v>Papua</v>
      </c>
      <c r="J839" s="17">
        <v>484877.0</v>
      </c>
      <c r="K839" s="17">
        <v>2212294.0</v>
      </c>
      <c r="L839" s="17">
        <v>7237363.0</v>
      </c>
      <c r="M839" s="17">
        <v>0.0</v>
      </c>
      <c r="N839" s="17">
        <v>1875824.0</v>
      </c>
      <c r="O839" s="17">
        <v>0.0</v>
      </c>
      <c r="P839" s="17">
        <v>1.1184301E7</v>
      </c>
      <c r="Q839" s="17">
        <v>5279554.0</v>
      </c>
      <c r="R839" s="17">
        <v>0.0</v>
      </c>
      <c r="S839" s="17">
        <v>0.0</v>
      </c>
      <c r="T839" s="17">
        <v>192621.0</v>
      </c>
      <c r="U839" s="17">
        <v>2797358.0</v>
      </c>
      <c r="V839" s="11">
        <f t="array" ref="V839">XLOOKUP(A:A,'Raw Revenue'!A:A,'Raw Revenue'!B:B,0)
</f>
        <v>0</v>
      </c>
      <c r="W839" s="11">
        <f t="array" ref="W839">XLOOKUP(A:A,'Raw Revenue'!C:C,'Raw Revenue'!D:D,0)</f>
        <v>0</v>
      </c>
      <c r="X839" s="11">
        <f t="array" ref="X839">XLOOKUP(A:A,'Raw Revenue'!E:E,'Raw Revenue'!F:F,0)</f>
        <v>0</v>
      </c>
      <c r="Y839" s="11">
        <f t="array" ref="Y839">XLOOKUP(A:A,'Raw Revenue'!G:G,'Raw Revenue'!H:H,0)</f>
        <v>0</v>
      </c>
      <c r="Z839" s="11">
        <f t="array" ref="Z839">XLOOKUP(A:A,'Raw Revenue'!I:I,'Raw Revenue'!J:J,0)</f>
        <v>0</v>
      </c>
      <c r="AA839" s="11">
        <f t="array" ref="AA839">XLOOKUP(A:A,'Raw Revenue'!K:K,'Raw Revenue'!L:L,0)</f>
        <v>0</v>
      </c>
      <c r="AB839" s="11">
        <f t="array" ref="AB839">XLOOKUP(A:A,'Raw Revenue'!M:M,'Raw Revenue'!N:N,0)</f>
        <v>0</v>
      </c>
      <c r="AC839" s="3">
        <v>0.0</v>
      </c>
      <c r="AD839" s="3">
        <v>0.0</v>
      </c>
      <c r="AE839" s="3">
        <v>0.0</v>
      </c>
      <c r="AF839" s="3">
        <v>0.0</v>
      </c>
      <c r="AG839" s="3">
        <v>0.0</v>
      </c>
    </row>
    <row r="840">
      <c r="A840" s="3" t="s">
        <v>1899</v>
      </c>
      <c r="B840" s="3" t="s">
        <v>1900</v>
      </c>
      <c r="C840" s="3" t="str">
        <f t="shared" si="1"/>
        <v>PT. Mentari Pagi Sejahtera</v>
      </c>
      <c r="D840" s="3" t="s">
        <v>84</v>
      </c>
      <c r="E840" s="3" t="s">
        <v>187</v>
      </c>
      <c r="F840" s="3" t="s">
        <v>188</v>
      </c>
      <c r="G840" s="3" t="s">
        <v>74</v>
      </c>
      <c r="H840" s="3" t="str">
        <f t="array" ref="H840">XLOOKUP(G:G,'Account Manager Data'!A:A,'Account Manager Data'!B:B,0)</f>
        <v>Budi Santoso</v>
      </c>
      <c r="I840" s="11" t="str">
        <f t="array" ref="I840">XLOOKUP($G:$G,'Account Manager Data'!$A:$A,'Account Manager Data'!C:C)</f>
        <v>Papua</v>
      </c>
      <c r="J840" s="17">
        <v>6404934.0</v>
      </c>
      <c r="K840" s="17">
        <v>3127999.0</v>
      </c>
      <c r="L840" s="17">
        <v>8488918.0</v>
      </c>
      <c r="M840" s="17">
        <v>7286466.0</v>
      </c>
      <c r="N840" s="17">
        <v>1.0135103E7</v>
      </c>
      <c r="O840" s="17">
        <v>2741984.0</v>
      </c>
      <c r="P840" s="17">
        <v>5079391.0</v>
      </c>
      <c r="Q840" s="17">
        <v>4834646.0</v>
      </c>
      <c r="R840" s="17">
        <v>1.2606897E7</v>
      </c>
      <c r="S840" s="17">
        <v>1.1699432E7</v>
      </c>
      <c r="T840" s="17">
        <v>9027867.0</v>
      </c>
      <c r="U840" s="17">
        <v>0.0</v>
      </c>
      <c r="V840" s="11">
        <f t="array" ref="V840">XLOOKUP(A:A,'Raw Revenue'!A:A,'Raw Revenue'!B:B,0)
</f>
        <v>0</v>
      </c>
      <c r="W840" s="11">
        <f t="array" ref="W840">XLOOKUP(A:A,'Raw Revenue'!C:C,'Raw Revenue'!D:D,0)</f>
        <v>0</v>
      </c>
      <c r="X840" s="11">
        <f t="array" ref="X840">XLOOKUP(A:A,'Raw Revenue'!E:E,'Raw Revenue'!F:F,0)</f>
        <v>0</v>
      </c>
      <c r="Y840" s="11">
        <f t="array" ref="Y840">XLOOKUP(A:A,'Raw Revenue'!G:G,'Raw Revenue'!H:H,0)</f>
        <v>0</v>
      </c>
      <c r="Z840" s="11">
        <f t="array" ref="Z840">XLOOKUP(A:A,'Raw Revenue'!I:I,'Raw Revenue'!J:J,0)</f>
        <v>0</v>
      </c>
      <c r="AA840" s="11">
        <f t="array" ref="AA840">XLOOKUP(A:A,'Raw Revenue'!K:K,'Raw Revenue'!L:L,0)</f>
        <v>0</v>
      </c>
      <c r="AB840" s="11">
        <f t="array" ref="AB840">XLOOKUP(A:A,'Raw Revenue'!M:M,'Raw Revenue'!N:N,0)</f>
        <v>0</v>
      </c>
      <c r="AC840" s="3">
        <v>0.0</v>
      </c>
      <c r="AD840" s="3">
        <v>0.0</v>
      </c>
      <c r="AE840" s="3">
        <v>0.0</v>
      </c>
      <c r="AF840" s="3">
        <v>0.0</v>
      </c>
      <c r="AG840" s="3">
        <v>0.0</v>
      </c>
    </row>
    <row r="841">
      <c r="A841" s="3" t="s">
        <v>1901</v>
      </c>
      <c r="B841" s="3" t="s">
        <v>1902</v>
      </c>
      <c r="C841" s="3" t="str">
        <f t="shared" si="1"/>
        <v>PT. Bintang Kejora Nusantara</v>
      </c>
      <c r="D841" s="3" t="s">
        <v>195</v>
      </c>
      <c r="E841" s="3" t="s">
        <v>196</v>
      </c>
      <c r="F841" s="3" t="s">
        <v>197</v>
      </c>
      <c r="G841" s="3" t="s">
        <v>76</v>
      </c>
      <c r="H841" s="3" t="str">
        <f t="array" ref="H841">XLOOKUP(G:G,'Account Manager Data'!A:A,'Account Manager Data'!B:B,0)</f>
        <v>Teguh Wijaya</v>
      </c>
      <c r="I841" s="11" t="str">
        <f t="array" ref="I841">XLOOKUP($G:$G,'Account Manager Data'!$A:$A,'Account Manager Data'!C:C)</f>
        <v>Sulawesi</v>
      </c>
      <c r="J841" s="17">
        <v>7606375.0</v>
      </c>
      <c r="K841" s="17">
        <v>2599796.0</v>
      </c>
      <c r="L841" s="17">
        <v>0.0</v>
      </c>
      <c r="M841" s="17">
        <v>1513149.0</v>
      </c>
      <c r="N841" s="17">
        <v>8351004.0</v>
      </c>
      <c r="O841" s="17">
        <v>9833976.0</v>
      </c>
      <c r="P841" s="17">
        <v>9097504.0</v>
      </c>
      <c r="Q841" s="17">
        <v>1.0895885E7</v>
      </c>
      <c r="R841" s="17">
        <v>5637321.0</v>
      </c>
      <c r="S841" s="17">
        <v>1.1928006E7</v>
      </c>
      <c r="T841" s="17">
        <v>1.7256879E7</v>
      </c>
      <c r="U841" s="17">
        <v>1.1898543E7</v>
      </c>
      <c r="V841" s="11">
        <f t="array" ref="V841">XLOOKUP(A:A,'Raw Revenue'!A:A,'Raw Revenue'!B:B,0)
</f>
        <v>0</v>
      </c>
      <c r="W841" s="11">
        <f t="array" ref="W841">XLOOKUP(A:A,'Raw Revenue'!C:C,'Raw Revenue'!D:D,0)</f>
        <v>0</v>
      </c>
      <c r="X841" s="11">
        <f t="array" ref="X841">XLOOKUP(A:A,'Raw Revenue'!E:E,'Raw Revenue'!F:F,0)</f>
        <v>0</v>
      </c>
      <c r="Y841" s="11">
        <f t="array" ref="Y841">XLOOKUP(A:A,'Raw Revenue'!G:G,'Raw Revenue'!H:H,0)</f>
        <v>0</v>
      </c>
      <c r="Z841" s="11">
        <f t="array" ref="Z841">XLOOKUP(A:A,'Raw Revenue'!I:I,'Raw Revenue'!J:J,0)</f>
        <v>0</v>
      </c>
      <c r="AA841" s="11">
        <f t="array" ref="AA841">XLOOKUP(A:A,'Raw Revenue'!K:K,'Raw Revenue'!L:L,0)</f>
        <v>0</v>
      </c>
      <c r="AB841" s="11">
        <f t="array" ref="AB841">XLOOKUP(A:A,'Raw Revenue'!M:M,'Raw Revenue'!N:N,0)</f>
        <v>0</v>
      </c>
      <c r="AC841" s="3">
        <v>0.0</v>
      </c>
      <c r="AD841" s="3">
        <v>0.0</v>
      </c>
      <c r="AE841" s="3">
        <v>0.0</v>
      </c>
      <c r="AF841" s="3">
        <v>0.0</v>
      </c>
      <c r="AG841" s="3">
        <v>0.0</v>
      </c>
    </row>
    <row r="842">
      <c r="A842" s="3" t="s">
        <v>1903</v>
      </c>
      <c r="B842" s="3" t="s">
        <v>1904</v>
      </c>
      <c r="C842" s="3" t="str">
        <f t="shared" si="1"/>
        <v>PT. Maju Jaya</v>
      </c>
      <c r="D842" s="3" t="s">
        <v>84</v>
      </c>
      <c r="E842" s="3" t="s">
        <v>196</v>
      </c>
      <c r="F842" s="3" t="s">
        <v>315</v>
      </c>
      <c r="G842" s="3" t="s">
        <v>70</v>
      </c>
      <c r="H842" s="3" t="str">
        <f t="array" ref="H842">XLOOKUP(G:G,'Account Manager Data'!A:A,'Account Manager Data'!B:B,0)</f>
        <v>Yusuf Hidayat</v>
      </c>
      <c r="I842" s="11" t="str">
        <f t="array" ref="I842">XLOOKUP($G:$G,'Account Manager Data'!$A:$A,'Account Manager Data'!C:C)</f>
        <v>Sumatera</v>
      </c>
      <c r="J842" s="17">
        <v>4792176.0</v>
      </c>
      <c r="K842" s="17">
        <v>2636208.0</v>
      </c>
      <c r="L842" s="17">
        <v>1.0795548E7</v>
      </c>
      <c r="M842" s="17">
        <v>4868474.0</v>
      </c>
      <c r="N842" s="17">
        <v>1586471.0</v>
      </c>
      <c r="O842" s="17">
        <v>7236129.0</v>
      </c>
      <c r="P842" s="17">
        <v>1.6031792E7</v>
      </c>
      <c r="Q842" s="17">
        <v>9984273.0</v>
      </c>
      <c r="R842" s="17">
        <v>6820427.0</v>
      </c>
      <c r="S842" s="17">
        <v>0.0</v>
      </c>
      <c r="T842" s="17">
        <v>1.846269E7</v>
      </c>
      <c r="U842" s="17">
        <v>4395631.0</v>
      </c>
      <c r="V842" s="11">
        <f t="array" ref="V842">XLOOKUP(A:A,'Raw Revenue'!A:A,'Raw Revenue'!B:B,0)
</f>
        <v>0</v>
      </c>
      <c r="W842" s="11">
        <f t="array" ref="W842">XLOOKUP(A:A,'Raw Revenue'!C:C,'Raw Revenue'!D:D,0)</f>
        <v>0</v>
      </c>
      <c r="X842" s="11">
        <f t="array" ref="X842">XLOOKUP(A:A,'Raw Revenue'!E:E,'Raw Revenue'!F:F,0)</f>
        <v>0</v>
      </c>
      <c r="Y842" s="11">
        <f t="array" ref="Y842">XLOOKUP(A:A,'Raw Revenue'!G:G,'Raw Revenue'!H:H,0)</f>
        <v>0</v>
      </c>
      <c r="Z842" s="11">
        <f t="array" ref="Z842">XLOOKUP(A:A,'Raw Revenue'!I:I,'Raw Revenue'!J:J,0)</f>
        <v>0</v>
      </c>
      <c r="AA842" s="11">
        <f t="array" ref="AA842">XLOOKUP(A:A,'Raw Revenue'!K:K,'Raw Revenue'!L:L,0)</f>
        <v>0</v>
      </c>
      <c r="AB842" s="11">
        <f t="array" ref="AB842">XLOOKUP(A:A,'Raw Revenue'!M:M,'Raw Revenue'!N:N,0)</f>
        <v>0</v>
      </c>
      <c r="AC842" s="3">
        <v>0.0</v>
      </c>
      <c r="AD842" s="3">
        <v>0.0</v>
      </c>
      <c r="AE842" s="3">
        <v>0.0</v>
      </c>
      <c r="AF842" s="3">
        <v>0.0</v>
      </c>
      <c r="AG842" s="3">
        <v>0.0</v>
      </c>
    </row>
    <row r="843">
      <c r="A843" s="3" t="s">
        <v>1905</v>
      </c>
      <c r="B843" s="3" t="s">
        <v>1906</v>
      </c>
      <c r="C843" s="3" t="str">
        <f t="shared" si="1"/>
        <v>CV. Sumber Makmur</v>
      </c>
      <c r="D843" s="3" t="s">
        <v>195</v>
      </c>
      <c r="E843" s="3" t="s">
        <v>215</v>
      </c>
      <c r="F843" s="3" t="s">
        <v>300</v>
      </c>
      <c r="G843" s="3" t="s">
        <v>15</v>
      </c>
      <c r="H843" s="3" t="str">
        <f t="array" ref="H843">XLOOKUP(G:G,'Account Manager Data'!A:A,'Account Manager Data'!B:B,0)</f>
        <v>Rizky Maulana</v>
      </c>
      <c r="I843" s="11" t="str">
        <f t="array" ref="I843">XLOOKUP($G:$G,'Account Manager Data'!$A:$A,'Account Manager Data'!C:C)</f>
        <v>Jawa</v>
      </c>
      <c r="J843" s="17">
        <v>1809605.0</v>
      </c>
      <c r="K843" s="17">
        <v>2784937.0</v>
      </c>
      <c r="L843" s="17">
        <v>0.0</v>
      </c>
      <c r="M843" s="17">
        <v>3992546.0</v>
      </c>
      <c r="N843" s="17">
        <v>5674161.0</v>
      </c>
      <c r="O843" s="17">
        <v>1.0034697E7</v>
      </c>
      <c r="P843" s="17">
        <v>46902.0</v>
      </c>
      <c r="Q843" s="17">
        <v>1.4210234E7</v>
      </c>
      <c r="R843" s="17">
        <v>6063619.0</v>
      </c>
      <c r="S843" s="17">
        <v>1.3722873E7</v>
      </c>
      <c r="T843" s="17">
        <v>1.0895617E7</v>
      </c>
      <c r="U843" s="17">
        <v>1.3672763E7</v>
      </c>
      <c r="V843" s="11">
        <f t="array" ref="V843">XLOOKUP(A:A,'Raw Revenue'!A:A,'Raw Revenue'!B:B,0)
</f>
        <v>0</v>
      </c>
      <c r="W843" s="11">
        <f t="array" ref="W843">XLOOKUP(A:A,'Raw Revenue'!C:C,'Raw Revenue'!D:D,0)</f>
        <v>0</v>
      </c>
      <c r="X843" s="11">
        <f t="array" ref="X843">XLOOKUP(A:A,'Raw Revenue'!E:E,'Raw Revenue'!F:F,0)</f>
        <v>0</v>
      </c>
      <c r="Y843" s="11">
        <f t="array" ref="Y843">XLOOKUP(A:A,'Raw Revenue'!G:G,'Raw Revenue'!H:H,0)</f>
        <v>0</v>
      </c>
      <c r="Z843" s="11">
        <f t="array" ref="Z843">XLOOKUP(A:A,'Raw Revenue'!I:I,'Raw Revenue'!J:J,0)</f>
        <v>0</v>
      </c>
      <c r="AA843" s="11">
        <f t="array" ref="AA843">XLOOKUP(A:A,'Raw Revenue'!K:K,'Raw Revenue'!L:L,0)</f>
        <v>0</v>
      </c>
      <c r="AB843" s="11">
        <f t="array" ref="AB843">XLOOKUP(A:A,'Raw Revenue'!M:M,'Raw Revenue'!N:N,0)</f>
        <v>0</v>
      </c>
      <c r="AC843" s="3">
        <v>0.0</v>
      </c>
      <c r="AD843" s="3">
        <v>0.0</v>
      </c>
      <c r="AE843" s="3">
        <v>0.0</v>
      </c>
      <c r="AF843" s="3">
        <v>0.0</v>
      </c>
      <c r="AG843" s="3">
        <v>0.0</v>
      </c>
    </row>
    <row r="844">
      <c r="A844" s="3" t="s">
        <v>1907</v>
      </c>
      <c r="B844" s="3" t="s">
        <v>1908</v>
      </c>
      <c r="C844" s="3" t="str">
        <f t="shared" si="1"/>
        <v>PT. Teknologi Nusantara</v>
      </c>
      <c r="D844" s="3" t="s">
        <v>130</v>
      </c>
      <c r="E844" s="3" t="s">
        <v>104</v>
      </c>
      <c r="F844" s="3" t="s">
        <v>252</v>
      </c>
      <c r="G844" s="3" t="s">
        <v>27</v>
      </c>
      <c r="H844" s="3" t="str">
        <f t="array" ref="H844">XLOOKUP(G:G,'Account Manager Data'!A:A,'Account Manager Data'!B:B,0)</f>
        <v>Dedi Kurniawan</v>
      </c>
      <c r="I844" s="11" t="str">
        <f t="array" ref="I844">XLOOKUP($G:$G,'Account Manager Data'!$A:$A,'Account Manager Data'!C:C)</f>
        <v>Kalimantan</v>
      </c>
      <c r="J844" s="17">
        <v>1238737.0</v>
      </c>
      <c r="K844" s="17">
        <v>1493934.0</v>
      </c>
      <c r="L844" s="17">
        <v>326917.0</v>
      </c>
      <c r="M844" s="17">
        <v>804331.0</v>
      </c>
      <c r="N844" s="17">
        <v>3348085.0</v>
      </c>
      <c r="O844" s="17">
        <v>1.4573474E7</v>
      </c>
      <c r="P844" s="17">
        <v>4284307.0</v>
      </c>
      <c r="Q844" s="17">
        <v>1.5346165E7</v>
      </c>
      <c r="R844" s="17">
        <v>7508155.0</v>
      </c>
      <c r="S844" s="17">
        <v>1.1115664E7</v>
      </c>
      <c r="T844" s="17">
        <v>8607777.0</v>
      </c>
      <c r="U844" s="17">
        <v>1.2034062E7</v>
      </c>
      <c r="V844" s="11">
        <f t="array" ref="V844">XLOOKUP(A:A,'Raw Revenue'!A:A,'Raw Revenue'!B:B,0)
</f>
        <v>0</v>
      </c>
      <c r="W844" s="11">
        <f t="array" ref="W844">XLOOKUP(A:A,'Raw Revenue'!C:C,'Raw Revenue'!D:D,0)</f>
        <v>0</v>
      </c>
      <c r="X844" s="11">
        <f t="array" ref="X844">XLOOKUP(A:A,'Raw Revenue'!E:E,'Raw Revenue'!F:F,0)</f>
        <v>0</v>
      </c>
      <c r="Y844" s="11">
        <f t="array" ref="Y844">XLOOKUP(A:A,'Raw Revenue'!G:G,'Raw Revenue'!H:H,0)</f>
        <v>0</v>
      </c>
      <c r="Z844" s="11">
        <f t="array" ref="Z844">XLOOKUP(A:A,'Raw Revenue'!I:I,'Raw Revenue'!J:J,0)</f>
        <v>0</v>
      </c>
      <c r="AA844" s="11">
        <f t="array" ref="AA844">XLOOKUP(A:A,'Raw Revenue'!K:K,'Raw Revenue'!L:L,0)</f>
        <v>0</v>
      </c>
      <c r="AB844" s="11">
        <f t="array" ref="AB844">XLOOKUP(A:A,'Raw Revenue'!M:M,'Raw Revenue'!N:N,0)</f>
        <v>0</v>
      </c>
      <c r="AC844" s="3">
        <v>0.0</v>
      </c>
      <c r="AD844" s="3">
        <v>0.0</v>
      </c>
      <c r="AE844" s="3">
        <v>0.0</v>
      </c>
      <c r="AF844" s="3">
        <v>0.0</v>
      </c>
      <c r="AG844" s="3">
        <v>0.0</v>
      </c>
    </row>
    <row r="845">
      <c r="A845" s="3" t="s">
        <v>436</v>
      </c>
      <c r="B845" s="3" t="s">
        <v>1909</v>
      </c>
      <c r="C845" s="3" t="str">
        <f t="shared" si="1"/>
        <v>PT. Bakti Indonesia</v>
      </c>
      <c r="D845" s="3" t="s">
        <v>103</v>
      </c>
      <c r="E845" s="3" t="s">
        <v>104</v>
      </c>
      <c r="F845" s="3" t="s">
        <v>252</v>
      </c>
      <c r="G845" s="3" t="s">
        <v>78</v>
      </c>
      <c r="H845" s="3" t="str">
        <f t="array" ref="H845">XLOOKUP(G:G,'Account Manager Data'!A:A,'Account Manager Data'!B:B,0)</f>
        <v>Ilham Saputra</v>
      </c>
      <c r="I845" s="11" t="str">
        <f t="array" ref="I845">XLOOKUP($G:$G,'Account Manager Data'!$A:$A,'Account Manager Data'!C:C)</f>
        <v>Jawa</v>
      </c>
      <c r="J845" s="17">
        <v>3908289.0</v>
      </c>
      <c r="K845" s="17">
        <v>3464213.0</v>
      </c>
      <c r="L845" s="17">
        <v>27300.0</v>
      </c>
      <c r="M845" s="17">
        <v>1.0753779E7</v>
      </c>
      <c r="N845" s="17">
        <v>8714007.0</v>
      </c>
      <c r="O845" s="17">
        <v>1334774.0</v>
      </c>
      <c r="P845" s="17">
        <v>8141572.0</v>
      </c>
      <c r="Q845" s="17">
        <v>1099866.0</v>
      </c>
      <c r="R845" s="17">
        <v>1.6827382E7</v>
      </c>
      <c r="S845" s="17">
        <v>9221853.0</v>
      </c>
      <c r="T845" s="17">
        <v>1.3342031E7</v>
      </c>
      <c r="U845" s="17">
        <v>1.656674E7</v>
      </c>
      <c r="V845" s="11">
        <f t="array" ref="V845">XLOOKUP(A:A,'Raw Revenue'!A:A,'Raw Revenue'!B:B,0)
</f>
        <v>1785130.584</v>
      </c>
      <c r="W845" s="11">
        <f t="array" ref="W845">XLOOKUP(A:A,'Raw Revenue'!C:C,'Raw Revenue'!D:D,0)</f>
        <v>892565.2922</v>
      </c>
      <c r="X845" s="11">
        <f t="array" ref="X845">XLOOKUP(A:A,'Raw Revenue'!E:E,'Raw Revenue'!F:F,0)</f>
        <v>535539.1753</v>
      </c>
      <c r="Y845" s="11">
        <f t="array" ref="Y845">XLOOKUP(A:A,'Raw Revenue'!G:G,'Raw Revenue'!H:H,0)</f>
        <v>6247957.046</v>
      </c>
      <c r="Z845" s="11">
        <f t="array" ref="Z845">XLOOKUP(A:A,'Raw Revenue'!I:I,'Raw Revenue'!J:J,0)</f>
        <v>1428104.468</v>
      </c>
      <c r="AA845" s="11">
        <f t="array" ref="AA845">XLOOKUP(A:A,'Raw Revenue'!K:K,'Raw Revenue'!L:L,0)</f>
        <v>40165.43815</v>
      </c>
      <c r="AB845" s="11">
        <f t="array" ref="AB845">XLOOKUP(A:A,'Raw Revenue'!M:M,'Raw Revenue'!N:N,0)</f>
        <v>5382168.712</v>
      </c>
      <c r="AC845" s="3">
        <v>0.0</v>
      </c>
      <c r="AD845" s="3">
        <v>0.0</v>
      </c>
      <c r="AE845" s="3">
        <v>0.0</v>
      </c>
      <c r="AF845" s="3">
        <v>0.0</v>
      </c>
      <c r="AG845" s="3">
        <v>0.0</v>
      </c>
    </row>
    <row r="846">
      <c r="A846" s="3" t="s">
        <v>1910</v>
      </c>
      <c r="B846" s="3" t="s">
        <v>1911</v>
      </c>
      <c r="C846" s="3" t="str">
        <f t="shared" si="1"/>
        <v>CV. Amanah Sejahtera</v>
      </c>
      <c r="D846" s="3" t="s">
        <v>84</v>
      </c>
      <c r="E846" s="3" t="s">
        <v>85</v>
      </c>
      <c r="F846" s="3" t="s">
        <v>86</v>
      </c>
      <c r="G846" s="3" t="s">
        <v>53</v>
      </c>
      <c r="H846" s="3" t="str">
        <f t="array" ref="H846">XLOOKUP(G:G,'Account Manager Data'!A:A,'Account Manager Data'!B:B,0)</f>
        <v>Fajar Ramadhan</v>
      </c>
      <c r="I846" s="11" t="str">
        <f t="array" ref="I846">XLOOKUP($G:$G,'Account Manager Data'!$A:$A,'Account Manager Data'!C:C)</f>
        <v>Sulawesi</v>
      </c>
      <c r="J846" s="17">
        <v>6343766.0</v>
      </c>
      <c r="K846" s="17">
        <v>964736.0</v>
      </c>
      <c r="L846" s="17">
        <v>9590829.0</v>
      </c>
      <c r="M846" s="17">
        <v>2227319.0</v>
      </c>
      <c r="N846" s="17">
        <v>1.0008816E7</v>
      </c>
      <c r="O846" s="17">
        <v>1.1189782E7</v>
      </c>
      <c r="P846" s="17">
        <v>9377186.0</v>
      </c>
      <c r="Q846" s="17">
        <v>8885864.0</v>
      </c>
      <c r="R846" s="17">
        <v>1.1400582E7</v>
      </c>
      <c r="S846" s="17">
        <v>1160593.0</v>
      </c>
      <c r="T846" s="17">
        <v>139530.0</v>
      </c>
      <c r="U846" s="17">
        <v>1.2604841E7</v>
      </c>
      <c r="V846" s="11">
        <f t="array" ref="V846">XLOOKUP(A:A,'Raw Revenue'!A:A,'Raw Revenue'!B:B,0)
</f>
        <v>0</v>
      </c>
      <c r="W846" s="11">
        <f t="array" ref="W846">XLOOKUP(A:A,'Raw Revenue'!C:C,'Raw Revenue'!D:D,0)</f>
        <v>0</v>
      </c>
      <c r="X846" s="11">
        <f t="array" ref="X846">XLOOKUP(A:A,'Raw Revenue'!E:E,'Raw Revenue'!F:F,0)</f>
        <v>0</v>
      </c>
      <c r="Y846" s="11">
        <f t="array" ref="Y846">XLOOKUP(A:A,'Raw Revenue'!G:G,'Raw Revenue'!H:H,0)</f>
        <v>0</v>
      </c>
      <c r="Z846" s="11">
        <f t="array" ref="Z846">XLOOKUP(A:A,'Raw Revenue'!I:I,'Raw Revenue'!J:J,0)</f>
        <v>0</v>
      </c>
      <c r="AA846" s="11">
        <f t="array" ref="AA846">XLOOKUP(A:A,'Raw Revenue'!K:K,'Raw Revenue'!L:L,0)</f>
        <v>0</v>
      </c>
      <c r="AB846" s="11">
        <f t="array" ref="AB846">XLOOKUP(A:A,'Raw Revenue'!M:M,'Raw Revenue'!N:N,0)</f>
        <v>0</v>
      </c>
      <c r="AC846" s="3">
        <v>0.0</v>
      </c>
      <c r="AD846" s="3">
        <v>0.0</v>
      </c>
      <c r="AE846" s="3">
        <v>0.0</v>
      </c>
      <c r="AF846" s="3">
        <v>0.0</v>
      </c>
      <c r="AG846" s="3">
        <v>0.0</v>
      </c>
    </row>
    <row r="847">
      <c r="A847" s="3" t="s">
        <v>467</v>
      </c>
      <c r="B847" s="3" t="s">
        <v>1912</v>
      </c>
      <c r="C847" s="3" t="str">
        <f t="shared" si="1"/>
        <v>PT. Digital Solusi Pratama</v>
      </c>
      <c r="D847" s="3" t="s">
        <v>103</v>
      </c>
      <c r="E847" s="3" t="s">
        <v>187</v>
      </c>
      <c r="F847" s="3" t="s">
        <v>295</v>
      </c>
      <c r="G847" s="3" t="s">
        <v>63</v>
      </c>
      <c r="H847" s="3" t="str">
        <f t="array" ref="H847">XLOOKUP(G:G,'Account Manager Data'!A:A,'Account Manager Data'!B:B,0)</f>
        <v>Hendra Gunawan</v>
      </c>
      <c r="I847" s="11" t="str">
        <f t="array" ref="I847">XLOOKUP($G:$G,'Account Manager Data'!$A:$A,'Account Manager Data'!C:C)</f>
        <v>Kalimantan</v>
      </c>
      <c r="J847" s="17">
        <v>1891800.0</v>
      </c>
      <c r="K847" s="17">
        <v>6074053.0</v>
      </c>
      <c r="L847" s="17">
        <v>514408.0</v>
      </c>
      <c r="M847" s="17">
        <v>0.0</v>
      </c>
      <c r="N847" s="17">
        <v>7912259.0</v>
      </c>
      <c r="O847" s="17">
        <v>1.1297425E7</v>
      </c>
      <c r="P847" s="17">
        <v>4991808.0</v>
      </c>
      <c r="Q847" s="17">
        <v>8828739.0</v>
      </c>
      <c r="R847" s="17">
        <v>3939585.0</v>
      </c>
      <c r="S847" s="17">
        <v>1.3061025E7</v>
      </c>
      <c r="T847" s="17">
        <v>1.6305042E7</v>
      </c>
      <c r="U847" s="17">
        <v>0.0</v>
      </c>
      <c r="V847" s="11">
        <f t="array" ref="V847">XLOOKUP(A:A,'Raw Revenue'!A:A,'Raw Revenue'!B:B,0)
</f>
        <v>2652194.011</v>
      </c>
      <c r="W847" s="11">
        <f t="array" ref="W847">XLOOKUP(A:A,'Raw Revenue'!C:C,'Raw Revenue'!D:D,0)</f>
        <v>2652194.011</v>
      </c>
      <c r="X847" s="11">
        <f t="array" ref="X847">XLOOKUP(A:A,'Raw Revenue'!E:E,'Raw Revenue'!F:F,0)</f>
        <v>5304388.022</v>
      </c>
      <c r="Y847" s="11">
        <f t="array" ref="Y847">XLOOKUP(A:A,'Raw Revenue'!G:G,'Raw Revenue'!H:H,0)</f>
        <v>4331916.885</v>
      </c>
      <c r="Z847" s="11">
        <f t="array" ref="Z847">XLOOKUP(A:A,'Raw Revenue'!I:I,'Raw Revenue'!J:J,0)</f>
        <v>3889884.55</v>
      </c>
      <c r="AA847" s="11">
        <f t="array" ref="AA847">XLOOKUP(A:A,'Raw Revenue'!K:K,'Raw Revenue'!L:L,0)</f>
        <v>9945727.542</v>
      </c>
      <c r="AB847" s="11">
        <f t="array" ref="AB847">XLOOKUP(A:A,'Raw Revenue'!M:M,'Raw Revenue'!N:N,0)</f>
        <v>9150069.339</v>
      </c>
      <c r="AC847" s="3">
        <v>0.0</v>
      </c>
      <c r="AD847" s="3">
        <v>0.0</v>
      </c>
      <c r="AE847" s="3">
        <v>0.0</v>
      </c>
      <c r="AF847" s="3">
        <v>0.0</v>
      </c>
      <c r="AG847" s="3">
        <v>0.0</v>
      </c>
    </row>
    <row r="848">
      <c r="A848" s="3" t="s">
        <v>1913</v>
      </c>
      <c r="B848" s="3" t="s">
        <v>1914</v>
      </c>
      <c r="C848" s="3" t="str">
        <f t="shared" si="1"/>
        <v>PT. Global Niaga Abadi</v>
      </c>
      <c r="D848" s="3" t="s">
        <v>195</v>
      </c>
      <c r="E848" s="3" t="s">
        <v>187</v>
      </c>
      <c r="F848" s="3" t="s">
        <v>295</v>
      </c>
      <c r="G848" s="3" t="s">
        <v>35</v>
      </c>
      <c r="H848" s="3" t="str">
        <f t="array" ref="H848">XLOOKUP(G:G,'Account Manager Data'!A:A,'Account Manager Data'!B:B,0)</f>
        <v>Ahmad Fauzi</v>
      </c>
      <c r="I848" s="11" t="str">
        <f t="array" ref="I848">XLOOKUP($G:$G,'Account Manager Data'!$A:$A,'Account Manager Data'!C:C)</f>
        <v>Sumatera</v>
      </c>
      <c r="J848" s="17">
        <v>5835869.0</v>
      </c>
      <c r="K848" s="17">
        <v>1435738.0</v>
      </c>
      <c r="L848" s="17">
        <v>4735311.0</v>
      </c>
      <c r="M848" s="17">
        <v>7272282.0</v>
      </c>
      <c r="N848" s="17">
        <v>1.0906139E7</v>
      </c>
      <c r="O848" s="17">
        <v>1.1617554E7</v>
      </c>
      <c r="P848" s="17">
        <v>3474687.0</v>
      </c>
      <c r="Q848" s="17">
        <v>9845494.0</v>
      </c>
      <c r="R848" s="17">
        <v>1.0784869E7</v>
      </c>
      <c r="S848" s="17">
        <v>7081572.0</v>
      </c>
      <c r="T848" s="17">
        <v>1.093915E7</v>
      </c>
      <c r="U848" s="17">
        <v>0.0</v>
      </c>
      <c r="V848" s="11">
        <f t="array" ref="V848">XLOOKUP(A:A,'Raw Revenue'!A:A,'Raw Revenue'!B:B,0)
</f>
        <v>0</v>
      </c>
      <c r="W848" s="11">
        <f t="array" ref="W848">XLOOKUP(A:A,'Raw Revenue'!C:C,'Raw Revenue'!D:D,0)</f>
        <v>0</v>
      </c>
      <c r="X848" s="11">
        <f t="array" ref="X848">XLOOKUP(A:A,'Raw Revenue'!E:E,'Raw Revenue'!F:F,0)</f>
        <v>0</v>
      </c>
      <c r="Y848" s="11">
        <f t="array" ref="Y848">XLOOKUP(A:A,'Raw Revenue'!G:G,'Raw Revenue'!H:H,0)</f>
        <v>0</v>
      </c>
      <c r="Z848" s="11">
        <f t="array" ref="Z848">XLOOKUP(A:A,'Raw Revenue'!I:I,'Raw Revenue'!J:J,0)</f>
        <v>0</v>
      </c>
      <c r="AA848" s="11">
        <f t="array" ref="AA848">XLOOKUP(A:A,'Raw Revenue'!K:K,'Raw Revenue'!L:L,0)</f>
        <v>0</v>
      </c>
      <c r="AB848" s="11">
        <f t="array" ref="AB848">XLOOKUP(A:A,'Raw Revenue'!M:M,'Raw Revenue'!N:N,0)</f>
        <v>0</v>
      </c>
      <c r="AC848" s="3">
        <v>0.0</v>
      </c>
      <c r="AD848" s="3">
        <v>0.0</v>
      </c>
      <c r="AE848" s="3">
        <v>0.0</v>
      </c>
      <c r="AF848" s="3">
        <v>0.0</v>
      </c>
      <c r="AG848" s="3">
        <v>0.0</v>
      </c>
    </row>
    <row r="849">
      <c r="A849" s="3" t="s">
        <v>1915</v>
      </c>
      <c r="B849" s="3" t="s">
        <v>1916</v>
      </c>
      <c r="C849" s="3" t="str">
        <f t="shared" si="1"/>
        <v>PT. Indo Makmur Sentosa</v>
      </c>
      <c r="D849" s="3" t="s">
        <v>214</v>
      </c>
      <c r="E849" s="3" t="s">
        <v>196</v>
      </c>
      <c r="F849" s="3" t="s">
        <v>260</v>
      </c>
      <c r="G849" s="3" t="s">
        <v>74</v>
      </c>
      <c r="H849" s="3" t="str">
        <f t="array" ref="H849">XLOOKUP(G:G,'Account Manager Data'!A:A,'Account Manager Data'!B:B,0)</f>
        <v>Budi Santoso</v>
      </c>
      <c r="I849" s="11" t="str">
        <f t="array" ref="I849">XLOOKUP($G:$G,'Account Manager Data'!$A:$A,'Account Manager Data'!C:C)</f>
        <v>Papua</v>
      </c>
      <c r="J849" s="17">
        <v>5272602.0</v>
      </c>
      <c r="K849" s="17">
        <v>9159477.0</v>
      </c>
      <c r="L849" s="17">
        <v>9629281.0</v>
      </c>
      <c r="M849" s="17">
        <v>8223193.0</v>
      </c>
      <c r="N849" s="17">
        <v>0.0</v>
      </c>
      <c r="O849" s="17">
        <v>4881714.0</v>
      </c>
      <c r="P849" s="17">
        <v>1.5227011E7</v>
      </c>
      <c r="Q849" s="17">
        <v>5530459.0</v>
      </c>
      <c r="R849" s="17">
        <v>1.3497955E7</v>
      </c>
      <c r="S849" s="17">
        <v>1.4775245E7</v>
      </c>
      <c r="T849" s="17">
        <v>7563034.0</v>
      </c>
      <c r="U849" s="17">
        <v>1.8208078E7</v>
      </c>
      <c r="V849" s="11">
        <f t="array" ref="V849">XLOOKUP(A:A,'Raw Revenue'!A:A,'Raw Revenue'!B:B,0)
</f>
        <v>0</v>
      </c>
      <c r="W849" s="11">
        <f t="array" ref="W849">XLOOKUP(A:A,'Raw Revenue'!C:C,'Raw Revenue'!D:D,0)</f>
        <v>0</v>
      </c>
      <c r="X849" s="11">
        <f t="array" ref="X849">XLOOKUP(A:A,'Raw Revenue'!E:E,'Raw Revenue'!F:F,0)</f>
        <v>0</v>
      </c>
      <c r="Y849" s="11">
        <f t="array" ref="Y849">XLOOKUP(A:A,'Raw Revenue'!G:G,'Raw Revenue'!H:H,0)</f>
        <v>0</v>
      </c>
      <c r="Z849" s="11">
        <f t="array" ref="Z849">XLOOKUP(A:A,'Raw Revenue'!I:I,'Raw Revenue'!J:J,0)</f>
        <v>0</v>
      </c>
      <c r="AA849" s="11">
        <f t="array" ref="AA849">XLOOKUP(A:A,'Raw Revenue'!K:K,'Raw Revenue'!L:L,0)</f>
        <v>0</v>
      </c>
      <c r="AB849" s="11">
        <f t="array" ref="AB849">XLOOKUP(A:A,'Raw Revenue'!M:M,'Raw Revenue'!N:N,0)</f>
        <v>0</v>
      </c>
      <c r="AC849" s="3">
        <v>0.0</v>
      </c>
      <c r="AD849" s="3">
        <v>0.0</v>
      </c>
      <c r="AE849" s="3">
        <v>0.0</v>
      </c>
      <c r="AF849" s="3">
        <v>0.0</v>
      </c>
      <c r="AG849" s="3">
        <v>0.0</v>
      </c>
    </row>
    <row r="850">
      <c r="A850" s="3" t="s">
        <v>1917</v>
      </c>
      <c r="B850" s="3" t="s">
        <v>1918</v>
      </c>
      <c r="C850" s="3" t="str">
        <f t="shared" si="1"/>
        <v>PT. Citra Mandiri Utama</v>
      </c>
      <c r="D850" s="3" t="s">
        <v>186</v>
      </c>
      <c r="E850" s="3" t="s">
        <v>196</v>
      </c>
      <c r="F850" s="3" t="s">
        <v>260</v>
      </c>
      <c r="G850" s="3" t="s">
        <v>43</v>
      </c>
      <c r="H850" s="3" t="str">
        <f t="array" ref="H850">XLOOKUP(G:G,'Account Manager Data'!A:A,'Account Manager Data'!B:B,0)</f>
        <v>Eko Prasetyo</v>
      </c>
      <c r="I850" s="11" t="str">
        <f t="array" ref="I850">XLOOKUP($G:$G,'Account Manager Data'!$A:$A,'Account Manager Data'!C:C)</f>
        <v>Papua</v>
      </c>
      <c r="J850" s="17">
        <v>7807504.0</v>
      </c>
      <c r="K850" s="17">
        <v>3953541.0</v>
      </c>
      <c r="L850" s="17">
        <v>4353667.0</v>
      </c>
      <c r="M850" s="17">
        <v>6736868.0</v>
      </c>
      <c r="N850" s="17">
        <v>1.2000379E7</v>
      </c>
      <c r="O850" s="17">
        <v>8510800.0</v>
      </c>
      <c r="P850" s="17">
        <v>4660158.0</v>
      </c>
      <c r="Q850" s="17">
        <v>0.0</v>
      </c>
      <c r="R850" s="17">
        <v>5695941.0</v>
      </c>
      <c r="S850" s="17">
        <v>7148624.0</v>
      </c>
      <c r="T850" s="17">
        <v>7310246.0</v>
      </c>
      <c r="U850" s="17">
        <v>1449241.0</v>
      </c>
      <c r="V850" s="11">
        <f t="array" ref="V850">XLOOKUP(A:A,'Raw Revenue'!A:A,'Raw Revenue'!B:B,0)
</f>
        <v>0</v>
      </c>
      <c r="W850" s="11">
        <f t="array" ref="W850">XLOOKUP(A:A,'Raw Revenue'!C:C,'Raw Revenue'!D:D,0)</f>
        <v>0</v>
      </c>
      <c r="X850" s="11">
        <f t="array" ref="X850">XLOOKUP(A:A,'Raw Revenue'!E:E,'Raw Revenue'!F:F,0)</f>
        <v>0</v>
      </c>
      <c r="Y850" s="11">
        <f t="array" ref="Y850">XLOOKUP(A:A,'Raw Revenue'!G:G,'Raw Revenue'!H:H,0)</f>
        <v>0</v>
      </c>
      <c r="Z850" s="11">
        <f t="array" ref="Z850">XLOOKUP(A:A,'Raw Revenue'!I:I,'Raw Revenue'!J:J,0)</f>
        <v>0</v>
      </c>
      <c r="AA850" s="11">
        <f t="array" ref="AA850">XLOOKUP(A:A,'Raw Revenue'!K:K,'Raw Revenue'!L:L,0)</f>
        <v>0</v>
      </c>
      <c r="AB850" s="11">
        <f t="array" ref="AB850">XLOOKUP(A:A,'Raw Revenue'!M:M,'Raw Revenue'!N:N,0)</f>
        <v>0</v>
      </c>
      <c r="AC850" s="3">
        <v>0.0</v>
      </c>
      <c r="AD850" s="3">
        <v>0.0</v>
      </c>
      <c r="AE850" s="3">
        <v>0.0</v>
      </c>
      <c r="AF850" s="3">
        <v>0.0</v>
      </c>
      <c r="AG850" s="3">
        <v>0.0</v>
      </c>
    </row>
    <row r="851">
      <c r="A851" s="3" t="s">
        <v>1919</v>
      </c>
      <c r="B851" s="3" t="s">
        <v>1920</v>
      </c>
      <c r="C851" s="3" t="str">
        <f t="shared" si="1"/>
        <v>PT. Sinar Dunia Baru</v>
      </c>
      <c r="D851" s="3" t="s">
        <v>214</v>
      </c>
      <c r="E851" s="3" t="s">
        <v>187</v>
      </c>
      <c r="F851" s="3" t="s">
        <v>188</v>
      </c>
      <c r="G851" s="3" t="s">
        <v>76</v>
      </c>
      <c r="H851" s="3" t="str">
        <f t="array" ref="H851">XLOOKUP(G:G,'Account Manager Data'!A:A,'Account Manager Data'!B:B,0)</f>
        <v>Teguh Wijaya</v>
      </c>
      <c r="I851" s="11" t="str">
        <f t="array" ref="I851">XLOOKUP($G:$G,'Account Manager Data'!$A:$A,'Account Manager Data'!C:C)</f>
        <v>Sulawesi</v>
      </c>
      <c r="J851" s="17">
        <v>1743205.0</v>
      </c>
      <c r="K851" s="17">
        <v>2646238.0</v>
      </c>
      <c r="L851" s="17">
        <v>1568351.0</v>
      </c>
      <c r="M851" s="17">
        <v>7253649.0</v>
      </c>
      <c r="N851" s="17">
        <v>7504069.0</v>
      </c>
      <c r="O851" s="17">
        <v>1.495367E7</v>
      </c>
      <c r="P851" s="17">
        <v>1.4896499E7</v>
      </c>
      <c r="Q851" s="17">
        <v>7080748.0</v>
      </c>
      <c r="R851" s="17">
        <v>7062233.0</v>
      </c>
      <c r="S851" s="17">
        <v>4826528.0</v>
      </c>
      <c r="T851" s="17">
        <v>2200803.0</v>
      </c>
      <c r="U851" s="17">
        <v>3117949.0</v>
      </c>
      <c r="V851" s="11">
        <f t="array" ref="V851">XLOOKUP(A:A,'Raw Revenue'!A:A,'Raw Revenue'!B:B,0)
</f>
        <v>0</v>
      </c>
      <c r="W851" s="11">
        <f t="array" ref="W851">XLOOKUP(A:A,'Raw Revenue'!C:C,'Raw Revenue'!D:D,0)</f>
        <v>0</v>
      </c>
      <c r="X851" s="11">
        <f t="array" ref="X851">XLOOKUP(A:A,'Raw Revenue'!E:E,'Raw Revenue'!F:F,0)</f>
        <v>0</v>
      </c>
      <c r="Y851" s="11">
        <f t="array" ref="Y851">XLOOKUP(A:A,'Raw Revenue'!G:G,'Raw Revenue'!H:H,0)</f>
        <v>0</v>
      </c>
      <c r="Z851" s="11">
        <f t="array" ref="Z851">XLOOKUP(A:A,'Raw Revenue'!I:I,'Raw Revenue'!J:J,0)</f>
        <v>0</v>
      </c>
      <c r="AA851" s="11">
        <f t="array" ref="AA851">XLOOKUP(A:A,'Raw Revenue'!K:K,'Raw Revenue'!L:L,0)</f>
        <v>0</v>
      </c>
      <c r="AB851" s="11">
        <f t="array" ref="AB851">XLOOKUP(A:A,'Raw Revenue'!M:M,'Raw Revenue'!N:N,0)</f>
        <v>0</v>
      </c>
      <c r="AC851" s="3">
        <v>0.0</v>
      </c>
      <c r="AD851" s="3">
        <v>0.0</v>
      </c>
      <c r="AE851" s="3">
        <v>0.0</v>
      </c>
      <c r="AF851" s="3">
        <v>0.0</v>
      </c>
      <c r="AG851" s="3">
        <v>0.0</v>
      </c>
    </row>
    <row r="852">
      <c r="A852" s="3" t="s">
        <v>1921</v>
      </c>
      <c r="B852" s="3" t="s">
        <v>1922</v>
      </c>
      <c r="C852" s="3" t="str">
        <f t="shared" si="1"/>
        <v>CV. Karya Utama Mandiri</v>
      </c>
      <c r="D852" s="3" t="s">
        <v>130</v>
      </c>
      <c r="E852" s="3" t="s">
        <v>104</v>
      </c>
      <c r="F852" s="3" t="s">
        <v>252</v>
      </c>
      <c r="G852" s="3" t="s">
        <v>70</v>
      </c>
      <c r="H852" s="3" t="str">
        <f t="array" ref="H852">XLOOKUP(G:G,'Account Manager Data'!A:A,'Account Manager Data'!B:B,0)</f>
        <v>Yusuf Hidayat</v>
      </c>
      <c r="I852" s="11" t="str">
        <f t="array" ref="I852">XLOOKUP($G:$G,'Account Manager Data'!$A:$A,'Account Manager Data'!C:C)</f>
        <v>Sumatera</v>
      </c>
      <c r="J852" s="17">
        <v>7294606.0</v>
      </c>
      <c r="K852" s="17">
        <v>1344951.0</v>
      </c>
      <c r="L852" s="17">
        <v>5382040.0</v>
      </c>
      <c r="M852" s="17">
        <v>9526655.0</v>
      </c>
      <c r="N852" s="17">
        <v>5183638.0</v>
      </c>
      <c r="O852" s="17">
        <v>2673099.0</v>
      </c>
      <c r="P852" s="17">
        <v>1.5747644E7</v>
      </c>
      <c r="Q852" s="17">
        <v>1.5223508E7</v>
      </c>
      <c r="R852" s="17">
        <v>1.2803862E7</v>
      </c>
      <c r="S852" s="17">
        <v>3634991.0</v>
      </c>
      <c r="T852" s="17">
        <v>1.6396268E7</v>
      </c>
      <c r="U852" s="17">
        <v>3572454.0</v>
      </c>
      <c r="V852" s="11">
        <f t="array" ref="V852">XLOOKUP(A:A,'Raw Revenue'!A:A,'Raw Revenue'!B:B,0)
</f>
        <v>0</v>
      </c>
      <c r="W852" s="11">
        <f t="array" ref="W852">XLOOKUP(A:A,'Raw Revenue'!C:C,'Raw Revenue'!D:D,0)</f>
        <v>0</v>
      </c>
      <c r="X852" s="11">
        <f t="array" ref="X852">XLOOKUP(A:A,'Raw Revenue'!E:E,'Raw Revenue'!F:F,0)</f>
        <v>0</v>
      </c>
      <c r="Y852" s="11">
        <f t="array" ref="Y852">XLOOKUP(A:A,'Raw Revenue'!G:G,'Raw Revenue'!H:H,0)</f>
        <v>0</v>
      </c>
      <c r="Z852" s="11">
        <f t="array" ref="Z852">XLOOKUP(A:A,'Raw Revenue'!I:I,'Raw Revenue'!J:J,0)</f>
        <v>0</v>
      </c>
      <c r="AA852" s="11">
        <f t="array" ref="AA852">XLOOKUP(A:A,'Raw Revenue'!K:K,'Raw Revenue'!L:L,0)</f>
        <v>0</v>
      </c>
      <c r="AB852" s="11">
        <f t="array" ref="AB852">XLOOKUP(A:A,'Raw Revenue'!M:M,'Raw Revenue'!N:N,0)</f>
        <v>0</v>
      </c>
      <c r="AC852" s="3">
        <v>0.0</v>
      </c>
      <c r="AD852" s="3">
        <v>0.0</v>
      </c>
      <c r="AE852" s="3">
        <v>0.0</v>
      </c>
      <c r="AF852" s="3">
        <v>0.0</v>
      </c>
      <c r="AG852" s="3">
        <v>0.0</v>
      </c>
    </row>
    <row r="853">
      <c r="A853" s="3" t="s">
        <v>1923</v>
      </c>
      <c r="B853" s="3" t="s">
        <v>1924</v>
      </c>
      <c r="C853" s="3" t="str">
        <f t="shared" si="1"/>
        <v>PT. Pratama Jaya Sentosa</v>
      </c>
      <c r="D853" s="3" t="s">
        <v>214</v>
      </c>
      <c r="E853" s="3" t="s">
        <v>187</v>
      </c>
      <c r="F853" s="3" t="s">
        <v>295</v>
      </c>
      <c r="G853" s="3" t="s">
        <v>15</v>
      </c>
      <c r="H853" s="3" t="str">
        <f t="array" ref="H853">XLOOKUP(G:G,'Account Manager Data'!A:A,'Account Manager Data'!B:B,0)</f>
        <v>Rizky Maulana</v>
      </c>
      <c r="I853" s="11" t="str">
        <f t="array" ref="I853">XLOOKUP($G:$G,'Account Manager Data'!$A:$A,'Account Manager Data'!C:C)</f>
        <v>Jawa</v>
      </c>
      <c r="J853" s="17">
        <v>8054391.0</v>
      </c>
      <c r="K853" s="17">
        <v>949722.0</v>
      </c>
      <c r="L853" s="17">
        <v>9991800.0</v>
      </c>
      <c r="M853" s="17">
        <v>150566.0</v>
      </c>
      <c r="N853" s="17">
        <v>1.4192168E7</v>
      </c>
      <c r="O853" s="17">
        <v>7433641.0</v>
      </c>
      <c r="P853" s="17">
        <v>1.0685925E7</v>
      </c>
      <c r="Q853" s="17">
        <v>1.0366886E7</v>
      </c>
      <c r="R853" s="17">
        <v>1.6216479E7</v>
      </c>
      <c r="S853" s="17">
        <v>3412379.0</v>
      </c>
      <c r="T853" s="17">
        <v>6128355.0</v>
      </c>
      <c r="U853" s="17">
        <v>1.6024627E7</v>
      </c>
      <c r="V853" s="11">
        <f t="array" ref="V853">XLOOKUP(A:A,'Raw Revenue'!A:A,'Raw Revenue'!B:B,0)
</f>
        <v>0</v>
      </c>
      <c r="W853" s="11">
        <f t="array" ref="W853">XLOOKUP(A:A,'Raw Revenue'!C:C,'Raw Revenue'!D:D,0)</f>
        <v>0</v>
      </c>
      <c r="X853" s="11">
        <f t="array" ref="X853">XLOOKUP(A:A,'Raw Revenue'!E:E,'Raw Revenue'!F:F,0)</f>
        <v>0</v>
      </c>
      <c r="Y853" s="11">
        <f t="array" ref="Y853">XLOOKUP(A:A,'Raw Revenue'!G:G,'Raw Revenue'!H:H,0)</f>
        <v>0</v>
      </c>
      <c r="Z853" s="11">
        <f t="array" ref="Z853">XLOOKUP(A:A,'Raw Revenue'!I:I,'Raw Revenue'!J:J,0)</f>
        <v>0</v>
      </c>
      <c r="AA853" s="11">
        <f t="array" ref="AA853">XLOOKUP(A:A,'Raw Revenue'!K:K,'Raw Revenue'!L:L,0)</f>
        <v>0</v>
      </c>
      <c r="AB853" s="11">
        <f t="array" ref="AB853">XLOOKUP(A:A,'Raw Revenue'!M:M,'Raw Revenue'!N:N,0)</f>
        <v>0</v>
      </c>
      <c r="AC853" s="3">
        <v>0.0</v>
      </c>
      <c r="AD853" s="3">
        <v>0.0</v>
      </c>
      <c r="AE853" s="3">
        <v>0.0</v>
      </c>
      <c r="AF853" s="3">
        <v>0.0</v>
      </c>
      <c r="AG853" s="3">
        <v>0.0</v>
      </c>
    </row>
    <row r="854">
      <c r="A854" s="3" t="s">
        <v>1925</v>
      </c>
      <c r="B854" s="3" t="s">
        <v>1926</v>
      </c>
      <c r="C854" s="3" t="str">
        <f t="shared" si="1"/>
        <v>PT. Abadi Selamanya Jaya</v>
      </c>
      <c r="D854" s="3" t="s">
        <v>186</v>
      </c>
      <c r="E854" s="3" t="s">
        <v>187</v>
      </c>
      <c r="F854" s="3" t="s">
        <v>295</v>
      </c>
      <c r="G854" s="3" t="s">
        <v>53</v>
      </c>
      <c r="H854" s="3" t="str">
        <f t="array" ref="H854">XLOOKUP(G:G,'Account Manager Data'!A:A,'Account Manager Data'!B:B,0)</f>
        <v>Fajar Ramadhan</v>
      </c>
      <c r="I854" s="11" t="str">
        <f t="array" ref="I854">XLOOKUP($G:$G,'Account Manager Data'!$A:$A,'Account Manager Data'!C:C)</f>
        <v>Sulawesi</v>
      </c>
      <c r="J854" s="17">
        <v>7422646.0</v>
      </c>
      <c r="K854" s="17">
        <v>93513.0</v>
      </c>
      <c r="L854" s="17">
        <v>3843960.0</v>
      </c>
      <c r="M854" s="17">
        <v>1770759.0</v>
      </c>
      <c r="N854" s="17">
        <v>714374.0</v>
      </c>
      <c r="O854" s="17">
        <v>0.0</v>
      </c>
      <c r="P854" s="17">
        <v>3778243.0</v>
      </c>
      <c r="Q854" s="17">
        <v>0.0</v>
      </c>
      <c r="R854" s="17">
        <v>1.2250111E7</v>
      </c>
      <c r="S854" s="17">
        <v>0.0</v>
      </c>
      <c r="T854" s="17">
        <v>4164619.0</v>
      </c>
      <c r="U854" s="17">
        <v>1.699303E7</v>
      </c>
      <c r="V854" s="11">
        <f t="array" ref="V854">XLOOKUP(A:A,'Raw Revenue'!A:A,'Raw Revenue'!B:B,0)
</f>
        <v>0</v>
      </c>
      <c r="W854" s="11">
        <f t="array" ref="W854">XLOOKUP(A:A,'Raw Revenue'!C:C,'Raw Revenue'!D:D,0)</f>
        <v>0</v>
      </c>
      <c r="X854" s="11">
        <f t="array" ref="X854">XLOOKUP(A:A,'Raw Revenue'!E:E,'Raw Revenue'!F:F,0)</f>
        <v>0</v>
      </c>
      <c r="Y854" s="11">
        <f t="array" ref="Y854">XLOOKUP(A:A,'Raw Revenue'!G:G,'Raw Revenue'!H:H,0)</f>
        <v>0</v>
      </c>
      <c r="Z854" s="11">
        <f t="array" ref="Z854">XLOOKUP(A:A,'Raw Revenue'!I:I,'Raw Revenue'!J:J,0)</f>
        <v>0</v>
      </c>
      <c r="AA854" s="11">
        <f t="array" ref="AA854">XLOOKUP(A:A,'Raw Revenue'!K:K,'Raw Revenue'!L:L,0)</f>
        <v>0</v>
      </c>
      <c r="AB854" s="11">
        <f t="array" ref="AB854">XLOOKUP(A:A,'Raw Revenue'!M:M,'Raw Revenue'!N:N,0)</f>
        <v>0</v>
      </c>
      <c r="AC854" s="3">
        <v>0.0</v>
      </c>
      <c r="AD854" s="3">
        <v>0.0</v>
      </c>
      <c r="AE854" s="3">
        <v>0.0</v>
      </c>
      <c r="AF854" s="3">
        <v>0.0</v>
      </c>
      <c r="AG854" s="3">
        <v>0.0</v>
      </c>
    </row>
    <row r="855">
      <c r="A855" s="3" t="s">
        <v>1927</v>
      </c>
      <c r="B855" s="3" t="s">
        <v>1928</v>
      </c>
      <c r="C855" s="3" t="str">
        <f t="shared" si="1"/>
        <v>PT. Mandiri Sejahtera Bersama</v>
      </c>
      <c r="D855" s="3" t="s">
        <v>214</v>
      </c>
      <c r="E855" s="3" t="s">
        <v>85</v>
      </c>
      <c r="F855" s="3" t="s">
        <v>248</v>
      </c>
      <c r="G855" s="3" t="s">
        <v>27</v>
      </c>
      <c r="H855" s="3" t="str">
        <f t="array" ref="H855">XLOOKUP(G:G,'Account Manager Data'!A:A,'Account Manager Data'!B:B,0)</f>
        <v>Dedi Kurniawan</v>
      </c>
      <c r="I855" s="11" t="str">
        <f t="array" ref="I855">XLOOKUP($G:$G,'Account Manager Data'!$A:$A,'Account Manager Data'!C:C)</f>
        <v>Kalimantan</v>
      </c>
      <c r="J855" s="17">
        <v>433618.0</v>
      </c>
      <c r="K855" s="17">
        <v>7453346.0</v>
      </c>
      <c r="L855" s="17">
        <v>9050993.0</v>
      </c>
      <c r="M855" s="17">
        <v>8705032.0</v>
      </c>
      <c r="N855" s="17">
        <v>1.3412864E7</v>
      </c>
      <c r="O855" s="17">
        <v>7836244.0</v>
      </c>
      <c r="P855" s="17">
        <v>418958.0</v>
      </c>
      <c r="Q855" s="17">
        <v>1.5449226E7</v>
      </c>
      <c r="R855" s="17">
        <v>1802453.0</v>
      </c>
      <c r="S855" s="17">
        <v>2110611.0</v>
      </c>
      <c r="T855" s="17">
        <v>7115210.0</v>
      </c>
      <c r="U855" s="17">
        <v>577276.0</v>
      </c>
      <c r="V855" s="11">
        <f t="array" ref="V855">XLOOKUP(A:A,'Raw Revenue'!A:A,'Raw Revenue'!B:B,0)
</f>
        <v>0</v>
      </c>
      <c r="W855" s="11">
        <f t="array" ref="W855">XLOOKUP(A:A,'Raw Revenue'!C:C,'Raw Revenue'!D:D,0)</f>
        <v>0</v>
      </c>
      <c r="X855" s="11">
        <f t="array" ref="X855">XLOOKUP(A:A,'Raw Revenue'!E:E,'Raw Revenue'!F:F,0)</f>
        <v>0</v>
      </c>
      <c r="Y855" s="11">
        <f t="array" ref="Y855">XLOOKUP(A:A,'Raw Revenue'!G:G,'Raw Revenue'!H:H,0)</f>
        <v>0</v>
      </c>
      <c r="Z855" s="11">
        <f t="array" ref="Z855">XLOOKUP(A:A,'Raw Revenue'!I:I,'Raw Revenue'!J:J,0)</f>
        <v>0</v>
      </c>
      <c r="AA855" s="11">
        <f t="array" ref="AA855">XLOOKUP(A:A,'Raw Revenue'!K:K,'Raw Revenue'!L:L,0)</f>
        <v>0</v>
      </c>
      <c r="AB855" s="11">
        <f t="array" ref="AB855">XLOOKUP(A:A,'Raw Revenue'!M:M,'Raw Revenue'!N:N,0)</f>
        <v>0</v>
      </c>
      <c r="AC855" s="3">
        <v>0.0</v>
      </c>
      <c r="AD855" s="3">
        <v>0.0</v>
      </c>
      <c r="AE855" s="3">
        <v>0.0</v>
      </c>
      <c r="AF855" s="3">
        <v>0.0</v>
      </c>
      <c r="AG855" s="3">
        <v>0.0</v>
      </c>
    </row>
    <row r="856">
      <c r="A856" s="3" t="s">
        <v>1929</v>
      </c>
      <c r="B856" s="3" t="s">
        <v>1930</v>
      </c>
      <c r="C856" s="3" t="str">
        <f t="shared" si="1"/>
        <v>PT. Sejahtera Alam Indonesia</v>
      </c>
      <c r="D856" s="3" t="s">
        <v>214</v>
      </c>
      <c r="E856" s="3" t="s">
        <v>85</v>
      </c>
      <c r="F856" s="3" t="s">
        <v>248</v>
      </c>
      <c r="G856" s="3" t="s">
        <v>78</v>
      </c>
      <c r="H856" s="3" t="str">
        <f t="array" ref="H856">XLOOKUP(G:G,'Account Manager Data'!A:A,'Account Manager Data'!B:B,0)</f>
        <v>Ilham Saputra</v>
      </c>
      <c r="I856" s="11" t="str">
        <f t="array" ref="I856">XLOOKUP($G:$G,'Account Manager Data'!$A:$A,'Account Manager Data'!C:C)</f>
        <v>Jawa</v>
      </c>
      <c r="J856" s="17">
        <v>7936277.0</v>
      </c>
      <c r="K856" s="17">
        <v>4342335.0</v>
      </c>
      <c r="L856" s="17">
        <v>0.0</v>
      </c>
      <c r="M856" s="17">
        <v>1.0548827E7</v>
      </c>
      <c r="N856" s="17">
        <v>1.0185645E7</v>
      </c>
      <c r="O856" s="17">
        <v>0.0</v>
      </c>
      <c r="P856" s="17">
        <v>0.0</v>
      </c>
      <c r="Q856" s="17">
        <v>0.0</v>
      </c>
      <c r="R856" s="17">
        <v>1.6337434E7</v>
      </c>
      <c r="S856" s="17">
        <v>9842097.0</v>
      </c>
      <c r="T856" s="17">
        <v>0.0</v>
      </c>
      <c r="U856" s="17">
        <v>53113.0</v>
      </c>
      <c r="V856" s="11">
        <f t="array" ref="V856">XLOOKUP(A:A,'Raw Revenue'!A:A,'Raw Revenue'!B:B,0)
</f>
        <v>0</v>
      </c>
      <c r="W856" s="11">
        <f t="array" ref="W856">XLOOKUP(A:A,'Raw Revenue'!C:C,'Raw Revenue'!D:D,0)</f>
        <v>0</v>
      </c>
      <c r="X856" s="11">
        <f t="array" ref="X856">XLOOKUP(A:A,'Raw Revenue'!E:E,'Raw Revenue'!F:F,0)</f>
        <v>0</v>
      </c>
      <c r="Y856" s="11">
        <f t="array" ref="Y856">XLOOKUP(A:A,'Raw Revenue'!G:G,'Raw Revenue'!H:H,0)</f>
        <v>0</v>
      </c>
      <c r="Z856" s="11">
        <f t="array" ref="Z856">XLOOKUP(A:A,'Raw Revenue'!I:I,'Raw Revenue'!J:J,0)</f>
        <v>0</v>
      </c>
      <c r="AA856" s="11">
        <f t="array" ref="AA856">XLOOKUP(A:A,'Raw Revenue'!K:K,'Raw Revenue'!L:L,0)</f>
        <v>0</v>
      </c>
      <c r="AB856" s="11">
        <f t="array" ref="AB856">XLOOKUP(A:A,'Raw Revenue'!M:M,'Raw Revenue'!N:N,0)</f>
        <v>0</v>
      </c>
      <c r="AC856" s="3">
        <v>0.0</v>
      </c>
      <c r="AD856" s="3">
        <v>0.0</v>
      </c>
      <c r="AE856" s="3">
        <v>0.0</v>
      </c>
      <c r="AF856" s="3">
        <v>0.0</v>
      </c>
      <c r="AG856" s="3">
        <v>0.0</v>
      </c>
    </row>
    <row r="857">
      <c r="A857" s="3" t="s">
        <v>1931</v>
      </c>
      <c r="B857" s="3" t="s">
        <v>1932</v>
      </c>
      <c r="C857" s="3" t="str">
        <f t="shared" si="1"/>
        <v>PT. Indah Kargo Logistik</v>
      </c>
      <c r="D857" s="3" t="s">
        <v>186</v>
      </c>
      <c r="E857" s="3" t="s">
        <v>85</v>
      </c>
      <c r="F857" s="3" t="s">
        <v>248</v>
      </c>
      <c r="G857" s="3" t="s">
        <v>63</v>
      </c>
      <c r="H857" s="3" t="str">
        <f t="array" ref="H857">XLOOKUP(G:G,'Account Manager Data'!A:A,'Account Manager Data'!B:B,0)</f>
        <v>Hendra Gunawan</v>
      </c>
      <c r="I857" s="11" t="str">
        <f t="array" ref="I857">XLOOKUP($G:$G,'Account Manager Data'!$A:$A,'Account Manager Data'!C:C)</f>
        <v>Kalimantan</v>
      </c>
      <c r="J857" s="17">
        <v>463614.0</v>
      </c>
      <c r="K857" s="17">
        <v>311188.0</v>
      </c>
      <c r="L857" s="17">
        <v>0.0</v>
      </c>
      <c r="M857" s="17">
        <v>8137623.0</v>
      </c>
      <c r="N857" s="17">
        <v>1.264027E7</v>
      </c>
      <c r="O857" s="17">
        <v>3790673.0</v>
      </c>
      <c r="P857" s="17">
        <v>7343147.0</v>
      </c>
      <c r="Q857" s="17">
        <v>0.0</v>
      </c>
      <c r="R857" s="17">
        <v>825038.0</v>
      </c>
      <c r="S857" s="17">
        <v>3467792.0</v>
      </c>
      <c r="T857" s="17">
        <v>4413050.0</v>
      </c>
      <c r="U857" s="17">
        <v>4808557.0</v>
      </c>
      <c r="V857" s="11">
        <f t="array" ref="V857">XLOOKUP(A:A,'Raw Revenue'!A:A,'Raw Revenue'!B:B,0)
</f>
        <v>0</v>
      </c>
      <c r="W857" s="11">
        <f t="array" ref="W857">XLOOKUP(A:A,'Raw Revenue'!C:C,'Raw Revenue'!D:D,0)</f>
        <v>0</v>
      </c>
      <c r="X857" s="11">
        <f t="array" ref="X857">XLOOKUP(A:A,'Raw Revenue'!E:E,'Raw Revenue'!F:F,0)</f>
        <v>0</v>
      </c>
      <c r="Y857" s="11">
        <f t="array" ref="Y857">XLOOKUP(A:A,'Raw Revenue'!G:G,'Raw Revenue'!H:H,0)</f>
        <v>0</v>
      </c>
      <c r="Z857" s="11">
        <f t="array" ref="Z857">XLOOKUP(A:A,'Raw Revenue'!I:I,'Raw Revenue'!J:J,0)</f>
        <v>0</v>
      </c>
      <c r="AA857" s="11">
        <f t="array" ref="AA857">XLOOKUP(A:A,'Raw Revenue'!K:K,'Raw Revenue'!L:L,0)</f>
        <v>0</v>
      </c>
      <c r="AB857" s="11">
        <f t="array" ref="AB857">XLOOKUP(A:A,'Raw Revenue'!M:M,'Raw Revenue'!N:N,0)</f>
        <v>0</v>
      </c>
      <c r="AC857" s="3">
        <v>0.0</v>
      </c>
      <c r="AD857" s="3">
        <v>0.0</v>
      </c>
      <c r="AE857" s="3">
        <v>0.0</v>
      </c>
      <c r="AF857" s="3">
        <v>0.0</v>
      </c>
      <c r="AG857" s="3">
        <v>0.0</v>
      </c>
    </row>
    <row r="858">
      <c r="A858" s="3" t="s">
        <v>1933</v>
      </c>
      <c r="B858" s="3" t="s">
        <v>1934</v>
      </c>
      <c r="C858" s="3" t="str">
        <f t="shared" si="1"/>
        <v>PT. Berkah Alam Semesta</v>
      </c>
      <c r="D858" s="3" t="s">
        <v>130</v>
      </c>
      <c r="E858" s="3" t="s">
        <v>104</v>
      </c>
      <c r="F858" s="3" t="s">
        <v>252</v>
      </c>
      <c r="G858" s="3" t="s">
        <v>35</v>
      </c>
      <c r="H858" s="3" t="str">
        <f t="array" ref="H858">XLOOKUP(G:G,'Account Manager Data'!A:A,'Account Manager Data'!B:B,0)</f>
        <v>Ahmad Fauzi</v>
      </c>
      <c r="I858" s="11" t="str">
        <f t="array" ref="I858">XLOOKUP($G:$G,'Account Manager Data'!$A:$A,'Account Manager Data'!C:C)</f>
        <v>Sumatera</v>
      </c>
      <c r="J858" s="17">
        <v>6025747.0</v>
      </c>
      <c r="K858" s="17">
        <v>5436301.0</v>
      </c>
      <c r="L858" s="17">
        <v>6562046.0</v>
      </c>
      <c r="M858" s="17">
        <v>0.0</v>
      </c>
      <c r="N858" s="17">
        <v>7932714.0</v>
      </c>
      <c r="O858" s="17">
        <v>1.4137834E7</v>
      </c>
      <c r="P858" s="17">
        <v>6913774.0</v>
      </c>
      <c r="Q858" s="17">
        <v>7947040.0</v>
      </c>
      <c r="R858" s="17">
        <v>6089416.0</v>
      </c>
      <c r="S858" s="17">
        <v>1822269.0</v>
      </c>
      <c r="T858" s="17">
        <v>8372260.0</v>
      </c>
      <c r="U858" s="17">
        <v>1.468148E7</v>
      </c>
      <c r="V858" s="11">
        <f t="array" ref="V858">XLOOKUP(A:A,'Raw Revenue'!A:A,'Raw Revenue'!B:B,0)
</f>
        <v>0</v>
      </c>
      <c r="W858" s="11">
        <f t="array" ref="W858">XLOOKUP(A:A,'Raw Revenue'!C:C,'Raw Revenue'!D:D,0)</f>
        <v>0</v>
      </c>
      <c r="X858" s="11">
        <f t="array" ref="X858">XLOOKUP(A:A,'Raw Revenue'!E:E,'Raw Revenue'!F:F,0)</f>
        <v>0</v>
      </c>
      <c r="Y858" s="11">
        <f t="array" ref="Y858">XLOOKUP(A:A,'Raw Revenue'!G:G,'Raw Revenue'!H:H,0)</f>
        <v>0</v>
      </c>
      <c r="Z858" s="11">
        <f t="array" ref="Z858">XLOOKUP(A:A,'Raw Revenue'!I:I,'Raw Revenue'!J:J,0)</f>
        <v>0</v>
      </c>
      <c r="AA858" s="11">
        <f t="array" ref="AA858">XLOOKUP(A:A,'Raw Revenue'!K:K,'Raw Revenue'!L:L,0)</f>
        <v>0</v>
      </c>
      <c r="AB858" s="11">
        <f t="array" ref="AB858">XLOOKUP(A:A,'Raw Revenue'!M:M,'Raw Revenue'!N:N,0)</f>
        <v>0</v>
      </c>
      <c r="AC858" s="3">
        <v>0.0</v>
      </c>
      <c r="AD858" s="3">
        <v>0.0</v>
      </c>
      <c r="AE858" s="3">
        <v>0.0</v>
      </c>
      <c r="AF858" s="3">
        <v>0.0</v>
      </c>
      <c r="AG858" s="3">
        <v>0.0</v>
      </c>
    </row>
    <row r="859">
      <c r="A859" s="3" t="s">
        <v>1935</v>
      </c>
      <c r="B859" s="3" t="s">
        <v>1936</v>
      </c>
      <c r="C859" s="3" t="str">
        <f t="shared" si="1"/>
        <v>PT. Cahaya Baru Indonesia</v>
      </c>
      <c r="D859" s="3" t="s">
        <v>195</v>
      </c>
      <c r="E859" s="3" t="s">
        <v>85</v>
      </c>
      <c r="F859" s="3" t="s">
        <v>86</v>
      </c>
      <c r="G859" s="3" t="s">
        <v>43</v>
      </c>
      <c r="H859" s="3" t="str">
        <f t="array" ref="H859">XLOOKUP(G:G,'Account Manager Data'!A:A,'Account Manager Data'!B:B,0)</f>
        <v>Eko Prasetyo</v>
      </c>
      <c r="I859" s="11" t="str">
        <f t="array" ref="I859">XLOOKUP($G:$G,'Account Manager Data'!$A:$A,'Account Manager Data'!C:C)</f>
        <v>Papua</v>
      </c>
      <c r="J859" s="17">
        <v>4625939.0</v>
      </c>
      <c r="K859" s="17">
        <v>3386635.0</v>
      </c>
      <c r="L859" s="17">
        <v>1.0523367E7</v>
      </c>
      <c r="M859" s="17">
        <v>1.0253454E7</v>
      </c>
      <c r="N859" s="17">
        <v>7526118.0</v>
      </c>
      <c r="O859" s="17">
        <v>4233348.0</v>
      </c>
      <c r="P859" s="17">
        <v>2629883.0</v>
      </c>
      <c r="Q859" s="17">
        <v>4656305.0</v>
      </c>
      <c r="R859" s="17">
        <v>9115106.0</v>
      </c>
      <c r="S859" s="17">
        <v>2135352.0</v>
      </c>
      <c r="T859" s="17">
        <v>8345570.0</v>
      </c>
      <c r="U859" s="17">
        <v>808700.0</v>
      </c>
      <c r="V859" s="11">
        <f t="array" ref="V859">XLOOKUP(A:A,'Raw Revenue'!A:A,'Raw Revenue'!B:B,0)
</f>
        <v>0</v>
      </c>
      <c r="W859" s="11">
        <f t="array" ref="W859">XLOOKUP(A:A,'Raw Revenue'!C:C,'Raw Revenue'!D:D,0)</f>
        <v>0</v>
      </c>
      <c r="X859" s="11">
        <f t="array" ref="X859">XLOOKUP(A:A,'Raw Revenue'!E:E,'Raw Revenue'!F:F,0)</f>
        <v>0</v>
      </c>
      <c r="Y859" s="11">
        <f t="array" ref="Y859">XLOOKUP(A:A,'Raw Revenue'!G:G,'Raw Revenue'!H:H,0)</f>
        <v>0</v>
      </c>
      <c r="Z859" s="11">
        <f t="array" ref="Z859">XLOOKUP(A:A,'Raw Revenue'!I:I,'Raw Revenue'!J:J,0)</f>
        <v>0</v>
      </c>
      <c r="AA859" s="11">
        <f t="array" ref="AA859">XLOOKUP(A:A,'Raw Revenue'!K:K,'Raw Revenue'!L:L,0)</f>
        <v>0</v>
      </c>
      <c r="AB859" s="11">
        <f t="array" ref="AB859">XLOOKUP(A:A,'Raw Revenue'!M:M,'Raw Revenue'!N:N,0)</f>
        <v>0</v>
      </c>
      <c r="AC859" s="3">
        <v>0.0</v>
      </c>
      <c r="AD859" s="3">
        <v>0.0</v>
      </c>
      <c r="AE859" s="3">
        <v>0.0</v>
      </c>
      <c r="AF859" s="3">
        <v>0.0</v>
      </c>
      <c r="AG859" s="3">
        <v>0.0</v>
      </c>
    </row>
    <row r="860">
      <c r="A860" s="3" t="s">
        <v>1937</v>
      </c>
      <c r="B860" s="3" t="s">
        <v>1938</v>
      </c>
      <c r="C860" s="3" t="str">
        <f t="shared" si="1"/>
        <v>PT. Mentari Pagi Sejahtera</v>
      </c>
      <c r="D860" s="3" t="s">
        <v>214</v>
      </c>
      <c r="E860" s="3" t="s">
        <v>215</v>
      </c>
      <c r="F860" s="3" t="s">
        <v>300</v>
      </c>
      <c r="G860" s="3" t="s">
        <v>74</v>
      </c>
      <c r="H860" s="3" t="str">
        <f t="array" ref="H860">XLOOKUP(G:G,'Account Manager Data'!A:A,'Account Manager Data'!B:B,0)</f>
        <v>Budi Santoso</v>
      </c>
      <c r="I860" s="11" t="str">
        <f t="array" ref="I860">XLOOKUP($G:$G,'Account Manager Data'!$A:$A,'Account Manager Data'!C:C)</f>
        <v>Papua</v>
      </c>
      <c r="J860" s="17">
        <v>4020415.0</v>
      </c>
      <c r="K860" s="17">
        <v>5322875.0</v>
      </c>
      <c r="L860" s="17">
        <v>1.0433585E7</v>
      </c>
      <c r="M860" s="17">
        <v>0.0</v>
      </c>
      <c r="N860" s="17">
        <v>295460.0</v>
      </c>
      <c r="O860" s="17">
        <v>8787762.0</v>
      </c>
      <c r="P860" s="17">
        <v>3956953.0</v>
      </c>
      <c r="Q860" s="17">
        <v>6598980.0</v>
      </c>
      <c r="R860" s="17">
        <v>6510128.0</v>
      </c>
      <c r="S860" s="17">
        <v>1.7242039E7</v>
      </c>
      <c r="T860" s="17">
        <v>0.0</v>
      </c>
      <c r="U860" s="17">
        <v>8517726.0</v>
      </c>
      <c r="V860" s="11">
        <f t="array" ref="V860">XLOOKUP(A:A,'Raw Revenue'!A:A,'Raw Revenue'!B:B,0)
</f>
        <v>0</v>
      </c>
      <c r="W860" s="11">
        <f t="array" ref="W860">XLOOKUP(A:A,'Raw Revenue'!C:C,'Raw Revenue'!D:D,0)</f>
        <v>0</v>
      </c>
      <c r="X860" s="11">
        <f t="array" ref="X860">XLOOKUP(A:A,'Raw Revenue'!E:E,'Raw Revenue'!F:F,0)</f>
        <v>0</v>
      </c>
      <c r="Y860" s="11">
        <f t="array" ref="Y860">XLOOKUP(A:A,'Raw Revenue'!G:G,'Raw Revenue'!H:H,0)</f>
        <v>0</v>
      </c>
      <c r="Z860" s="11">
        <f t="array" ref="Z860">XLOOKUP(A:A,'Raw Revenue'!I:I,'Raw Revenue'!J:J,0)</f>
        <v>0</v>
      </c>
      <c r="AA860" s="11">
        <f t="array" ref="AA860">XLOOKUP(A:A,'Raw Revenue'!K:K,'Raw Revenue'!L:L,0)</f>
        <v>0</v>
      </c>
      <c r="AB860" s="11">
        <f t="array" ref="AB860">XLOOKUP(A:A,'Raw Revenue'!M:M,'Raw Revenue'!N:N,0)</f>
        <v>0</v>
      </c>
      <c r="AC860" s="3">
        <v>0.0</v>
      </c>
      <c r="AD860" s="3">
        <v>0.0</v>
      </c>
      <c r="AE860" s="3">
        <v>0.0</v>
      </c>
      <c r="AF860" s="3">
        <v>0.0</v>
      </c>
      <c r="AG860" s="3">
        <v>0.0</v>
      </c>
    </row>
    <row r="861">
      <c r="A861" s="3" t="s">
        <v>1939</v>
      </c>
      <c r="B861" s="3" t="s">
        <v>1940</v>
      </c>
      <c r="C861" s="3" t="str">
        <f t="shared" si="1"/>
        <v>PT. Bintang Kejora Nusantara</v>
      </c>
      <c r="D861" s="3" t="s">
        <v>130</v>
      </c>
      <c r="E861" s="3" t="s">
        <v>196</v>
      </c>
      <c r="F861" s="3" t="s">
        <v>260</v>
      </c>
      <c r="G861" s="3" t="s">
        <v>76</v>
      </c>
      <c r="H861" s="3" t="str">
        <f t="array" ref="H861">XLOOKUP(G:G,'Account Manager Data'!A:A,'Account Manager Data'!B:B,0)</f>
        <v>Teguh Wijaya</v>
      </c>
      <c r="I861" s="11" t="str">
        <f t="array" ref="I861">XLOOKUP($G:$G,'Account Manager Data'!$A:$A,'Account Manager Data'!C:C)</f>
        <v>Sulawesi</v>
      </c>
      <c r="J861" s="17">
        <v>90873.0</v>
      </c>
      <c r="K861" s="17">
        <v>1328801.0</v>
      </c>
      <c r="L861" s="17">
        <v>6870443.0</v>
      </c>
      <c r="M861" s="17">
        <v>0.0</v>
      </c>
      <c r="N861" s="17">
        <v>1.3436935E7</v>
      </c>
      <c r="O861" s="17">
        <v>2536820.0</v>
      </c>
      <c r="P861" s="17">
        <v>1.4449516E7</v>
      </c>
      <c r="Q861" s="17">
        <v>1.358834E7</v>
      </c>
      <c r="R861" s="17">
        <v>8595375.0</v>
      </c>
      <c r="S861" s="17">
        <v>5797607.0</v>
      </c>
      <c r="T861" s="17">
        <v>8878223.0</v>
      </c>
      <c r="U861" s="17">
        <v>1.8223681E7</v>
      </c>
      <c r="V861" s="11">
        <f t="array" ref="V861">XLOOKUP(A:A,'Raw Revenue'!A:A,'Raw Revenue'!B:B,0)
</f>
        <v>0</v>
      </c>
      <c r="W861" s="11">
        <f t="array" ref="W861">XLOOKUP(A:A,'Raw Revenue'!C:C,'Raw Revenue'!D:D,0)</f>
        <v>0</v>
      </c>
      <c r="X861" s="11">
        <f t="array" ref="X861">XLOOKUP(A:A,'Raw Revenue'!E:E,'Raw Revenue'!F:F,0)</f>
        <v>0</v>
      </c>
      <c r="Y861" s="11">
        <f t="array" ref="Y861">XLOOKUP(A:A,'Raw Revenue'!G:G,'Raw Revenue'!H:H,0)</f>
        <v>0</v>
      </c>
      <c r="Z861" s="11">
        <f t="array" ref="Z861">XLOOKUP(A:A,'Raw Revenue'!I:I,'Raw Revenue'!J:J,0)</f>
        <v>0</v>
      </c>
      <c r="AA861" s="11">
        <f t="array" ref="AA861">XLOOKUP(A:A,'Raw Revenue'!K:K,'Raw Revenue'!L:L,0)</f>
        <v>0</v>
      </c>
      <c r="AB861" s="11">
        <f t="array" ref="AB861">XLOOKUP(A:A,'Raw Revenue'!M:M,'Raw Revenue'!N:N,0)</f>
        <v>0</v>
      </c>
      <c r="AC861" s="3">
        <v>0.0</v>
      </c>
      <c r="AD861" s="3">
        <v>0.0</v>
      </c>
      <c r="AE861" s="3">
        <v>0.0</v>
      </c>
      <c r="AF861" s="3">
        <v>0.0</v>
      </c>
      <c r="AG861" s="3">
        <v>0.0</v>
      </c>
    </row>
    <row r="862">
      <c r="A862" s="3" t="s">
        <v>1941</v>
      </c>
      <c r="B862" s="3" t="s">
        <v>1942</v>
      </c>
      <c r="C862" s="3" t="str">
        <f t="shared" si="1"/>
        <v>PT. Maju Jaya</v>
      </c>
      <c r="D862" s="3" t="s">
        <v>84</v>
      </c>
      <c r="E862" s="3" t="s">
        <v>215</v>
      </c>
      <c r="F862" s="3" t="s">
        <v>216</v>
      </c>
      <c r="G862" s="3" t="s">
        <v>70</v>
      </c>
      <c r="H862" s="3" t="str">
        <f t="array" ref="H862">XLOOKUP(G:G,'Account Manager Data'!A:A,'Account Manager Data'!B:B,0)</f>
        <v>Yusuf Hidayat</v>
      </c>
      <c r="I862" s="11" t="str">
        <f t="array" ref="I862">XLOOKUP($G:$G,'Account Manager Data'!$A:$A,'Account Manager Data'!C:C)</f>
        <v>Sumatera</v>
      </c>
      <c r="J862" s="17">
        <v>4146358.0</v>
      </c>
      <c r="K862" s="17">
        <v>5818757.0</v>
      </c>
      <c r="L862" s="17">
        <v>6114299.0</v>
      </c>
      <c r="M862" s="17">
        <v>5117644.0</v>
      </c>
      <c r="N862" s="17">
        <v>1.4040324E7</v>
      </c>
      <c r="O862" s="17">
        <v>9317885.0</v>
      </c>
      <c r="P862" s="17">
        <v>6992334.0</v>
      </c>
      <c r="Q862" s="17">
        <v>2489076.0</v>
      </c>
      <c r="R862" s="17">
        <v>0.0</v>
      </c>
      <c r="S862" s="17">
        <v>1.3590711E7</v>
      </c>
      <c r="T862" s="17">
        <v>1.4077121E7</v>
      </c>
      <c r="U862" s="17">
        <v>0.0</v>
      </c>
      <c r="V862" s="11">
        <f t="array" ref="V862">XLOOKUP(A:A,'Raw Revenue'!A:A,'Raw Revenue'!B:B,0)
</f>
        <v>0</v>
      </c>
      <c r="W862" s="11">
        <f t="array" ref="W862">XLOOKUP(A:A,'Raw Revenue'!C:C,'Raw Revenue'!D:D,0)</f>
        <v>0</v>
      </c>
      <c r="X862" s="11">
        <f t="array" ref="X862">XLOOKUP(A:A,'Raw Revenue'!E:E,'Raw Revenue'!F:F,0)</f>
        <v>0</v>
      </c>
      <c r="Y862" s="11">
        <f t="array" ref="Y862">XLOOKUP(A:A,'Raw Revenue'!G:G,'Raw Revenue'!H:H,0)</f>
        <v>0</v>
      </c>
      <c r="Z862" s="11">
        <f t="array" ref="Z862">XLOOKUP(A:A,'Raw Revenue'!I:I,'Raw Revenue'!J:J,0)</f>
        <v>0</v>
      </c>
      <c r="AA862" s="11">
        <f t="array" ref="AA862">XLOOKUP(A:A,'Raw Revenue'!K:K,'Raw Revenue'!L:L,0)</f>
        <v>0</v>
      </c>
      <c r="AB862" s="11">
        <f t="array" ref="AB862">XLOOKUP(A:A,'Raw Revenue'!M:M,'Raw Revenue'!N:N,0)</f>
        <v>0</v>
      </c>
      <c r="AC862" s="3">
        <v>0.0</v>
      </c>
      <c r="AD862" s="3">
        <v>0.0</v>
      </c>
      <c r="AE862" s="3">
        <v>0.0</v>
      </c>
      <c r="AF862" s="3">
        <v>0.0</v>
      </c>
      <c r="AG862" s="3">
        <v>0.0</v>
      </c>
    </row>
    <row r="863">
      <c r="A863" s="3" t="s">
        <v>1943</v>
      </c>
      <c r="B863" s="3" t="s">
        <v>1944</v>
      </c>
      <c r="C863" s="3" t="str">
        <f t="shared" si="1"/>
        <v>CV. Sumber Makmur</v>
      </c>
      <c r="D863" s="3" t="s">
        <v>195</v>
      </c>
      <c r="E863" s="3" t="s">
        <v>187</v>
      </c>
      <c r="F863" s="3" t="s">
        <v>269</v>
      </c>
      <c r="G863" s="3" t="s">
        <v>15</v>
      </c>
      <c r="H863" s="3" t="str">
        <f t="array" ref="H863">XLOOKUP(G:G,'Account Manager Data'!A:A,'Account Manager Data'!B:B,0)</f>
        <v>Rizky Maulana</v>
      </c>
      <c r="I863" s="11" t="str">
        <f t="array" ref="I863">XLOOKUP($G:$G,'Account Manager Data'!$A:$A,'Account Manager Data'!C:C)</f>
        <v>Jawa</v>
      </c>
      <c r="J863" s="17">
        <v>5803425.0</v>
      </c>
      <c r="K863" s="17">
        <v>3903076.0</v>
      </c>
      <c r="L863" s="17">
        <v>9371206.0</v>
      </c>
      <c r="M863" s="17">
        <v>3254501.0</v>
      </c>
      <c r="N863" s="17">
        <v>6619742.0</v>
      </c>
      <c r="O863" s="17">
        <v>0.0</v>
      </c>
      <c r="P863" s="17">
        <v>1.203171E7</v>
      </c>
      <c r="Q863" s="17">
        <v>1314093.0</v>
      </c>
      <c r="R863" s="17">
        <v>0.0</v>
      </c>
      <c r="S863" s="17">
        <v>7420143.0</v>
      </c>
      <c r="T863" s="17">
        <v>1.2671896E7</v>
      </c>
      <c r="U863" s="17">
        <v>1.0065802E7</v>
      </c>
      <c r="V863" s="11">
        <f t="array" ref="V863">XLOOKUP(A:A,'Raw Revenue'!A:A,'Raw Revenue'!B:B,0)
</f>
        <v>0</v>
      </c>
      <c r="W863" s="11">
        <f t="array" ref="W863">XLOOKUP(A:A,'Raw Revenue'!C:C,'Raw Revenue'!D:D,0)</f>
        <v>0</v>
      </c>
      <c r="X863" s="11">
        <f t="array" ref="X863">XLOOKUP(A:A,'Raw Revenue'!E:E,'Raw Revenue'!F:F,0)</f>
        <v>0</v>
      </c>
      <c r="Y863" s="11">
        <f t="array" ref="Y863">XLOOKUP(A:A,'Raw Revenue'!G:G,'Raw Revenue'!H:H,0)</f>
        <v>0</v>
      </c>
      <c r="Z863" s="11">
        <f t="array" ref="Z863">XLOOKUP(A:A,'Raw Revenue'!I:I,'Raw Revenue'!J:J,0)</f>
        <v>0</v>
      </c>
      <c r="AA863" s="11">
        <f t="array" ref="AA863">XLOOKUP(A:A,'Raw Revenue'!K:K,'Raw Revenue'!L:L,0)</f>
        <v>0</v>
      </c>
      <c r="AB863" s="11">
        <f t="array" ref="AB863">XLOOKUP(A:A,'Raw Revenue'!M:M,'Raw Revenue'!N:N,0)</f>
        <v>0</v>
      </c>
      <c r="AC863" s="3">
        <v>0.0</v>
      </c>
      <c r="AD863" s="3">
        <v>0.0</v>
      </c>
      <c r="AE863" s="3">
        <v>0.0</v>
      </c>
      <c r="AF863" s="3">
        <v>0.0</v>
      </c>
      <c r="AG863" s="3">
        <v>0.0</v>
      </c>
    </row>
    <row r="864">
      <c r="A864" s="3" t="s">
        <v>1945</v>
      </c>
      <c r="B864" s="3" t="s">
        <v>1946</v>
      </c>
      <c r="C864" s="3" t="str">
        <f t="shared" si="1"/>
        <v>PT. Teknologi Nusantara</v>
      </c>
      <c r="D864" s="3" t="s">
        <v>214</v>
      </c>
      <c r="E864" s="3" t="s">
        <v>187</v>
      </c>
      <c r="F864" s="3" t="s">
        <v>269</v>
      </c>
      <c r="G864" s="3" t="s">
        <v>27</v>
      </c>
      <c r="H864" s="3" t="str">
        <f t="array" ref="H864">XLOOKUP(G:G,'Account Manager Data'!A:A,'Account Manager Data'!B:B,0)</f>
        <v>Dedi Kurniawan</v>
      </c>
      <c r="I864" s="11" t="str">
        <f t="array" ref="I864">XLOOKUP($G:$G,'Account Manager Data'!$A:$A,'Account Manager Data'!C:C)</f>
        <v>Kalimantan</v>
      </c>
      <c r="J864" s="17">
        <v>304234.0</v>
      </c>
      <c r="K864" s="17">
        <v>2913408.0</v>
      </c>
      <c r="L864" s="17">
        <v>4415801.0</v>
      </c>
      <c r="M864" s="17">
        <v>8832251.0</v>
      </c>
      <c r="N864" s="17">
        <v>1564401.0</v>
      </c>
      <c r="O864" s="17">
        <v>6070131.0</v>
      </c>
      <c r="P864" s="17">
        <v>5077973.0</v>
      </c>
      <c r="Q864" s="17">
        <v>8146035.0</v>
      </c>
      <c r="R864" s="17">
        <v>6592781.0</v>
      </c>
      <c r="S864" s="17">
        <v>8228791.0</v>
      </c>
      <c r="T864" s="17">
        <v>1.4729654E7</v>
      </c>
      <c r="U864" s="17">
        <v>7268486.0</v>
      </c>
      <c r="V864" s="11">
        <f t="array" ref="V864">XLOOKUP(A:A,'Raw Revenue'!A:A,'Raw Revenue'!B:B,0)
</f>
        <v>0</v>
      </c>
      <c r="W864" s="11">
        <f t="array" ref="W864">XLOOKUP(A:A,'Raw Revenue'!C:C,'Raw Revenue'!D:D,0)</f>
        <v>0</v>
      </c>
      <c r="X864" s="11">
        <f t="array" ref="X864">XLOOKUP(A:A,'Raw Revenue'!E:E,'Raw Revenue'!F:F,0)</f>
        <v>0</v>
      </c>
      <c r="Y864" s="11">
        <f t="array" ref="Y864">XLOOKUP(A:A,'Raw Revenue'!G:G,'Raw Revenue'!H:H,0)</f>
        <v>0</v>
      </c>
      <c r="Z864" s="11">
        <f t="array" ref="Z864">XLOOKUP(A:A,'Raw Revenue'!I:I,'Raw Revenue'!J:J,0)</f>
        <v>0</v>
      </c>
      <c r="AA864" s="11">
        <f t="array" ref="AA864">XLOOKUP(A:A,'Raw Revenue'!K:K,'Raw Revenue'!L:L,0)</f>
        <v>0</v>
      </c>
      <c r="AB864" s="11">
        <f t="array" ref="AB864">XLOOKUP(A:A,'Raw Revenue'!M:M,'Raw Revenue'!N:N,0)</f>
        <v>0</v>
      </c>
      <c r="AC864" s="3">
        <v>0.0</v>
      </c>
      <c r="AD864" s="3">
        <v>0.0</v>
      </c>
      <c r="AE864" s="3">
        <v>0.0</v>
      </c>
      <c r="AF864" s="3">
        <v>0.0</v>
      </c>
      <c r="AG864" s="3">
        <v>0.0</v>
      </c>
    </row>
    <row r="865">
      <c r="A865" s="3" t="s">
        <v>1947</v>
      </c>
      <c r="B865" s="3" t="s">
        <v>1948</v>
      </c>
      <c r="C865" s="3" t="str">
        <f t="shared" si="1"/>
        <v>PT. Bakti Indonesia</v>
      </c>
      <c r="D865" s="3" t="s">
        <v>130</v>
      </c>
      <c r="E865" s="3" t="s">
        <v>85</v>
      </c>
      <c r="F865" s="3" t="s">
        <v>86</v>
      </c>
      <c r="G865" s="3" t="s">
        <v>78</v>
      </c>
      <c r="H865" s="3" t="str">
        <f t="array" ref="H865">XLOOKUP(G:G,'Account Manager Data'!A:A,'Account Manager Data'!B:B,0)</f>
        <v>Ilham Saputra</v>
      </c>
      <c r="I865" s="11" t="str">
        <f t="array" ref="I865">XLOOKUP($G:$G,'Account Manager Data'!$A:$A,'Account Manager Data'!C:C)</f>
        <v>Jawa</v>
      </c>
      <c r="J865" s="17">
        <v>2189811.0</v>
      </c>
      <c r="K865" s="17">
        <v>5609193.0</v>
      </c>
      <c r="L865" s="17">
        <v>6377700.0</v>
      </c>
      <c r="M865" s="17">
        <v>1.1626899E7</v>
      </c>
      <c r="N865" s="17">
        <v>1.1402044E7</v>
      </c>
      <c r="O865" s="17">
        <v>4827141.0</v>
      </c>
      <c r="P865" s="17">
        <v>1.1133198E7</v>
      </c>
      <c r="Q865" s="17">
        <v>9291525.0</v>
      </c>
      <c r="R865" s="17">
        <v>1.5488955E7</v>
      </c>
      <c r="S865" s="17">
        <v>9923153.0</v>
      </c>
      <c r="T865" s="17">
        <v>0.0</v>
      </c>
      <c r="U865" s="17">
        <v>8999272.0</v>
      </c>
      <c r="V865" s="11">
        <f t="array" ref="V865">XLOOKUP(A:A,'Raw Revenue'!A:A,'Raw Revenue'!B:B,0)
</f>
        <v>0</v>
      </c>
      <c r="W865" s="11">
        <f t="array" ref="W865">XLOOKUP(A:A,'Raw Revenue'!C:C,'Raw Revenue'!D:D,0)</f>
        <v>0</v>
      </c>
      <c r="X865" s="11">
        <f t="array" ref="X865">XLOOKUP(A:A,'Raw Revenue'!E:E,'Raw Revenue'!F:F,0)</f>
        <v>0</v>
      </c>
      <c r="Y865" s="11">
        <f t="array" ref="Y865">XLOOKUP(A:A,'Raw Revenue'!G:G,'Raw Revenue'!H:H,0)</f>
        <v>0</v>
      </c>
      <c r="Z865" s="11">
        <f t="array" ref="Z865">XLOOKUP(A:A,'Raw Revenue'!I:I,'Raw Revenue'!J:J,0)</f>
        <v>0</v>
      </c>
      <c r="AA865" s="11">
        <f t="array" ref="AA865">XLOOKUP(A:A,'Raw Revenue'!K:K,'Raw Revenue'!L:L,0)</f>
        <v>0</v>
      </c>
      <c r="AB865" s="11">
        <f t="array" ref="AB865">XLOOKUP(A:A,'Raw Revenue'!M:M,'Raw Revenue'!N:N,0)</f>
        <v>0</v>
      </c>
      <c r="AC865" s="3">
        <v>0.0</v>
      </c>
      <c r="AD865" s="3">
        <v>0.0</v>
      </c>
      <c r="AE865" s="3">
        <v>0.0</v>
      </c>
      <c r="AF865" s="3">
        <v>0.0</v>
      </c>
      <c r="AG865" s="3">
        <v>0.0</v>
      </c>
    </row>
    <row r="866">
      <c r="A866" s="3" t="s">
        <v>1949</v>
      </c>
      <c r="B866" s="3" t="s">
        <v>1950</v>
      </c>
      <c r="C866" s="3" t="str">
        <f t="shared" si="1"/>
        <v>CV. Amanah Sejahtera</v>
      </c>
      <c r="D866" s="3" t="s">
        <v>84</v>
      </c>
      <c r="E866" s="3" t="s">
        <v>196</v>
      </c>
      <c r="F866" s="3" t="s">
        <v>197</v>
      </c>
      <c r="G866" s="3" t="s">
        <v>53</v>
      </c>
      <c r="H866" s="3" t="str">
        <f t="array" ref="H866">XLOOKUP(G:G,'Account Manager Data'!A:A,'Account Manager Data'!B:B,0)</f>
        <v>Fajar Ramadhan</v>
      </c>
      <c r="I866" s="11" t="str">
        <f t="array" ref="I866">XLOOKUP($G:$G,'Account Manager Data'!$A:$A,'Account Manager Data'!C:C)</f>
        <v>Sulawesi</v>
      </c>
      <c r="J866" s="17">
        <v>1735959.0</v>
      </c>
      <c r="K866" s="17">
        <v>0.0</v>
      </c>
      <c r="L866" s="17">
        <v>7210353.0</v>
      </c>
      <c r="M866" s="17">
        <v>1557075.0</v>
      </c>
      <c r="N866" s="17">
        <v>1.1087524E7</v>
      </c>
      <c r="O866" s="17">
        <v>5178711.0</v>
      </c>
      <c r="P866" s="17">
        <v>4494502.0</v>
      </c>
      <c r="Q866" s="17">
        <v>1.1460757E7</v>
      </c>
      <c r="R866" s="17">
        <v>4049651.0</v>
      </c>
      <c r="S866" s="17">
        <v>2876203.0</v>
      </c>
      <c r="T866" s="17">
        <v>6525428.0</v>
      </c>
      <c r="U866" s="17">
        <v>5162976.0</v>
      </c>
      <c r="V866" s="11">
        <f t="array" ref="V866">XLOOKUP(A:A,'Raw Revenue'!A:A,'Raw Revenue'!B:B,0)
</f>
        <v>0</v>
      </c>
      <c r="W866" s="11">
        <f t="array" ref="W866">XLOOKUP(A:A,'Raw Revenue'!C:C,'Raw Revenue'!D:D,0)</f>
        <v>0</v>
      </c>
      <c r="X866" s="11">
        <f t="array" ref="X866">XLOOKUP(A:A,'Raw Revenue'!E:E,'Raw Revenue'!F:F,0)</f>
        <v>0</v>
      </c>
      <c r="Y866" s="11">
        <f t="array" ref="Y866">XLOOKUP(A:A,'Raw Revenue'!G:G,'Raw Revenue'!H:H,0)</f>
        <v>0</v>
      </c>
      <c r="Z866" s="11">
        <f t="array" ref="Z866">XLOOKUP(A:A,'Raw Revenue'!I:I,'Raw Revenue'!J:J,0)</f>
        <v>0</v>
      </c>
      <c r="AA866" s="11">
        <f t="array" ref="AA866">XLOOKUP(A:A,'Raw Revenue'!K:K,'Raw Revenue'!L:L,0)</f>
        <v>0</v>
      </c>
      <c r="AB866" s="11">
        <f t="array" ref="AB866">XLOOKUP(A:A,'Raw Revenue'!M:M,'Raw Revenue'!N:N,0)</f>
        <v>0</v>
      </c>
      <c r="AC866" s="3">
        <v>0.0</v>
      </c>
      <c r="AD866" s="3">
        <v>0.0</v>
      </c>
      <c r="AE866" s="3">
        <v>0.0</v>
      </c>
      <c r="AF866" s="3">
        <v>0.0</v>
      </c>
      <c r="AG866" s="3">
        <v>0.0</v>
      </c>
    </row>
    <row r="867">
      <c r="A867" s="3" t="s">
        <v>1951</v>
      </c>
      <c r="B867" s="3" t="s">
        <v>1952</v>
      </c>
      <c r="C867" s="3" t="str">
        <f t="shared" si="1"/>
        <v>PT. Digital Solusi Pratama</v>
      </c>
      <c r="D867" s="3" t="s">
        <v>214</v>
      </c>
      <c r="E867" s="3" t="s">
        <v>187</v>
      </c>
      <c r="F867" s="3" t="s">
        <v>188</v>
      </c>
      <c r="G867" s="3" t="s">
        <v>63</v>
      </c>
      <c r="H867" s="3" t="str">
        <f t="array" ref="H867">XLOOKUP(G:G,'Account Manager Data'!A:A,'Account Manager Data'!B:B,0)</f>
        <v>Hendra Gunawan</v>
      </c>
      <c r="I867" s="11" t="str">
        <f t="array" ref="I867">XLOOKUP($G:$G,'Account Manager Data'!$A:$A,'Account Manager Data'!C:C)</f>
        <v>Kalimantan</v>
      </c>
      <c r="J867" s="17">
        <v>1624124.0</v>
      </c>
      <c r="K867" s="17">
        <v>6856441.0</v>
      </c>
      <c r="L867" s="17">
        <v>5867338.0</v>
      </c>
      <c r="M867" s="17">
        <v>0.0</v>
      </c>
      <c r="N867" s="17">
        <v>4665106.0</v>
      </c>
      <c r="O867" s="17">
        <v>1711260.0</v>
      </c>
      <c r="P867" s="17">
        <v>215726.0</v>
      </c>
      <c r="Q867" s="17">
        <v>1.2207238E7</v>
      </c>
      <c r="R867" s="17">
        <v>1.2658243E7</v>
      </c>
      <c r="S867" s="17">
        <v>5113586.0</v>
      </c>
      <c r="T867" s="17">
        <v>8920786.0</v>
      </c>
      <c r="U867" s="17">
        <v>4215099.0</v>
      </c>
      <c r="V867" s="11">
        <f t="array" ref="V867">XLOOKUP(A:A,'Raw Revenue'!A:A,'Raw Revenue'!B:B,0)
</f>
        <v>0</v>
      </c>
      <c r="W867" s="11">
        <f t="array" ref="W867">XLOOKUP(A:A,'Raw Revenue'!C:C,'Raw Revenue'!D:D,0)</f>
        <v>0</v>
      </c>
      <c r="X867" s="11">
        <f t="array" ref="X867">XLOOKUP(A:A,'Raw Revenue'!E:E,'Raw Revenue'!F:F,0)</f>
        <v>0</v>
      </c>
      <c r="Y867" s="11">
        <f t="array" ref="Y867">XLOOKUP(A:A,'Raw Revenue'!G:G,'Raw Revenue'!H:H,0)</f>
        <v>0</v>
      </c>
      <c r="Z867" s="11">
        <f t="array" ref="Z867">XLOOKUP(A:A,'Raw Revenue'!I:I,'Raw Revenue'!J:J,0)</f>
        <v>0</v>
      </c>
      <c r="AA867" s="11">
        <f t="array" ref="AA867">XLOOKUP(A:A,'Raw Revenue'!K:K,'Raw Revenue'!L:L,0)</f>
        <v>0</v>
      </c>
      <c r="AB867" s="11">
        <f t="array" ref="AB867">XLOOKUP(A:A,'Raw Revenue'!M:M,'Raw Revenue'!N:N,0)</f>
        <v>0</v>
      </c>
      <c r="AC867" s="3">
        <v>0.0</v>
      </c>
      <c r="AD867" s="3">
        <v>0.0</v>
      </c>
      <c r="AE867" s="3">
        <v>0.0</v>
      </c>
      <c r="AF867" s="3">
        <v>0.0</v>
      </c>
      <c r="AG867" s="3">
        <v>0.0</v>
      </c>
    </row>
    <row r="868">
      <c r="A868" s="3" t="s">
        <v>1953</v>
      </c>
      <c r="B868" s="3" t="s">
        <v>1954</v>
      </c>
      <c r="C868" s="3" t="str">
        <f t="shared" si="1"/>
        <v>PT. Global Niaga Abadi</v>
      </c>
      <c r="D868" s="3" t="s">
        <v>130</v>
      </c>
      <c r="E868" s="3" t="s">
        <v>215</v>
      </c>
      <c r="F868" s="3" t="s">
        <v>300</v>
      </c>
      <c r="G868" s="3" t="s">
        <v>35</v>
      </c>
      <c r="H868" s="3" t="str">
        <f t="array" ref="H868">XLOOKUP(G:G,'Account Manager Data'!A:A,'Account Manager Data'!B:B,0)</f>
        <v>Ahmad Fauzi</v>
      </c>
      <c r="I868" s="11" t="str">
        <f t="array" ref="I868">XLOOKUP($G:$G,'Account Manager Data'!$A:$A,'Account Manager Data'!C:C)</f>
        <v>Sumatera</v>
      </c>
      <c r="J868" s="17">
        <v>4738525.0</v>
      </c>
      <c r="K868" s="17">
        <v>8263581.0</v>
      </c>
      <c r="L868" s="17">
        <v>9417260.0</v>
      </c>
      <c r="M868" s="17">
        <v>4561315.0</v>
      </c>
      <c r="N868" s="17">
        <v>6418651.0</v>
      </c>
      <c r="O868" s="17">
        <v>8015639.0</v>
      </c>
      <c r="P868" s="17">
        <v>3475071.0</v>
      </c>
      <c r="Q868" s="17">
        <v>4067861.0</v>
      </c>
      <c r="R868" s="17">
        <v>1.7273159E7</v>
      </c>
      <c r="S868" s="17">
        <v>6594187.0</v>
      </c>
      <c r="T868" s="17">
        <v>1.6188473E7</v>
      </c>
      <c r="U868" s="17">
        <v>7750233.0</v>
      </c>
      <c r="V868" s="11">
        <f t="array" ref="V868">XLOOKUP(A:A,'Raw Revenue'!A:A,'Raw Revenue'!B:B,0)
</f>
        <v>0</v>
      </c>
      <c r="W868" s="11">
        <f t="array" ref="W868">XLOOKUP(A:A,'Raw Revenue'!C:C,'Raw Revenue'!D:D,0)</f>
        <v>0</v>
      </c>
      <c r="X868" s="11">
        <f t="array" ref="X868">XLOOKUP(A:A,'Raw Revenue'!E:E,'Raw Revenue'!F:F,0)</f>
        <v>0</v>
      </c>
      <c r="Y868" s="11">
        <f t="array" ref="Y868">XLOOKUP(A:A,'Raw Revenue'!G:G,'Raw Revenue'!H:H,0)</f>
        <v>0</v>
      </c>
      <c r="Z868" s="11">
        <f t="array" ref="Z868">XLOOKUP(A:A,'Raw Revenue'!I:I,'Raw Revenue'!J:J,0)</f>
        <v>0</v>
      </c>
      <c r="AA868" s="11">
        <f t="array" ref="AA868">XLOOKUP(A:A,'Raw Revenue'!K:K,'Raw Revenue'!L:L,0)</f>
        <v>0</v>
      </c>
      <c r="AB868" s="11">
        <f t="array" ref="AB868">XLOOKUP(A:A,'Raw Revenue'!M:M,'Raw Revenue'!N:N,0)</f>
        <v>0</v>
      </c>
      <c r="AC868" s="3">
        <v>0.0</v>
      </c>
      <c r="AD868" s="3">
        <v>0.0</v>
      </c>
      <c r="AE868" s="3">
        <v>0.0</v>
      </c>
      <c r="AF868" s="3">
        <v>0.0</v>
      </c>
      <c r="AG868" s="3">
        <v>0.0</v>
      </c>
    </row>
    <row r="869">
      <c r="A869" s="3" t="s">
        <v>1955</v>
      </c>
      <c r="B869" s="3" t="s">
        <v>1956</v>
      </c>
      <c r="C869" s="3" t="str">
        <f t="shared" si="1"/>
        <v>PT. Indo Makmur Sentosa</v>
      </c>
      <c r="D869" s="3" t="s">
        <v>214</v>
      </c>
      <c r="E869" s="3" t="s">
        <v>187</v>
      </c>
      <c r="F869" s="3" t="s">
        <v>188</v>
      </c>
      <c r="G869" s="3" t="s">
        <v>74</v>
      </c>
      <c r="H869" s="3" t="str">
        <f t="array" ref="H869">XLOOKUP(G:G,'Account Manager Data'!A:A,'Account Manager Data'!B:B,0)</f>
        <v>Budi Santoso</v>
      </c>
      <c r="I869" s="11" t="str">
        <f t="array" ref="I869">XLOOKUP($G:$G,'Account Manager Data'!$A:$A,'Account Manager Data'!C:C)</f>
        <v>Papua</v>
      </c>
      <c r="J869" s="17">
        <v>1885787.0</v>
      </c>
      <c r="K869" s="17">
        <v>4686214.0</v>
      </c>
      <c r="L869" s="17">
        <v>8581134.0</v>
      </c>
      <c r="M869" s="17">
        <v>4928161.0</v>
      </c>
      <c r="N869" s="17">
        <v>5243765.0</v>
      </c>
      <c r="O869" s="17">
        <v>4441438.0</v>
      </c>
      <c r="P869" s="17">
        <v>9664320.0</v>
      </c>
      <c r="Q869" s="17">
        <v>9514689.0</v>
      </c>
      <c r="R869" s="17">
        <v>4417068.0</v>
      </c>
      <c r="S869" s="17">
        <v>1.5738559E7</v>
      </c>
      <c r="T869" s="17">
        <v>1.6282906E7</v>
      </c>
      <c r="U869" s="17">
        <v>1.3576505E7</v>
      </c>
      <c r="V869" s="11">
        <f t="array" ref="V869">XLOOKUP(A:A,'Raw Revenue'!A:A,'Raw Revenue'!B:B,0)
</f>
        <v>0</v>
      </c>
      <c r="W869" s="11">
        <f t="array" ref="W869">XLOOKUP(A:A,'Raw Revenue'!C:C,'Raw Revenue'!D:D,0)</f>
        <v>0</v>
      </c>
      <c r="X869" s="11">
        <f t="array" ref="X869">XLOOKUP(A:A,'Raw Revenue'!E:E,'Raw Revenue'!F:F,0)</f>
        <v>0</v>
      </c>
      <c r="Y869" s="11">
        <f t="array" ref="Y869">XLOOKUP(A:A,'Raw Revenue'!G:G,'Raw Revenue'!H:H,0)</f>
        <v>0</v>
      </c>
      <c r="Z869" s="11">
        <f t="array" ref="Z869">XLOOKUP(A:A,'Raw Revenue'!I:I,'Raw Revenue'!J:J,0)</f>
        <v>0</v>
      </c>
      <c r="AA869" s="11">
        <f t="array" ref="AA869">XLOOKUP(A:A,'Raw Revenue'!K:K,'Raw Revenue'!L:L,0)</f>
        <v>0</v>
      </c>
      <c r="AB869" s="11">
        <f t="array" ref="AB869">XLOOKUP(A:A,'Raw Revenue'!M:M,'Raw Revenue'!N:N,0)</f>
        <v>0</v>
      </c>
      <c r="AC869" s="3">
        <v>0.0</v>
      </c>
      <c r="AD869" s="3">
        <v>0.0</v>
      </c>
      <c r="AE869" s="3">
        <v>0.0</v>
      </c>
      <c r="AF869" s="3">
        <v>0.0</v>
      </c>
      <c r="AG869" s="3">
        <v>0.0</v>
      </c>
    </row>
    <row r="870">
      <c r="A870" s="3" t="s">
        <v>1957</v>
      </c>
      <c r="B870" s="3" t="s">
        <v>1958</v>
      </c>
      <c r="C870" s="3" t="str">
        <f t="shared" si="1"/>
        <v>PT. Citra Mandiri Utama</v>
      </c>
      <c r="D870" s="3" t="s">
        <v>130</v>
      </c>
      <c r="E870" s="3" t="s">
        <v>187</v>
      </c>
      <c r="F870" s="3" t="s">
        <v>295</v>
      </c>
      <c r="G870" s="3" t="s">
        <v>43</v>
      </c>
      <c r="H870" s="3" t="str">
        <f t="array" ref="H870">XLOOKUP(G:G,'Account Manager Data'!A:A,'Account Manager Data'!B:B,0)</f>
        <v>Eko Prasetyo</v>
      </c>
      <c r="I870" s="11" t="str">
        <f t="array" ref="I870">XLOOKUP($G:$G,'Account Manager Data'!$A:$A,'Account Manager Data'!C:C)</f>
        <v>Papua</v>
      </c>
      <c r="J870" s="17">
        <v>7067108.0</v>
      </c>
      <c r="K870" s="17">
        <v>3712535.0</v>
      </c>
      <c r="L870" s="17">
        <v>1268175.0</v>
      </c>
      <c r="M870" s="17">
        <v>8365957.0</v>
      </c>
      <c r="N870" s="17">
        <v>0.0</v>
      </c>
      <c r="O870" s="17">
        <v>9652593.0</v>
      </c>
      <c r="P870" s="17">
        <v>438213.0</v>
      </c>
      <c r="Q870" s="17">
        <v>1.2828068E7</v>
      </c>
      <c r="R870" s="17">
        <v>4028051.0</v>
      </c>
      <c r="S870" s="17">
        <v>1.1570926E7</v>
      </c>
      <c r="T870" s="17">
        <v>6966487.0</v>
      </c>
      <c r="U870" s="17">
        <v>1.7672748E7</v>
      </c>
      <c r="V870" s="11">
        <f t="array" ref="V870">XLOOKUP(A:A,'Raw Revenue'!A:A,'Raw Revenue'!B:B,0)
</f>
        <v>0</v>
      </c>
      <c r="W870" s="11">
        <f t="array" ref="W870">XLOOKUP(A:A,'Raw Revenue'!C:C,'Raw Revenue'!D:D,0)</f>
        <v>0</v>
      </c>
      <c r="X870" s="11">
        <f t="array" ref="X870">XLOOKUP(A:A,'Raw Revenue'!E:E,'Raw Revenue'!F:F,0)</f>
        <v>0</v>
      </c>
      <c r="Y870" s="11">
        <f t="array" ref="Y870">XLOOKUP(A:A,'Raw Revenue'!G:G,'Raw Revenue'!H:H,0)</f>
        <v>0</v>
      </c>
      <c r="Z870" s="11">
        <f t="array" ref="Z870">XLOOKUP(A:A,'Raw Revenue'!I:I,'Raw Revenue'!J:J,0)</f>
        <v>0</v>
      </c>
      <c r="AA870" s="11">
        <f t="array" ref="AA870">XLOOKUP(A:A,'Raw Revenue'!K:K,'Raw Revenue'!L:L,0)</f>
        <v>0</v>
      </c>
      <c r="AB870" s="11">
        <f t="array" ref="AB870">XLOOKUP(A:A,'Raw Revenue'!M:M,'Raw Revenue'!N:N,0)</f>
        <v>0</v>
      </c>
      <c r="AC870" s="3">
        <v>0.0</v>
      </c>
      <c r="AD870" s="3">
        <v>0.0</v>
      </c>
      <c r="AE870" s="3">
        <v>0.0</v>
      </c>
      <c r="AF870" s="3">
        <v>0.0</v>
      </c>
      <c r="AG870" s="3">
        <v>0.0</v>
      </c>
    </row>
    <row r="871">
      <c r="A871" s="3" t="s">
        <v>1959</v>
      </c>
      <c r="B871" s="3" t="s">
        <v>1960</v>
      </c>
      <c r="C871" s="3" t="str">
        <f t="shared" si="1"/>
        <v>PT. Sinar Dunia Baru</v>
      </c>
      <c r="D871" s="3" t="s">
        <v>214</v>
      </c>
      <c r="E871" s="3" t="s">
        <v>85</v>
      </c>
      <c r="F871" s="3" t="s">
        <v>407</v>
      </c>
      <c r="G871" s="3" t="s">
        <v>76</v>
      </c>
      <c r="H871" s="3" t="str">
        <f t="array" ref="H871">XLOOKUP(G:G,'Account Manager Data'!A:A,'Account Manager Data'!B:B,0)</f>
        <v>Teguh Wijaya</v>
      </c>
      <c r="I871" s="11" t="str">
        <f t="array" ref="I871">XLOOKUP($G:$G,'Account Manager Data'!$A:$A,'Account Manager Data'!C:C)</f>
        <v>Sulawesi</v>
      </c>
      <c r="J871" s="17">
        <v>1102741.0</v>
      </c>
      <c r="K871" s="17">
        <v>7108104.0</v>
      </c>
      <c r="L871" s="17">
        <v>9686766.0</v>
      </c>
      <c r="M871" s="17">
        <v>7409106.0</v>
      </c>
      <c r="N871" s="17">
        <v>6074452.0</v>
      </c>
      <c r="O871" s="17">
        <v>1.4192198E7</v>
      </c>
      <c r="P871" s="17">
        <v>8137001.0</v>
      </c>
      <c r="Q871" s="17">
        <v>1.1210905E7</v>
      </c>
      <c r="R871" s="17">
        <v>5402263.0</v>
      </c>
      <c r="S871" s="17">
        <v>6498798.0</v>
      </c>
      <c r="T871" s="17">
        <v>1.2933289E7</v>
      </c>
      <c r="U871" s="17">
        <v>1.5450814E7</v>
      </c>
      <c r="V871" s="11">
        <f t="array" ref="V871">XLOOKUP(A:A,'Raw Revenue'!A:A,'Raw Revenue'!B:B,0)
</f>
        <v>0</v>
      </c>
      <c r="W871" s="11">
        <f t="array" ref="W871">XLOOKUP(A:A,'Raw Revenue'!C:C,'Raw Revenue'!D:D,0)</f>
        <v>0</v>
      </c>
      <c r="X871" s="11">
        <f t="array" ref="X871">XLOOKUP(A:A,'Raw Revenue'!E:E,'Raw Revenue'!F:F,0)</f>
        <v>0</v>
      </c>
      <c r="Y871" s="11">
        <f t="array" ref="Y871">XLOOKUP(A:A,'Raw Revenue'!G:G,'Raw Revenue'!H:H,0)</f>
        <v>0</v>
      </c>
      <c r="Z871" s="11">
        <f t="array" ref="Z871">XLOOKUP(A:A,'Raw Revenue'!I:I,'Raw Revenue'!J:J,0)</f>
        <v>0</v>
      </c>
      <c r="AA871" s="11">
        <f t="array" ref="AA871">XLOOKUP(A:A,'Raw Revenue'!K:K,'Raw Revenue'!L:L,0)</f>
        <v>0</v>
      </c>
      <c r="AB871" s="11">
        <f t="array" ref="AB871">XLOOKUP(A:A,'Raw Revenue'!M:M,'Raw Revenue'!N:N,0)</f>
        <v>0</v>
      </c>
      <c r="AC871" s="3">
        <v>0.0</v>
      </c>
      <c r="AD871" s="3">
        <v>0.0</v>
      </c>
      <c r="AE871" s="3">
        <v>0.0</v>
      </c>
      <c r="AF871" s="3">
        <v>0.0</v>
      </c>
      <c r="AG871" s="3">
        <v>0.0</v>
      </c>
    </row>
    <row r="872">
      <c r="A872" s="3" t="s">
        <v>474</v>
      </c>
      <c r="B872" s="3" t="s">
        <v>1961</v>
      </c>
      <c r="C872" s="3" t="str">
        <f t="shared" si="1"/>
        <v>CV. Karya Utama Mandiri</v>
      </c>
      <c r="D872" s="3" t="s">
        <v>103</v>
      </c>
      <c r="E872" s="3" t="s">
        <v>196</v>
      </c>
      <c r="F872" s="3" t="s">
        <v>315</v>
      </c>
      <c r="G872" s="3" t="s">
        <v>70</v>
      </c>
      <c r="H872" s="3" t="str">
        <f t="array" ref="H872">XLOOKUP(G:G,'Account Manager Data'!A:A,'Account Manager Data'!B:B,0)</f>
        <v>Yusuf Hidayat</v>
      </c>
      <c r="I872" s="11" t="str">
        <f t="array" ref="I872">XLOOKUP($G:$G,'Account Manager Data'!$A:$A,'Account Manager Data'!C:C)</f>
        <v>Sumatera</v>
      </c>
      <c r="J872" s="17">
        <v>6775738.0</v>
      </c>
      <c r="K872" s="17">
        <v>3991147.0</v>
      </c>
      <c r="L872" s="17">
        <v>0.0</v>
      </c>
      <c r="M872" s="17">
        <v>3119075.0</v>
      </c>
      <c r="N872" s="17">
        <v>1.1507341E7</v>
      </c>
      <c r="O872" s="17">
        <v>1766838.0</v>
      </c>
      <c r="P872" s="17">
        <v>1.4976811E7</v>
      </c>
      <c r="Q872" s="17">
        <v>1.4605558E7</v>
      </c>
      <c r="R872" s="17">
        <v>132390.0</v>
      </c>
      <c r="S872" s="17">
        <v>1.7051401E7</v>
      </c>
      <c r="T872" s="17">
        <v>3251788.0</v>
      </c>
      <c r="U872" s="17">
        <v>1.626313E7</v>
      </c>
      <c r="V872" s="11">
        <f t="array" ref="V872">XLOOKUP(A:A,'Raw Revenue'!A:A,'Raw Revenue'!B:B,0)
</f>
        <v>1160334.88</v>
      </c>
      <c r="W872" s="11">
        <f t="array" ref="W872">XLOOKUP(A:A,'Raw Revenue'!C:C,'Raw Revenue'!D:D,0)</f>
        <v>580167.4399</v>
      </c>
      <c r="X872" s="11">
        <f t="array" ref="X872">XLOOKUP(A:A,'Raw Revenue'!E:E,'Raw Revenue'!F:F,0)</f>
        <v>348100.464</v>
      </c>
      <c r="Y872" s="11">
        <f t="array" ref="Y872">XLOOKUP(A:A,'Raw Revenue'!G:G,'Raw Revenue'!H:H,0)</f>
        <v>4061172.08</v>
      </c>
      <c r="Z872" s="11">
        <f t="array" ref="Z872">XLOOKUP(A:A,'Raw Revenue'!I:I,'Raw Revenue'!J:J,0)</f>
        <v>928267.9039</v>
      </c>
      <c r="AA872" s="11">
        <f t="array" ref="AA872">XLOOKUP(A:A,'Raw Revenue'!K:K,'Raw Revenue'!L:L,0)</f>
        <v>26107.5348</v>
      </c>
      <c r="AB872" s="11">
        <f t="array" ref="AB872">XLOOKUP(A:A,'Raw Revenue'!M:M,'Raw Revenue'!N:N,0)</f>
        <v>3498409.663</v>
      </c>
      <c r="AC872" s="3">
        <v>0.0</v>
      </c>
      <c r="AD872" s="3">
        <v>0.0</v>
      </c>
      <c r="AE872" s="3">
        <v>0.0</v>
      </c>
      <c r="AF872" s="3">
        <v>0.0</v>
      </c>
      <c r="AG872" s="3">
        <v>0.0</v>
      </c>
    </row>
    <row r="873">
      <c r="A873" s="3" t="s">
        <v>1962</v>
      </c>
      <c r="B873" s="3" t="s">
        <v>1963</v>
      </c>
      <c r="C873" s="3" t="str">
        <f t="shared" si="1"/>
        <v>PT. Pratama Jaya Sentosa</v>
      </c>
      <c r="D873" s="3" t="s">
        <v>214</v>
      </c>
      <c r="E873" s="3" t="s">
        <v>215</v>
      </c>
      <c r="F873" s="3" t="s">
        <v>216</v>
      </c>
      <c r="G873" s="3" t="s">
        <v>15</v>
      </c>
      <c r="H873" s="3" t="str">
        <f t="array" ref="H873">XLOOKUP(G:G,'Account Manager Data'!A:A,'Account Manager Data'!B:B,0)</f>
        <v>Rizky Maulana</v>
      </c>
      <c r="I873" s="11" t="str">
        <f t="array" ref="I873">XLOOKUP($G:$G,'Account Manager Data'!$A:$A,'Account Manager Data'!C:C)</f>
        <v>Jawa</v>
      </c>
      <c r="J873" s="17">
        <v>2460072.0</v>
      </c>
      <c r="K873" s="17">
        <v>7471196.0</v>
      </c>
      <c r="L873" s="17">
        <v>5193454.0</v>
      </c>
      <c r="M873" s="17">
        <v>1.0946692E7</v>
      </c>
      <c r="N873" s="17">
        <v>7320839.0</v>
      </c>
      <c r="O873" s="17">
        <v>684443.0</v>
      </c>
      <c r="P873" s="17">
        <v>7513530.0</v>
      </c>
      <c r="Q873" s="17">
        <v>0.0</v>
      </c>
      <c r="R873" s="17">
        <v>1.5901705E7</v>
      </c>
      <c r="S873" s="17">
        <v>0.0</v>
      </c>
      <c r="T873" s="17">
        <v>0.0</v>
      </c>
      <c r="U873" s="17">
        <v>6186838.0</v>
      </c>
      <c r="V873" s="11">
        <f t="array" ref="V873">XLOOKUP(A:A,'Raw Revenue'!A:A,'Raw Revenue'!B:B,0)
</f>
        <v>0</v>
      </c>
      <c r="W873" s="11">
        <f t="array" ref="W873">XLOOKUP(A:A,'Raw Revenue'!C:C,'Raw Revenue'!D:D,0)</f>
        <v>0</v>
      </c>
      <c r="X873" s="11">
        <f t="array" ref="X873">XLOOKUP(A:A,'Raw Revenue'!E:E,'Raw Revenue'!F:F,0)</f>
        <v>0</v>
      </c>
      <c r="Y873" s="11">
        <f t="array" ref="Y873">XLOOKUP(A:A,'Raw Revenue'!G:G,'Raw Revenue'!H:H,0)</f>
        <v>0</v>
      </c>
      <c r="Z873" s="11">
        <f t="array" ref="Z873">XLOOKUP(A:A,'Raw Revenue'!I:I,'Raw Revenue'!J:J,0)</f>
        <v>0</v>
      </c>
      <c r="AA873" s="11">
        <f t="array" ref="AA873">XLOOKUP(A:A,'Raw Revenue'!K:K,'Raw Revenue'!L:L,0)</f>
        <v>0</v>
      </c>
      <c r="AB873" s="11">
        <f t="array" ref="AB873">XLOOKUP(A:A,'Raw Revenue'!M:M,'Raw Revenue'!N:N,0)</f>
        <v>0</v>
      </c>
      <c r="AC873" s="3">
        <v>0.0</v>
      </c>
      <c r="AD873" s="3">
        <v>0.0</v>
      </c>
      <c r="AE873" s="3">
        <v>0.0</v>
      </c>
      <c r="AF873" s="3">
        <v>0.0</v>
      </c>
      <c r="AG873" s="3">
        <v>0.0</v>
      </c>
    </row>
    <row r="874">
      <c r="A874" s="3" t="s">
        <v>1964</v>
      </c>
      <c r="B874" s="3" t="s">
        <v>1965</v>
      </c>
      <c r="C874" s="3" t="str">
        <f t="shared" si="1"/>
        <v>PT. Abadi Selamanya Jaya</v>
      </c>
      <c r="D874" s="3" t="s">
        <v>186</v>
      </c>
      <c r="E874" s="3" t="s">
        <v>104</v>
      </c>
      <c r="F874" s="3" t="s">
        <v>252</v>
      </c>
      <c r="G874" s="3" t="s">
        <v>53</v>
      </c>
      <c r="H874" s="3" t="str">
        <f t="array" ref="H874">XLOOKUP(G:G,'Account Manager Data'!A:A,'Account Manager Data'!B:B,0)</f>
        <v>Fajar Ramadhan</v>
      </c>
      <c r="I874" s="11" t="str">
        <f t="array" ref="I874">XLOOKUP($G:$G,'Account Manager Data'!$A:$A,'Account Manager Data'!C:C)</f>
        <v>Sulawesi</v>
      </c>
      <c r="J874" s="17">
        <v>0.0</v>
      </c>
      <c r="K874" s="17">
        <v>3534917.0</v>
      </c>
      <c r="L874" s="17">
        <v>3596731.0</v>
      </c>
      <c r="M874" s="17">
        <v>3807961.0</v>
      </c>
      <c r="N874" s="17">
        <v>8121951.0</v>
      </c>
      <c r="O874" s="17">
        <v>5047066.0</v>
      </c>
      <c r="P874" s="17">
        <v>851047.0</v>
      </c>
      <c r="Q874" s="17">
        <v>1.5586641E7</v>
      </c>
      <c r="R874" s="17">
        <v>2665369.0</v>
      </c>
      <c r="S874" s="17">
        <v>1380425.0</v>
      </c>
      <c r="T874" s="17">
        <v>0.0</v>
      </c>
      <c r="U874" s="17">
        <v>814783.0</v>
      </c>
      <c r="V874" s="11">
        <f t="array" ref="V874">XLOOKUP(A:A,'Raw Revenue'!A:A,'Raw Revenue'!B:B,0)
</f>
        <v>0</v>
      </c>
      <c r="W874" s="11">
        <f t="array" ref="W874">XLOOKUP(A:A,'Raw Revenue'!C:C,'Raw Revenue'!D:D,0)</f>
        <v>0</v>
      </c>
      <c r="X874" s="11">
        <f t="array" ref="X874">XLOOKUP(A:A,'Raw Revenue'!E:E,'Raw Revenue'!F:F,0)</f>
        <v>0</v>
      </c>
      <c r="Y874" s="11">
        <f t="array" ref="Y874">XLOOKUP(A:A,'Raw Revenue'!G:G,'Raw Revenue'!H:H,0)</f>
        <v>0</v>
      </c>
      <c r="Z874" s="11">
        <f t="array" ref="Z874">XLOOKUP(A:A,'Raw Revenue'!I:I,'Raw Revenue'!J:J,0)</f>
        <v>0</v>
      </c>
      <c r="AA874" s="11">
        <f t="array" ref="AA874">XLOOKUP(A:A,'Raw Revenue'!K:K,'Raw Revenue'!L:L,0)</f>
        <v>0</v>
      </c>
      <c r="AB874" s="11">
        <f t="array" ref="AB874">XLOOKUP(A:A,'Raw Revenue'!M:M,'Raw Revenue'!N:N,0)</f>
        <v>0</v>
      </c>
      <c r="AC874" s="3">
        <v>0.0</v>
      </c>
      <c r="AD874" s="3">
        <v>0.0</v>
      </c>
      <c r="AE874" s="3">
        <v>0.0</v>
      </c>
      <c r="AF874" s="3">
        <v>0.0</v>
      </c>
      <c r="AG874" s="3">
        <v>0.0</v>
      </c>
    </row>
    <row r="875">
      <c r="A875" s="3" t="s">
        <v>1966</v>
      </c>
      <c r="B875" s="3" t="s">
        <v>1967</v>
      </c>
      <c r="C875" s="3" t="str">
        <f t="shared" si="1"/>
        <v>PT. Mandiri Sejahtera Bersama</v>
      </c>
      <c r="D875" s="3" t="s">
        <v>130</v>
      </c>
      <c r="E875" s="3" t="s">
        <v>215</v>
      </c>
      <c r="F875" s="3" t="s">
        <v>227</v>
      </c>
      <c r="G875" s="3" t="s">
        <v>27</v>
      </c>
      <c r="H875" s="3" t="str">
        <f t="array" ref="H875">XLOOKUP(G:G,'Account Manager Data'!A:A,'Account Manager Data'!B:B,0)</f>
        <v>Dedi Kurniawan</v>
      </c>
      <c r="I875" s="11" t="str">
        <f t="array" ref="I875">XLOOKUP($G:$G,'Account Manager Data'!$A:$A,'Account Manager Data'!C:C)</f>
        <v>Kalimantan</v>
      </c>
      <c r="J875" s="17">
        <v>1989466.0</v>
      </c>
      <c r="K875" s="17">
        <v>2582790.0</v>
      </c>
      <c r="L875" s="17">
        <v>5857736.0</v>
      </c>
      <c r="M875" s="17">
        <v>3338490.0</v>
      </c>
      <c r="N875" s="17">
        <v>3597624.0</v>
      </c>
      <c r="O875" s="17">
        <v>0.0</v>
      </c>
      <c r="P875" s="17">
        <v>1.0523708E7</v>
      </c>
      <c r="Q875" s="17">
        <v>1.5840719E7</v>
      </c>
      <c r="R875" s="17">
        <v>1.025049E7</v>
      </c>
      <c r="S875" s="17">
        <v>6837345.0</v>
      </c>
      <c r="T875" s="17">
        <v>1.8479248E7</v>
      </c>
      <c r="U875" s="17">
        <v>4887968.0</v>
      </c>
      <c r="V875" s="11">
        <f t="array" ref="V875">XLOOKUP(A:A,'Raw Revenue'!A:A,'Raw Revenue'!B:B,0)
</f>
        <v>0</v>
      </c>
      <c r="W875" s="11">
        <f t="array" ref="W875">XLOOKUP(A:A,'Raw Revenue'!C:C,'Raw Revenue'!D:D,0)</f>
        <v>0</v>
      </c>
      <c r="X875" s="11">
        <f t="array" ref="X875">XLOOKUP(A:A,'Raw Revenue'!E:E,'Raw Revenue'!F:F,0)</f>
        <v>0</v>
      </c>
      <c r="Y875" s="11">
        <f t="array" ref="Y875">XLOOKUP(A:A,'Raw Revenue'!G:G,'Raw Revenue'!H:H,0)</f>
        <v>0</v>
      </c>
      <c r="Z875" s="11">
        <f t="array" ref="Z875">XLOOKUP(A:A,'Raw Revenue'!I:I,'Raw Revenue'!J:J,0)</f>
        <v>0</v>
      </c>
      <c r="AA875" s="11">
        <f t="array" ref="AA875">XLOOKUP(A:A,'Raw Revenue'!K:K,'Raw Revenue'!L:L,0)</f>
        <v>0</v>
      </c>
      <c r="AB875" s="11">
        <f t="array" ref="AB875">XLOOKUP(A:A,'Raw Revenue'!M:M,'Raw Revenue'!N:N,0)</f>
        <v>0</v>
      </c>
      <c r="AC875" s="3">
        <v>0.0</v>
      </c>
      <c r="AD875" s="3">
        <v>0.0</v>
      </c>
      <c r="AE875" s="3">
        <v>0.0</v>
      </c>
      <c r="AF875" s="3">
        <v>0.0</v>
      </c>
      <c r="AG875" s="3">
        <v>0.0</v>
      </c>
    </row>
    <row r="876">
      <c r="A876" s="3" t="s">
        <v>1968</v>
      </c>
      <c r="B876" s="3" t="s">
        <v>1969</v>
      </c>
      <c r="C876" s="3" t="str">
        <f t="shared" si="1"/>
        <v>PT. Sejahtera Alam Indonesia</v>
      </c>
      <c r="D876" s="3" t="s">
        <v>186</v>
      </c>
      <c r="E876" s="3" t="s">
        <v>187</v>
      </c>
      <c r="F876" s="3" t="s">
        <v>269</v>
      </c>
      <c r="G876" s="3" t="s">
        <v>78</v>
      </c>
      <c r="H876" s="3" t="str">
        <f t="array" ref="H876">XLOOKUP(G:G,'Account Manager Data'!A:A,'Account Manager Data'!B:B,0)</f>
        <v>Ilham Saputra</v>
      </c>
      <c r="I876" s="11" t="str">
        <f t="array" ref="I876">XLOOKUP($G:$G,'Account Manager Data'!$A:$A,'Account Manager Data'!C:C)</f>
        <v>Jawa</v>
      </c>
      <c r="J876" s="17">
        <v>1635925.0</v>
      </c>
      <c r="K876" s="17">
        <v>7396865.0</v>
      </c>
      <c r="L876" s="17">
        <v>7815474.0</v>
      </c>
      <c r="M876" s="17">
        <v>2710046.0</v>
      </c>
      <c r="N876" s="17">
        <v>8385692.0</v>
      </c>
      <c r="O876" s="17">
        <v>1.2640524E7</v>
      </c>
      <c r="P876" s="17">
        <v>4383317.0</v>
      </c>
      <c r="Q876" s="17">
        <v>0.0</v>
      </c>
      <c r="R876" s="17">
        <v>1.1791521E7</v>
      </c>
      <c r="S876" s="17">
        <v>1.6180365E7</v>
      </c>
      <c r="T876" s="17">
        <v>0.0</v>
      </c>
      <c r="U876" s="17">
        <v>3431881.0</v>
      </c>
      <c r="V876" s="11">
        <f t="array" ref="V876">XLOOKUP(A:A,'Raw Revenue'!A:A,'Raw Revenue'!B:B,0)
</f>
        <v>0</v>
      </c>
      <c r="W876" s="11">
        <f t="array" ref="W876">XLOOKUP(A:A,'Raw Revenue'!C:C,'Raw Revenue'!D:D,0)</f>
        <v>0</v>
      </c>
      <c r="X876" s="11">
        <f t="array" ref="X876">XLOOKUP(A:A,'Raw Revenue'!E:E,'Raw Revenue'!F:F,0)</f>
        <v>0</v>
      </c>
      <c r="Y876" s="11">
        <f t="array" ref="Y876">XLOOKUP(A:A,'Raw Revenue'!G:G,'Raw Revenue'!H:H,0)</f>
        <v>0</v>
      </c>
      <c r="Z876" s="11">
        <f t="array" ref="Z876">XLOOKUP(A:A,'Raw Revenue'!I:I,'Raw Revenue'!J:J,0)</f>
        <v>0</v>
      </c>
      <c r="AA876" s="11">
        <f t="array" ref="AA876">XLOOKUP(A:A,'Raw Revenue'!K:K,'Raw Revenue'!L:L,0)</f>
        <v>0</v>
      </c>
      <c r="AB876" s="11">
        <f t="array" ref="AB876">XLOOKUP(A:A,'Raw Revenue'!M:M,'Raw Revenue'!N:N,0)</f>
        <v>0</v>
      </c>
      <c r="AC876" s="3">
        <v>0.0</v>
      </c>
      <c r="AD876" s="3">
        <v>0.0</v>
      </c>
      <c r="AE876" s="3">
        <v>0.0</v>
      </c>
      <c r="AF876" s="3">
        <v>0.0</v>
      </c>
      <c r="AG876" s="3">
        <v>0.0</v>
      </c>
    </row>
    <row r="877">
      <c r="A877" s="3" t="s">
        <v>1970</v>
      </c>
      <c r="B877" s="3" t="s">
        <v>1971</v>
      </c>
      <c r="C877" s="3" t="str">
        <f t="shared" si="1"/>
        <v>PT. Indah Kargo Logistik</v>
      </c>
      <c r="D877" s="3" t="s">
        <v>186</v>
      </c>
      <c r="E877" s="3" t="s">
        <v>215</v>
      </c>
      <c r="F877" s="3" t="s">
        <v>227</v>
      </c>
      <c r="G877" s="3" t="s">
        <v>63</v>
      </c>
      <c r="H877" s="3" t="str">
        <f t="array" ref="H877">XLOOKUP(G:G,'Account Manager Data'!A:A,'Account Manager Data'!B:B,0)</f>
        <v>Hendra Gunawan</v>
      </c>
      <c r="I877" s="11" t="str">
        <f t="array" ref="I877">XLOOKUP($G:$G,'Account Manager Data'!$A:$A,'Account Manager Data'!C:C)</f>
        <v>Kalimantan</v>
      </c>
      <c r="J877" s="17">
        <v>3166988.0</v>
      </c>
      <c r="K877" s="17">
        <v>4147643.0</v>
      </c>
      <c r="L877" s="17">
        <v>5512717.0</v>
      </c>
      <c r="M877" s="17">
        <v>3867630.0</v>
      </c>
      <c r="N877" s="17">
        <v>175895.0</v>
      </c>
      <c r="O877" s="17">
        <v>3990635.0</v>
      </c>
      <c r="P877" s="17">
        <v>1.595823E7</v>
      </c>
      <c r="Q877" s="17">
        <v>0.0</v>
      </c>
      <c r="R877" s="17">
        <v>1.6853691E7</v>
      </c>
      <c r="S877" s="17">
        <v>1.7207643E7</v>
      </c>
      <c r="T877" s="17">
        <v>1.164808E7</v>
      </c>
      <c r="U877" s="17">
        <v>1.6529665E7</v>
      </c>
      <c r="V877" s="11">
        <f t="array" ref="V877">XLOOKUP(A:A,'Raw Revenue'!A:A,'Raw Revenue'!B:B,0)
</f>
        <v>0</v>
      </c>
      <c r="W877" s="11">
        <f t="array" ref="W877">XLOOKUP(A:A,'Raw Revenue'!C:C,'Raw Revenue'!D:D,0)</f>
        <v>0</v>
      </c>
      <c r="X877" s="11">
        <f t="array" ref="X877">XLOOKUP(A:A,'Raw Revenue'!E:E,'Raw Revenue'!F:F,0)</f>
        <v>0</v>
      </c>
      <c r="Y877" s="11">
        <f t="array" ref="Y877">XLOOKUP(A:A,'Raw Revenue'!G:G,'Raw Revenue'!H:H,0)</f>
        <v>0</v>
      </c>
      <c r="Z877" s="11">
        <f t="array" ref="Z877">XLOOKUP(A:A,'Raw Revenue'!I:I,'Raw Revenue'!J:J,0)</f>
        <v>0</v>
      </c>
      <c r="AA877" s="11">
        <f t="array" ref="AA877">XLOOKUP(A:A,'Raw Revenue'!K:K,'Raw Revenue'!L:L,0)</f>
        <v>0</v>
      </c>
      <c r="AB877" s="11">
        <f t="array" ref="AB877">XLOOKUP(A:A,'Raw Revenue'!M:M,'Raw Revenue'!N:N,0)</f>
        <v>0</v>
      </c>
      <c r="AC877" s="3">
        <v>0.0</v>
      </c>
      <c r="AD877" s="3">
        <v>0.0</v>
      </c>
      <c r="AE877" s="3">
        <v>0.0</v>
      </c>
      <c r="AF877" s="3">
        <v>0.0</v>
      </c>
      <c r="AG877" s="3">
        <v>0.0</v>
      </c>
    </row>
    <row r="878">
      <c r="A878" s="3" t="s">
        <v>231</v>
      </c>
      <c r="B878" s="3" t="s">
        <v>1972</v>
      </c>
      <c r="C878" s="3" t="str">
        <f t="shared" si="1"/>
        <v>PT. Berkah Alam Semesta</v>
      </c>
      <c r="D878" s="3" t="s">
        <v>103</v>
      </c>
      <c r="E878" s="3" t="s">
        <v>85</v>
      </c>
      <c r="F878" s="3" t="s">
        <v>248</v>
      </c>
      <c r="G878" s="3" t="s">
        <v>35</v>
      </c>
      <c r="H878" s="3" t="str">
        <f t="array" ref="H878">XLOOKUP(G:G,'Account Manager Data'!A:A,'Account Manager Data'!B:B,0)</f>
        <v>Ahmad Fauzi</v>
      </c>
      <c r="I878" s="11" t="str">
        <f t="array" ref="I878">XLOOKUP($G:$G,'Account Manager Data'!$A:$A,'Account Manager Data'!C:C)</f>
        <v>Sumatera</v>
      </c>
      <c r="J878" s="17">
        <v>6440589.0</v>
      </c>
      <c r="K878" s="17">
        <v>3025279.0</v>
      </c>
      <c r="L878" s="17">
        <v>8119223.0</v>
      </c>
      <c r="M878" s="17">
        <v>7714323.0</v>
      </c>
      <c r="N878" s="17">
        <v>1.0577574E7</v>
      </c>
      <c r="O878" s="17">
        <v>7837080.0</v>
      </c>
      <c r="P878" s="17">
        <v>7796537.0</v>
      </c>
      <c r="Q878" s="17">
        <v>9948411.0</v>
      </c>
      <c r="R878" s="17">
        <v>1.6938763E7</v>
      </c>
      <c r="S878" s="17">
        <v>1222797.0</v>
      </c>
      <c r="T878" s="17">
        <v>1.6024458E7</v>
      </c>
      <c r="U878" s="17">
        <v>1.460717E7</v>
      </c>
      <c r="V878" s="11">
        <f t="array" ref="V878">XLOOKUP(A:A,'Raw Revenue'!A:A,'Raw Revenue'!B:B,0)
</f>
        <v>11567646.19</v>
      </c>
      <c r="W878" s="11">
        <f t="array" ref="W878">XLOOKUP(A:A,'Raw Revenue'!C:C,'Raw Revenue'!D:D,0)</f>
        <v>11567646.19</v>
      </c>
      <c r="X878" s="11">
        <f t="array" ref="X878">XLOOKUP(A:A,'Raw Revenue'!E:E,'Raw Revenue'!F:F,0)</f>
        <v>23135292.37</v>
      </c>
      <c r="Y878" s="11">
        <f t="array" ref="Y878">XLOOKUP(A:A,'Raw Revenue'!G:G,'Raw Revenue'!H:H,0)</f>
        <v>18893822.11</v>
      </c>
      <c r="Z878" s="11">
        <f t="array" ref="Z878">XLOOKUP(A:A,'Raw Revenue'!I:I,'Raw Revenue'!J:J,0)</f>
        <v>16965881.07</v>
      </c>
      <c r="AA878" s="11">
        <f t="array" ref="AA878">XLOOKUP(A:A,'Raw Revenue'!K:K,'Raw Revenue'!L:L,0)</f>
        <v>43378673.2</v>
      </c>
      <c r="AB878" s="11">
        <f t="array" ref="AB878">XLOOKUP(A:A,'Raw Revenue'!M:M,'Raw Revenue'!N:N,0)</f>
        <v>39908379.35</v>
      </c>
      <c r="AC878" s="3">
        <v>0.0</v>
      </c>
      <c r="AD878" s="3">
        <v>0.0</v>
      </c>
      <c r="AE878" s="3">
        <v>0.0</v>
      </c>
      <c r="AF878" s="3">
        <v>0.0</v>
      </c>
      <c r="AG878" s="3">
        <v>0.0</v>
      </c>
    </row>
    <row r="879">
      <c r="A879" s="3" t="s">
        <v>261</v>
      </c>
      <c r="B879" s="3" t="s">
        <v>1973</v>
      </c>
      <c r="C879" s="3" t="str">
        <f t="shared" si="1"/>
        <v>PT. Cahaya Baru Indonesia</v>
      </c>
      <c r="D879" s="3" t="s">
        <v>103</v>
      </c>
      <c r="E879" s="3" t="s">
        <v>187</v>
      </c>
      <c r="F879" s="3" t="s">
        <v>269</v>
      </c>
      <c r="G879" s="3" t="s">
        <v>43</v>
      </c>
      <c r="H879" s="3" t="str">
        <f t="array" ref="H879">XLOOKUP(G:G,'Account Manager Data'!A:A,'Account Manager Data'!B:B,0)</f>
        <v>Eko Prasetyo</v>
      </c>
      <c r="I879" s="11" t="str">
        <f t="array" ref="I879">XLOOKUP($G:$G,'Account Manager Data'!$A:$A,'Account Manager Data'!C:C)</f>
        <v>Papua</v>
      </c>
      <c r="J879" s="17">
        <v>3452340.0</v>
      </c>
      <c r="K879" s="17">
        <v>8326071.0</v>
      </c>
      <c r="L879" s="17">
        <v>1.0107509E7</v>
      </c>
      <c r="M879" s="17">
        <v>1078931.0</v>
      </c>
      <c r="N879" s="17">
        <v>6573587.0</v>
      </c>
      <c r="O879" s="17">
        <v>8119665.0</v>
      </c>
      <c r="P879" s="17">
        <v>1.6207738E7</v>
      </c>
      <c r="Q879" s="17">
        <v>1854785.0</v>
      </c>
      <c r="R879" s="17">
        <v>209963.0</v>
      </c>
      <c r="S879" s="17">
        <v>4373381.0</v>
      </c>
      <c r="T879" s="17">
        <v>1.1782205E7</v>
      </c>
      <c r="U879" s="17">
        <v>4700160.0</v>
      </c>
      <c r="V879" s="11">
        <f t="array" ref="V879">XLOOKUP(A:A,'Raw Revenue'!A:A,'Raw Revenue'!B:B,0)
</f>
        <v>9155519.052</v>
      </c>
      <c r="W879" s="11">
        <f t="array" ref="W879">XLOOKUP(A:A,'Raw Revenue'!C:C,'Raw Revenue'!D:D,0)</f>
        <v>9155519.052</v>
      </c>
      <c r="X879" s="11">
        <f t="array" ref="X879">XLOOKUP(A:A,'Raw Revenue'!E:E,'Raw Revenue'!F:F,0)</f>
        <v>18311038.1</v>
      </c>
      <c r="Y879" s="11">
        <f t="array" ref="Y879">XLOOKUP(A:A,'Raw Revenue'!G:G,'Raw Revenue'!H:H,0)</f>
        <v>14954014.45</v>
      </c>
      <c r="Z879" s="11">
        <f t="array" ref="Z879">XLOOKUP(A:A,'Raw Revenue'!I:I,'Raw Revenue'!J:J,0)</f>
        <v>13428094.61</v>
      </c>
      <c r="AA879" s="11">
        <f t="array" ref="AA879">XLOOKUP(A:A,'Raw Revenue'!K:K,'Raw Revenue'!L:L,0)</f>
        <v>34333196.45</v>
      </c>
      <c r="AB879" s="11">
        <f t="array" ref="AB879">XLOOKUP(A:A,'Raw Revenue'!M:M,'Raw Revenue'!N:N,0)</f>
        <v>31586540.73</v>
      </c>
      <c r="AC879" s="3">
        <v>0.0</v>
      </c>
      <c r="AD879" s="3">
        <v>0.0</v>
      </c>
      <c r="AE879" s="3">
        <v>0.0</v>
      </c>
      <c r="AF879" s="3">
        <v>0.0</v>
      </c>
      <c r="AG879" s="3">
        <v>0.0</v>
      </c>
    </row>
    <row r="880">
      <c r="A880" s="3" t="s">
        <v>1974</v>
      </c>
      <c r="B880" s="3" t="s">
        <v>1975</v>
      </c>
      <c r="C880" s="3" t="str">
        <f t="shared" si="1"/>
        <v>PT. Mentari Pagi Sejahtera</v>
      </c>
      <c r="D880" s="3" t="s">
        <v>186</v>
      </c>
      <c r="E880" s="3" t="s">
        <v>85</v>
      </c>
      <c r="F880" s="3" t="s">
        <v>248</v>
      </c>
      <c r="G880" s="3" t="s">
        <v>74</v>
      </c>
      <c r="H880" s="3" t="str">
        <f t="array" ref="H880">XLOOKUP(G:G,'Account Manager Data'!A:A,'Account Manager Data'!B:B,0)</f>
        <v>Budi Santoso</v>
      </c>
      <c r="I880" s="11" t="str">
        <f t="array" ref="I880">XLOOKUP($G:$G,'Account Manager Data'!$A:$A,'Account Manager Data'!C:C)</f>
        <v>Papua</v>
      </c>
      <c r="J880" s="17">
        <v>878583.0</v>
      </c>
      <c r="K880" s="17">
        <v>1380777.0</v>
      </c>
      <c r="L880" s="17">
        <v>9776240.0</v>
      </c>
      <c r="M880" s="17">
        <v>2135503.0</v>
      </c>
      <c r="N880" s="17">
        <v>7265005.0</v>
      </c>
      <c r="O880" s="17">
        <v>1.4459492E7</v>
      </c>
      <c r="P880" s="17">
        <v>579186.0</v>
      </c>
      <c r="Q880" s="17">
        <v>1.0697104E7</v>
      </c>
      <c r="R880" s="17">
        <v>6260290.0</v>
      </c>
      <c r="S880" s="17">
        <v>539474.0</v>
      </c>
      <c r="T880" s="17">
        <v>1.5443152E7</v>
      </c>
      <c r="U880" s="17">
        <v>5075251.0</v>
      </c>
      <c r="V880" s="11">
        <f t="array" ref="V880">XLOOKUP(A:A,'Raw Revenue'!A:A,'Raw Revenue'!B:B,0)
</f>
        <v>0</v>
      </c>
      <c r="W880" s="11">
        <f t="array" ref="W880">XLOOKUP(A:A,'Raw Revenue'!C:C,'Raw Revenue'!D:D,0)</f>
        <v>0</v>
      </c>
      <c r="X880" s="11">
        <f t="array" ref="X880">XLOOKUP(A:A,'Raw Revenue'!E:E,'Raw Revenue'!F:F,0)</f>
        <v>0</v>
      </c>
      <c r="Y880" s="11">
        <f t="array" ref="Y880">XLOOKUP(A:A,'Raw Revenue'!G:G,'Raw Revenue'!H:H,0)</f>
        <v>0</v>
      </c>
      <c r="Z880" s="11">
        <f t="array" ref="Z880">XLOOKUP(A:A,'Raw Revenue'!I:I,'Raw Revenue'!J:J,0)</f>
        <v>0</v>
      </c>
      <c r="AA880" s="11">
        <f t="array" ref="AA880">XLOOKUP(A:A,'Raw Revenue'!K:K,'Raw Revenue'!L:L,0)</f>
        <v>0</v>
      </c>
      <c r="AB880" s="11">
        <f t="array" ref="AB880">XLOOKUP(A:A,'Raw Revenue'!M:M,'Raw Revenue'!N:N,0)</f>
        <v>0</v>
      </c>
      <c r="AC880" s="3">
        <v>0.0</v>
      </c>
      <c r="AD880" s="3">
        <v>0.0</v>
      </c>
      <c r="AE880" s="3">
        <v>0.0</v>
      </c>
      <c r="AF880" s="3">
        <v>0.0</v>
      </c>
      <c r="AG880" s="3">
        <v>0.0</v>
      </c>
    </row>
    <row r="881">
      <c r="A881" s="3" t="s">
        <v>1976</v>
      </c>
      <c r="B881" s="3" t="s">
        <v>1977</v>
      </c>
      <c r="C881" s="3" t="str">
        <f t="shared" si="1"/>
        <v>PT. Bintang Kejora Nusantara</v>
      </c>
      <c r="D881" s="3" t="s">
        <v>186</v>
      </c>
      <c r="E881" s="3" t="s">
        <v>196</v>
      </c>
      <c r="F881" s="3" t="s">
        <v>260</v>
      </c>
      <c r="G881" s="3" t="s">
        <v>76</v>
      </c>
      <c r="H881" s="3" t="str">
        <f t="array" ref="H881">XLOOKUP(G:G,'Account Manager Data'!A:A,'Account Manager Data'!B:B,0)</f>
        <v>Teguh Wijaya</v>
      </c>
      <c r="I881" s="11" t="str">
        <f t="array" ref="I881">XLOOKUP($G:$G,'Account Manager Data'!$A:$A,'Account Manager Data'!C:C)</f>
        <v>Sulawesi</v>
      </c>
      <c r="J881" s="17">
        <v>5231790.0</v>
      </c>
      <c r="K881" s="17">
        <v>1794186.0</v>
      </c>
      <c r="L881" s="17">
        <v>3646846.0</v>
      </c>
      <c r="M881" s="17">
        <v>9445052.0</v>
      </c>
      <c r="N881" s="17">
        <v>9022700.0</v>
      </c>
      <c r="O881" s="17">
        <v>5851200.0</v>
      </c>
      <c r="P881" s="17">
        <v>0.0</v>
      </c>
      <c r="Q881" s="17">
        <v>2286306.0</v>
      </c>
      <c r="R881" s="17">
        <v>1.4719046E7</v>
      </c>
      <c r="S881" s="17">
        <v>1.1852289E7</v>
      </c>
      <c r="T881" s="17">
        <v>5445789.0</v>
      </c>
      <c r="U881" s="17">
        <v>2567982.0</v>
      </c>
      <c r="V881" s="11">
        <f t="array" ref="V881">XLOOKUP(A:A,'Raw Revenue'!A:A,'Raw Revenue'!B:B,0)
</f>
        <v>0</v>
      </c>
      <c r="W881" s="11">
        <f t="array" ref="W881">XLOOKUP(A:A,'Raw Revenue'!C:C,'Raw Revenue'!D:D,0)</f>
        <v>0</v>
      </c>
      <c r="X881" s="11">
        <f t="array" ref="X881">XLOOKUP(A:A,'Raw Revenue'!E:E,'Raw Revenue'!F:F,0)</f>
        <v>0</v>
      </c>
      <c r="Y881" s="11">
        <f t="array" ref="Y881">XLOOKUP(A:A,'Raw Revenue'!G:G,'Raw Revenue'!H:H,0)</f>
        <v>0</v>
      </c>
      <c r="Z881" s="11">
        <f t="array" ref="Z881">XLOOKUP(A:A,'Raw Revenue'!I:I,'Raw Revenue'!J:J,0)</f>
        <v>0</v>
      </c>
      <c r="AA881" s="11">
        <f t="array" ref="AA881">XLOOKUP(A:A,'Raw Revenue'!K:K,'Raw Revenue'!L:L,0)</f>
        <v>0</v>
      </c>
      <c r="AB881" s="11">
        <f t="array" ref="AB881">XLOOKUP(A:A,'Raw Revenue'!M:M,'Raw Revenue'!N:N,0)</f>
        <v>0</v>
      </c>
      <c r="AC881" s="3">
        <v>0.0</v>
      </c>
      <c r="AD881" s="3">
        <v>0.0</v>
      </c>
      <c r="AE881" s="3">
        <v>0.0</v>
      </c>
      <c r="AF881" s="3">
        <v>0.0</v>
      </c>
      <c r="AG881" s="3">
        <v>0.0</v>
      </c>
    </row>
    <row r="882">
      <c r="A882" s="3" t="s">
        <v>1978</v>
      </c>
      <c r="B882" s="3" t="s">
        <v>1979</v>
      </c>
      <c r="C882" s="3" t="str">
        <f t="shared" si="1"/>
        <v>PT. Maju Jaya</v>
      </c>
      <c r="D882" s="3" t="s">
        <v>130</v>
      </c>
      <c r="E882" s="3" t="s">
        <v>215</v>
      </c>
      <c r="F882" s="3" t="s">
        <v>216</v>
      </c>
      <c r="G882" s="3" t="s">
        <v>70</v>
      </c>
      <c r="H882" s="3" t="str">
        <f t="array" ref="H882">XLOOKUP(G:G,'Account Manager Data'!A:A,'Account Manager Data'!B:B,0)</f>
        <v>Yusuf Hidayat</v>
      </c>
      <c r="I882" s="11" t="str">
        <f t="array" ref="I882">XLOOKUP($G:$G,'Account Manager Data'!$A:$A,'Account Manager Data'!C:C)</f>
        <v>Sumatera</v>
      </c>
      <c r="J882" s="17">
        <v>2521939.0</v>
      </c>
      <c r="K882" s="17">
        <v>8439479.0</v>
      </c>
      <c r="L882" s="17">
        <v>4484604.0</v>
      </c>
      <c r="M882" s="17">
        <v>7217268.0</v>
      </c>
      <c r="N882" s="17">
        <v>1031172.0</v>
      </c>
      <c r="O882" s="17">
        <v>2614173.0</v>
      </c>
      <c r="P882" s="17">
        <v>5629206.0</v>
      </c>
      <c r="Q882" s="17">
        <v>1.5141264E7</v>
      </c>
      <c r="R882" s="17">
        <v>1.096233E7</v>
      </c>
      <c r="S882" s="17">
        <v>1.4520388E7</v>
      </c>
      <c r="T882" s="17">
        <v>1.3740957E7</v>
      </c>
      <c r="U882" s="17">
        <v>1.1847489E7</v>
      </c>
      <c r="V882" s="11">
        <f t="array" ref="V882">XLOOKUP(A:A,'Raw Revenue'!A:A,'Raw Revenue'!B:B,0)
</f>
        <v>0</v>
      </c>
      <c r="W882" s="11">
        <f t="array" ref="W882">XLOOKUP(A:A,'Raw Revenue'!C:C,'Raw Revenue'!D:D,0)</f>
        <v>0</v>
      </c>
      <c r="X882" s="11">
        <f t="array" ref="X882">XLOOKUP(A:A,'Raw Revenue'!E:E,'Raw Revenue'!F:F,0)</f>
        <v>0</v>
      </c>
      <c r="Y882" s="11">
        <f t="array" ref="Y882">XLOOKUP(A:A,'Raw Revenue'!G:G,'Raw Revenue'!H:H,0)</f>
        <v>0</v>
      </c>
      <c r="Z882" s="11">
        <f t="array" ref="Z882">XLOOKUP(A:A,'Raw Revenue'!I:I,'Raw Revenue'!J:J,0)</f>
        <v>0</v>
      </c>
      <c r="AA882" s="11">
        <f t="array" ref="AA882">XLOOKUP(A:A,'Raw Revenue'!K:K,'Raw Revenue'!L:L,0)</f>
        <v>0</v>
      </c>
      <c r="AB882" s="11">
        <f t="array" ref="AB882">XLOOKUP(A:A,'Raw Revenue'!M:M,'Raw Revenue'!N:N,0)</f>
        <v>0</v>
      </c>
      <c r="AC882" s="3">
        <v>0.0</v>
      </c>
      <c r="AD882" s="3">
        <v>0.0</v>
      </c>
      <c r="AE882" s="3">
        <v>0.0</v>
      </c>
      <c r="AF882" s="3">
        <v>0.0</v>
      </c>
      <c r="AG882" s="3">
        <v>0.0</v>
      </c>
    </row>
    <row r="883">
      <c r="A883" s="3" t="s">
        <v>1980</v>
      </c>
      <c r="B883" s="3" t="s">
        <v>1981</v>
      </c>
      <c r="C883" s="3" t="str">
        <f t="shared" si="1"/>
        <v>CV. Sumber Makmur</v>
      </c>
      <c r="D883" s="3" t="s">
        <v>84</v>
      </c>
      <c r="E883" s="3" t="s">
        <v>187</v>
      </c>
      <c r="F883" s="3" t="s">
        <v>295</v>
      </c>
      <c r="G883" s="3" t="s">
        <v>15</v>
      </c>
      <c r="H883" s="3" t="str">
        <f t="array" ref="H883">XLOOKUP(G:G,'Account Manager Data'!A:A,'Account Manager Data'!B:B,0)</f>
        <v>Rizky Maulana</v>
      </c>
      <c r="I883" s="11" t="str">
        <f t="array" ref="I883">XLOOKUP($G:$G,'Account Manager Data'!$A:$A,'Account Manager Data'!C:C)</f>
        <v>Jawa</v>
      </c>
      <c r="J883" s="17">
        <v>4854714.0</v>
      </c>
      <c r="K883" s="17">
        <v>3668634.0</v>
      </c>
      <c r="L883" s="17">
        <v>4160843.0</v>
      </c>
      <c r="M883" s="17">
        <v>8445406.0</v>
      </c>
      <c r="N883" s="17">
        <v>3609957.0</v>
      </c>
      <c r="O883" s="17">
        <v>8099698.0</v>
      </c>
      <c r="P883" s="17">
        <v>1.3676197E7</v>
      </c>
      <c r="Q883" s="17">
        <v>8078085.0</v>
      </c>
      <c r="R883" s="17">
        <v>2708225.0</v>
      </c>
      <c r="S883" s="17">
        <v>4176469.0</v>
      </c>
      <c r="T883" s="17">
        <v>1.4494312E7</v>
      </c>
      <c r="U883" s="17">
        <v>1855951.0</v>
      </c>
      <c r="V883" s="11">
        <f t="array" ref="V883">XLOOKUP(A:A,'Raw Revenue'!A:A,'Raw Revenue'!B:B,0)
</f>
        <v>0</v>
      </c>
      <c r="W883" s="11">
        <f t="array" ref="W883">XLOOKUP(A:A,'Raw Revenue'!C:C,'Raw Revenue'!D:D,0)</f>
        <v>0</v>
      </c>
      <c r="X883" s="11">
        <f t="array" ref="X883">XLOOKUP(A:A,'Raw Revenue'!E:E,'Raw Revenue'!F:F,0)</f>
        <v>0</v>
      </c>
      <c r="Y883" s="11">
        <f t="array" ref="Y883">XLOOKUP(A:A,'Raw Revenue'!G:G,'Raw Revenue'!H:H,0)</f>
        <v>0</v>
      </c>
      <c r="Z883" s="11">
        <f t="array" ref="Z883">XLOOKUP(A:A,'Raw Revenue'!I:I,'Raw Revenue'!J:J,0)</f>
        <v>0</v>
      </c>
      <c r="AA883" s="11">
        <f t="array" ref="AA883">XLOOKUP(A:A,'Raw Revenue'!K:K,'Raw Revenue'!L:L,0)</f>
        <v>0</v>
      </c>
      <c r="AB883" s="11">
        <f t="array" ref="AB883">XLOOKUP(A:A,'Raw Revenue'!M:M,'Raw Revenue'!N:N,0)</f>
        <v>0</v>
      </c>
      <c r="AC883" s="3">
        <v>0.0</v>
      </c>
      <c r="AD883" s="3">
        <v>0.0</v>
      </c>
      <c r="AE883" s="3">
        <v>0.0</v>
      </c>
      <c r="AF883" s="3">
        <v>0.0</v>
      </c>
      <c r="AG883" s="3">
        <v>0.0</v>
      </c>
    </row>
    <row r="884">
      <c r="A884" s="3" t="s">
        <v>1982</v>
      </c>
      <c r="B884" s="3" t="s">
        <v>1983</v>
      </c>
      <c r="C884" s="3" t="str">
        <f t="shared" si="1"/>
        <v>PT. Teknologi Nusantara</v>
      </c>
      <c r="D884" s="3" t="s">
        <v>195</v>
      </c>
      <c r="E884" s="3" t="s">
        <v>187</v>
      </c>
      <c r="F884" s="3" t="s">
        <v>188</v>
      </c>
      <c r="G884" s="3" t="s">
        <v>27</v>
      </c>
      <c r="H884" s="3" t="str">
        <f t="array" ref="H884">XLOOKUP(G:G,'Account Manager Data'!A:A,'Account Manager Data'!B:B,0)</f>
        <v>Dedi Kurniawan</v>
      </c>
      <c r="I884" s="11" t="str">
        <f t="array" ref="I884">XLOOKUP($G:$G,'Account Manager Data'!$A:$A,'Account Manager Data'!C:C)</f>
        <v>Kalimantan</v>
      </c>
      <c r="J884" s="17">
        <v>6931512.0</v>
      </c>
      <c r="K884" s="17">
        <v>3703226.0</v>
      </c>
      <c r="L884" s="17">
        <v>6161998.0</v>
      </c>
      <c r="M884" s="17">
        <v>2422005.0</v>
      </c>
      <c r="N884" s="17">
        <v>9708512.0</v>
      </c>
      <c r="O884" s="17">
        <v>4471856.0</v>
      </c>
      <c r="P884" s="17">
        <v>1.5048646E7</v>
      </c>
      <c r="Q884" s="17">
        <v>3872355.0</v>
      </c>
      <c r="R884" s="17">
        <v>1.0353449E7</v>
      </c>
      <c r="S884" s="17">
        <v>1.0028752E7</v>
      </c>
      <c r="T884" s="17">
        <v>4065300.0</v>
      </c>
      <c r="U884" s="17">
        <v>1.5139184E7</v>
      </c>
      <c r="V884" s="11">
        <f t="array" ref="V884">XLOOKUP(A:A,'Raw Revenue'!A:A,'Raw Revenue'!B:B,0)
</f>
        <v>0</v>
      </c>
      <c r="W884" s="11">
        <f t="array" ref="W884">XLOOKUP(A:A,'Raw Revenue'!C:C,'Raw Revenue'!D:D,0)</f>
        <v>0</v>
      </c>
      <c r="X884" s="11">
        <f t="array" ref="X884">XLOOKUP(A:A,'Raw Revenue'!E:E,'Raw Revenue'!F:F,0)</f>
        <v>0</v>
      </c>
      <c r="Y884" s="11">
        <f t="array" ref="Y884">XLOOKUP(A:A,'Raw Revenue'!G:G,'Raw Revenue'!H:H,0)</f>
        <v>0</v>
      </c>
      <c r="Z884" s="11">
        <f t="array" ref="Z884">XLOOKUP(A:A,'Raw Revenue'!I:I,'Raw Revenue'!J:J,0)</f>
        <v>0</v>
      </c>
      <c r="AA884" s="11">
        <f t="array" ref="AA884">XLOOKUP(A:A,'Raw Revenue'!K:K,'Raw Revenue'!L:L,0)</f>
        <v>0</v>
      </c>
      <c r="AB884" s="11">
        <f t="array" ref="AB884">XLOOKUP(A:A,'Raw Revenue'!M:M,'Raw Revenue'!N:N,0)</f>
        <v>0</v>
      </c>
      <c r="AC884" s="3">
        <v>0.0</v>
      </c>
      <c r="AD884" s="3">
        <v>0.0</v>
      </c>
      <c r="AE884" s="3">
        <v>0.0</v>
      </c>
      <c r="AF884" s="3">
        <v>0.0</v>
      </c>
      <c r="AG884" s="3">
        <v>0.0</v>
      </c>
    </row>
    <row r="885">
      <c r="A885" s="3" t="s">
        <v>437</v>
      </c>
      <c r="B885" s="3" t="s">
        <v>1984</v>
      </c>
      <c r="C885" s="3" t="str">
        <f t="shared" si="1"/>
        <v>PT. Bakti Indonesia</v>
      </c>
      <c r="D885" s="3" t="s">
        <v>103</v>
      </c>
      <c r="E885" s="3" t="s">
        <v>104</v>
      </c>
      <c r="F885" s="3" t="s">
        <v>252</v>
      </c>
      <c r="G885" s="3" t="s">
        <v>78</v>
      </c>
      <c r="H885" s="3" t="str">
        <f t="array" ref="H885">XLOOKUP(G:G,'Account Manager Data'!A:A,'Account Manager Data'!B:B,0)</f>
        <v>Ilham Saputra</v>
      </c>
      <c r="I885" s="11" t="str">
        <f t="array" ref="I885">XLOOKUP($G:$G,'Account Manager Data'!$A:$A,'Account Manager Data'!C:C)</f>
        <v>Jawa</v>
      </c>
      <c r="J885" s="17">
        <v>770293.0</v>
      </c>
      <c r="K885" s="17">
        <v>3082578.0</v>
      </c>
      <c r="L885" s="17">
        <v>0.0</v>
      </c>
      <c r="M885" s="17">
        <v>1.0653808E7</v>
      </c>
      <c r="N885" s="17">
        <v>1705182.0</v>
      </c>
      <c r="O885" s="17">
        <v>6836833.0</v>
      </c>
      <c r="P885" s="17">
        <v>6745232.0</v>
      </c>
      <c r="Q885" s="17">
        <v>7846105.0</v>
      </c>
      <c r="R885" s="17">
        <v>1.3927022E7</v>
      </c>
      <c r="S885" s="17">
        <v>521925.0</v>
      </c>
      <c r="T885" s="17">
        <v>6807646.0</v>
      </c>
      <c r="U885" s="17">
        <v>1.4358537E7</v>
      </c>
      <c r="V885" s="11">
        <f t="array" ref="V885">XLOOKUP(A:A,'Raw Revenue'!A:A,'Raw Revenue'!B:B,0)
</f>
        <v>357026.1169</v>
      </c>
      <c r="W885" s="11">
        <f t="array" ref="W885">XLOOKUP(A:A,'Raw Revenue'!C:C,'Raw Revenue'!D:D,0)</f>
        <v>178513.0584</v>
      </c>
      <c r="X885" s="11">
        <f t="array" ref="X885">XLOOKUP(A:A,'Raw Revenue'!E:E,'Raw Revenue'!F:F,0)</f>
        <v>107107.8351</v>
      </c>
      <c r="Y885" s="11">
        <f t="array" ref="Y885">XLOOKUP(A:A,'Raw Revenue'!G:G,'Raw Revenue'!H:H,0)</f>
        <v>1249591.409</v>
      </c>
      <c r="Z885" s="11">
        <f t="array" ref="Z885">XLOOKUP(A:A,'Raw Revenue'!I:I,'Raw Revenue'!J:J,0)</f>
        <v>285620.8935</v>
      </c>
      <c r="AA885" s="11">
        <f t="array" ref="AA885">XLOOKUP(A:A,'Raw Revenue'!K:K,'Raw Revenue'!L:L,0)</f>
        <v>8033.08763</v>
      </c>
      <c r="AB885" s="11">
        <f t="array" ref="AB885">XLOOKUP(A:A,'Raw Revenue'!M:M,'Raw Revenue'!N:N,0)</f>
        <v>1076433.742</v>
      </c>
      <c r="AC885" s="3">
        <v>0.0</v>
      </c>
      <c r="AD885" s="3">
        <v>0.0</v>
      </c>
      <c r="AE885" s="3">
        <v>0.0</v>
      </c>
      <c r="AF885" s="3">
        <v>0.0</v>
      </c>
      <c r="AG885" s="3">
        <v>0.0</v>
      </c>
    </row>
    <row r="886">
      <c r="A886" s="3" t="s">
        <v>1985</v>
      </c>
      <c r="B886" s="3" t="s">
        <v>1986</v>
      </c>
      <c r="C886" s="3" t="str">
        <f t="shared" si="1"/>
        <v>CV. Amanah Sejahtera</v>
      </c>
      <c r="D886" s="3" t="s">
        <v>84</v>
      </c>
      <c r="E886" s="3" t="s">
        <v>104</v>
      </c>
      <c r="F886" s="3" t="s">
        <v>252</v>
      </c>
      <c r="G886" s="3" t="s">
        <v>53</v>
      </c>
      <c r="H886" s="3" t="str">
        <f t="array" ref="H886">XLOOKUP(G:G,'Account Manager Data'!A:A,'Account Manager Data'!B:B,0)</f>
        <v>Fajar Ramadhan</v>
      </c>
      <c r="I886" s="11" t="str">
        <f t="array" ref="I886">XLOOKUP($G:$G,'Account Manager Data'!$A:$A,'Account Manager Data'!C:C)</f>
        <v>Sulawesi</v>
      </c>
      <c r="J886" s="17">
        <v>6886779.0</v>
      </c>
      <c r="K886" s="17">
        <v>5826518.0</v>
      </c>
      <c r="L886" s="17">
        <v>2625236.0</v>
      </c>
      <c r="M886" s="17">
        <v>9498566.0</v>
      </c>
      <c r="N886" s="17">
        <v>4652517.0</v>
      </c>
      <c r="O886" s="17">
        <v>2787358.0</v>
      </c>
      <c r="P886" s="17">
        <v>1716870.0</v>
      </c>
      <c r="Q886" s="17">
        <v>5600809.0</v>
      </c>
      <c r="R886" s="17">
        <v>1.5042042E7</v>
      </c>
      <c r="S886" s="17">
        <v>1.4527363E7</v>
      </c>
      <c r="T886" s="17">
        <v>0.0</v>
      </c>
      <c r="U886" s="17">
        <v>1.6204108E7</v>
      </c>
      <c r="V886" s="11">
        <f t="array" ref="V886">XLOOKUP(A:A,'Raw Revenue'!A:A,'Raw Revenue'!B:B,0)
</f>
        <v>0</v>
      </c>
      <c r="W886" s="11">
        <f t="array" ref="W886">XLOOKUP(A:A,'Raw Revenue'!C:C,'Raw Revenue'!D:D,0)</f>
        <v>0</v>
      </c>
      <c r="X886" s="11">
        <f t="array" ref="X886">XLOOKUP(A:A,'Raw Revenue'!E:E,'Raw Revenue'!F:F,0)</f>
        <v>0</v>
      </c>
      <c r="Y886" s="11">
        <f t="array" ref="Y886">XLOOKUP(A:A,'Raw Revenue'!G:G,'Raw Revenue'!H:H,0)</f>
        <v>0</v>
      </c>
      <c r="Z886" s="11">
        <f t="array" ref="Z886">XLOOKUP(A:A,'Raw Revenue'!I:I,'Raw Revenue'!J:J,0)</f>
        <v>0</v>
      </c>
      <c r="AA886" s="11">
        <f t="array" ref="AA886">XLOOKUP(A:A,'Raw Revenue'!K:K,'Raw Revenue'!L:L,0)</f>
        <v>0</v>
      </c>
      <c r="AB886" s="11">
        <f t="array" ref="AB886">XLOOKUP(A:A,'Raw Revenue'!M:M,'Raw Revenue'!N:N,0)</f>
        <v>0</v>
      </c>
      <c r="AC886" s="3">
        <v>0.0</v>
      </c>
      <c r="AD886" s="3">
        <v>0.0</v>
      </c>
      <c r="AE886" s="3">
        <v>0.0</v>
      </c>
      <c r="AF886" s="3">
        <v>0.0</v>
      </c>
      <c r="AG886" s="3">
        <v>0.0</v>
      </c>
    </row>
    <row r="887">
      <c r="A887" s="3" t="s">
        <v>470</v>
      </c>
      <c r="B887" s="3" t="s">
        <v>1987</v>
      </c>
      <c r="C887" s="3" t="str">
        <f t="shared" si="1"/>
        <v>PT. Digital Solusi Pratama</v>
      </c>
      <c r="D887" s="3" t="s">
        <v>103</v>
      </c>
      <c r="E887" s="3" t="s">
        <v>85</v>
      </c>
      <c r="F887" s="3" t="s">
        <v>407</v>
      </c>
      <c r="G887" s="3" t="s">
        <v>63</v>
      </c>
      <c r="H887" s="3" t="str">
        <f t="array" ref="H887">XLOOKUP(G:G,'Account Manager Data'!A:A,'Account Manager Data'!B:B,0)</f>
        <v>Hendra Gunawan</v>
      </c>
      <c r="I887" s="11" t="str">
        <f t="array" ref="I887">XLOOKUP($G:$G,'Account Manager Data'!$A:$A,'Account Manager Data'!C:C)</f>
        <v>Kalimantan</v>
      </c>
      <c r="J887" s="17">
        <v>760999.0</v>
      </c>
      <c r="K887" s="17">
        <v>3089469.0</v>
      </c>
      <c r="L887" s="17">
        <v>4960917.0</v>
      </c>
      <c r="M887" s="17">
        <v>9281143.0</v>
      </c>
      <c r="N887" s="17">
        <v>1.4013413E7</v>
      </c>
      <c r="O887" s="17">
        <v>1.3423876E7</v>
      </c>
      <c r="P887" s="17">
        <v>1111649.0</v>
      </c>
      <c r="Q887" s="17">
        <v>1.0032638E7</v>
      </c>
      <c r="R887" s="17">
        <v>1.2897881E7</v>
      </c>
      <c r="S887" s="17">
        <v>6240144.0</v>
      </c>
      <c r="T887" s="17">
        <v>1.0782997E7</v>
      </c>
      <c r="U887" s="17">
        <v>1.3472256E7</v>
      </c>
      <c r="V887" s="11">
        <f t="array" ref="V887">XLOOKUP(A:A,'Raw Revenue'!A:A,'Raw Revenue'!B:B,0)
</f>
        <v>9282679.039</v>
      </c>
      <c r="W887" s="11">
        <f t="array" ref="W887">XLOOKUP(A:A,'Raw Revenue'!C:C,'Raw Revenue'!D:D,0)</f>
        <v>9282679.039</v>
      </c>
      <c r="X887" s="11">
        <f t="array" ref="X887">XLOOKUP(A:A,'Raw Revenue'!E:E,'Raw Revenue'!F:F,0)</f>
        <v>18565358.08</v>
      </c>
      <c r="Y887" s="11">
        <f t="array" ref="Y887">XLOOKUP(A:A,'Raw Revenue'!G:G,'Raw Revenue'!H:H,0)</f>
        <v>15161709.1</v>
      </c>
      <c r="Z887" s="11">
        <f t="array" ref="Z887">XLOOKUP(A:A,'Raw Revenue'!I:I,'Raw Revenue'!J:J,0)</f>
        <v>13614595.92</v>
      </c>
      <c r="AA887" s="11">
        <f t="array" ref="AA887">XLOOKUP(A:A,'Raw Revenue'!K:K,'Raw Revenue'!L:L,0)</f>
        <v>34810046.4</v>
      </c>
      <c r="AB887" s="11">
        <f t="array" ref="AB887">XLOOKUP(A:A,'Raw Revenue'!M:M,'Raw Revenue'!N:N,0)</f>
        <v>32025242.69</v>
      </c>
      <c r="AC887" s="3">
        <v>0.0</v>
      </c>
      <c r="AD887" s="3">
        <v>0.0</v>
      </c>
      <c r="AE887" s="3">
        <v>0.0</v>
      </c>
      <c r="AF887" s="3">
        <v>0.0</v>
      </c>
      <c r="AG887" s="3">
        <v>0.0</v>
      </c>
    </row>
    <row r="888">
      <c r="A888" s="3" t="s">
        <v>1988</v>
      </c>
      <c r="B888" s="3" t="s">
        <v>1989</v>
      </c>
      <c r="C888" s="3" t="str">
        <f t="shared" si="1"/>
        <v>PT. Global Niaga Abadi</v>
      </c>
      <c r="D888" s="3" t="s">
        <v>84</v>
      </c>
      <c r="E888" s="3" t="s">
        <v>85</v>
      </c>
      <c r="F888" s="3" t="s">
        <v>86</v>
      </c>
      <c r="G888" s="3" t="s">
        <v>35</v>
      </c>
      <c r="H888" s="3" t="str">
        <f t="array" ref="H888">XLOOKUP(G:G,'Account Manager Data'!A:A,'Account Manager Data'!B:B,0)</f>
        <v>Ahmad Fauzi</v>
      </c>
      <c r="I888" s="11" t="str">
        <f t="array" ref="I888">XLOOKUP($G:$G,'Account Manager Data'!$A:$A,'Account Manager Data'!C:C)</f>
        <v>Sumatera</v>
      </c>
      <c r="J888" s="17">
        <v>3441630.0</v>
      </c>
      <c r="K888" s="17">
        <v>5036375.0</v>
      </c>
      <c r="L888" s="17">
        <v>9464234.0</v>
      </c>
      <c r="M888" s="17">
        <v>9882797.0</v>
      </c>
      <c r="N888" s="17">
        <v>5156471.0</v>
      </c>
      <c r="O888" s="17">
        <v>8689095.0</v>
      </c>
      <c r="P888" s="17">
        <v>5662144.0</v>
      </c>
      <c r="Q888" s="17">
        <v>3309285.0</v>
      </c>
      <c r="R888" s="17">
        <v>1.5657945E7</v>
      </c>
      <c r="S888" s="17">
        <v>9856655.0</v>
      </c>
      <c r="T888" s="17">
        <v>0.0</v>
      </c>
      <c r="U888" s="17">
        <v>1.6220338E7</v>
      </c>
      <c r="V888" s="11">
        <f t="array" ref="V888">XLOOKUP(A:A,'Raw Revenue'!A:A,'Raw Revenue'!B:B,0)
</f>
        <v>0</v>
      </c>
      <c r="W888" s="11">
        <f t="array" ref="W888">XLOOKUP(A:A,'Raw Revenue'!C:C,'Raw Revenue'!D:D,0)</f>
        <v>0</v>
      </c>
      <c r="X888" s="11">
        <f t="array" ref="X888">XLOOKUP(A:A,'Raw Revenue'!E:E,'Raw Revenue'!F:F,0)</f>
        <v>0</v>
      </c>
      <c r="Y888" s="11">
        <f t="array" ref="Y888">XLOOKUP(A:A,'Raw Revenue'!G:G,'Raw Revenue'!H:H,0)</f>
        <v>0</v>
      </c>
      <c r="Z888" s="11">
        <f t="array" ref="Z888">XLOOKUP(A:A,'Raw Revenue'!I:I,'Raw Revenue'!J:J,0)</f>
        <v>0</v>
      </c>
      <c r="AA888" s="11">
        <f t="array" ref="AA888">XLOOKUP(A:A,'Raw Revenue'!K:K,'Raw Revenue'!L:L,0)</f>
        <v>0</v>
      </c>
      <c r="AB888" s="11">
        <f t="array" ref="AB888">XLOOKUP(A:A,'Raw Revenue'!M:M,'Raw Revenue'!N:N,0)</f>
        <v>0</v>
      </c>
      <c r="AC888" s="3">
        <v>0.0</v>
      </c>
      <c r="AD888" s="3">
        <v>0.0</v>
      </c>
      <c r="AE888" s="3">
        <v>0.0</v>
      </c>
      <c r="AF888" s="3">
        <v>0.0</v>
      </c>
      <c r="AG888" s="3">
        <v>0.0</v>
      </c>
    </row>
    <row r="889">
      <c r="A889" s="3" t="s">
        <v>1990</v>
      </c>
      <c r="B889" s="3" t="s">
        <v>1991</v>
      </c>
      <c r="C889" s="3" t="str">
        <f t="shared" si="1"/>
        <v>PT. Indo Makmur Sentosa</v>
      </c>
      <c r="D889" s="3" t="s">
        <v>195</v>
      </c>
      <c r="E889" s="3" t="s">
        <v>215</v>
      </c>
      <c r="F889" s="3" t="s">
        <v>227</v>
      </c>
      <c r="G889" s="3" t="s">
        <v>74</v>
      </c>
      <c r="H889" s="3" t="str">
        <f t="array" ref="H889">XLOOKUP(G:G,'Account Manager Data'!A:A,'Account Manager Data'!B:B,0)</f>
        <v>Budi Santoso</v>
      </c>
      <c r="I889" s="11" t="str">
        <f t="array" ref="I889">XLOOKUP($G:$G,'Account Manager Data'!$A:$A,'Account Manager Data'!C:C)</f>
        <v>Papua</v>
      </c>
      <c r="J889" s="17">
        <v>2596486.0</v>
      </c>
      <c r="K889" s="17">
        <v>1498057.0</v>
      </c>
      <c r="L889" s="17">
        <v>3751292.0</v>
      </c>
      <c r="M889" s="17">
        <v>6733146.0</v>
      </c>
      <c r="N889" s="17">
        <v>2376029.0</v>
      </c>
      <c r="O889" s="17">
        <v>2843192.0</v>
      </c>
      <c r="P889" s="17">
        <v>1.2408938E7</v>
      </c>
      <c r="Q889" s="17">
        <v>0.0</v>
      </c>
      <c r="R889" s="17">
        <v>6405909.0</v>
      </c>
      <c r="S889" s="17">
        <v>0.0</v>
      </c>
      <c r="T889" s="17">
        <v>1.5027336E7</v>
      </c>
      <c r="U889" s="17">
        <v>263336.0</v>
      </c>
      <c r="V889" s="11">
        <f t="array" ref="V889">XLOOKUP(A:A,'Raw Revenue'!A:A,'Raw Revenue'!B:B,0)
</f>
        <v>0</v>
      </c>
      <c r="W889" s="11">
        <f t="array" ref="W889">XLOOKUP(A:A,'Raw Revenue'!C:C,'Raw Revenue'!D:D,0)</f>
        <v>0</v>
      </c>
      <c r="X889" s="11">
        <f t="array" ref="X889">XLOOKUP(A:A,'Raw Revenue'!E:E,'Raw Revenue'!F:F,0)</f>
        <v>0</v>
      </c>
      <c r="Y889" s="11">
        <f t="array" ref="Y889">XLOOKUP(A:A,'Raw Revenue'!G:G,'Raw Revenue'!H:H,0)</f>
        <v>0</v>
      </c>
      <c r="Z889" s="11">
        <f t="array" ref="Z889">XLOOKUP(A:A,'Raw Revenue'!I:I,'Raw Revenue'!J:J,0)</f>
        <v>0</v>
      </c>
      <c r="AA889" s="11">
        <f t="array" ref="AA889">XLOOKUP(A:A,'Raw Revenue'!K:K,'Raw Revenue'!L:L,0)</f>
        <v>0</v>
      </c>
      <c r="AB889" s="11">
        <f t="array" ref="AB889">XLOOKUP(A:A,'Raw Revenue'!M:M,'Raw Revenue'!N:N,0)</f>
        <v>0</v>
      </c>
      <c r="AC889" s="3">
        <v>0.0</v>
      </c>
      <c r="AD889" s="3">
        <v>0.0</v>
      </c>
      <c r="AE889" s="3">
        <v>0.0</v>
      </c>
      <c r="AF889" s="3">
        <v>0.0</v>
      </c>
      <c r="AG889" s="3">
        <v>0.0</v>
      </c>
    </row>
    <row r="890">
      <c r="A890" s="3" t="s">
        <v>262</v>
      </c>
      <c r="B890" s="3" t="s">
        <v>1992</v>
      </c>
      <c r="C890" s="3" t="str">
        <f t="shared" si="1"/>
        <v>PT. Citra Mandiri Utama</v>
      </c>
      <c r="D890" s="3" t="s">
        <v>103</v>
      </c>
      <c r="E890" s="3" t="s">
        <v>215</v>
      </c>
      <c r="F890" s="3" t="s">
        <v>227</v>
      </c>
      <c r="G890" s="3" t="s">
        <v>43</v>
      </c>
      <c r="H890" s="3" t="str">
        <f t="array" ref="H890">XLOOKUP(G:G,'Account Manager Data'!A:A,'Account Manager Data'!B:B,0)</f>
        <v>Eko Prasetyo</v>
      </c>
      <c r="I890" s="11" t="str">
        <f t="array" ref="I890">XLOOKUP($G:$G,'Account Manager Data'!$A:$A,'Account Manager Data'!C:C)</f>
        <v>Papua</v>
      </c>
      <c r="J890" s="17">
        <v>4642076.0</v>
      </c>
      <c r="K890" s="17">
        <v>2971759.0</v>
      </c>
      <c r="L890" s="17">
        <v>883293.0</v>
      </c>
      <c r="M890" s="17">
        <v>0.0</v>
      </c>
      <c r="N890" s="17">
        <v>1.3363166E7</v>
      </c>
      <c r="O890" s="17">
        <v>9055262.0</v>
      </c>
      <c r="P890" s="17">
        <v>6826124.0</v>
      </c>
      <c r="Q890" s="17">
        <v>1812163.0</v>
      </c>
      <c r="R890" s="17">
        <v>1.604507E7</v>
      </c>
      <c r="S890" s="17">
        <v>3001628.0</v>
      </c>
      <c r="T890" s="17">
        <v>1.1151375E7</v>
      </c>
      <c r="U890" s="17">
        <v>3594662.0</v>
      </c>
      <c r="V890" s="11">
        <f t="array" ref="V890">XLOOKUP(A:A,'Raw Revenue'!A:A,'Raw Revenue'!B:B,0)
</f>
        <v>11444398.82</v>
      </c>
      <c r="W890" s="11">
        <f t="array" ref="W890">XLOOKUP(A:A,'Raw Revenue'!C:C,'Raw Revenue'!D:D,0)</f>
        <v>11444398.82</v>
      </c>
      <c r="X890" s="11">
        <f t="array" ref="X890">XLOOKUP(A:A,'Raw Revenue'!E:E,'Raw Revenue'!F:F,0)</f>
        <v>22888797.63</v>
      </c>
      <c r="Y890" s="11">
        <f t="array" ref="Y890">XLOOKUP(A:A,'Raw Revenue'!G:G,'Raw Revenue'!H:H,0)</f>
        <v>18692518.07</v>
      </c>
      <c r="Z890" s="11">
        <f t="array" ref="Z890">XLOOKUP(A:A,'Raw Revenue'!I:I,'Raw Revenue'!J:J,0)</f>
        <v>16785118.26</v>
      </c>
      <c r="AA890" s="11">
        <f t="array" ref="AA890">XLOOKUP(A:A,'Raw Revenue'!K:K,'Raw Revenue'!L:L,0)</f>
        <v>42916495.56</v>
      </c>
      <c r="AB890" s="11">
        <f t="array" ref="AB890">XLOOKUP(A:A,'Raw Revenue'!M:M,'Raw Revenue'!N:N,0)</f>
        <v>39483175.91</v>
      </c>
      <c r="AC890" s="3">
        <v>0.0</v>
      </c>
      <c r="AD890" s="3">
        <v>0.0</v>
      </c>
      <c r="AE890" s="3">
        <v>0.0</v>
      </c>
      <c r="AF890" s="3">
        <v>0.0</v>
      </c>
      <c r="AG890" s="3">
        <v>0.0</v>
      </c>
    </row>
    <row r="891">
      <c r="A891" s="3" t="s">
        <v>1993</v>
      </c>
      <c r="B891" s="3" t="s">
        <v>1994</v>
      </c>
      <c r="C891" s="3" t="str">
        <f t="shared" si="1"/>
        <v>PT. Sinar Dunia Baru</v>
      </c>
      <c r="D891" s="3" t="s">
        <v>84</v>
      </c>
      <c r="E891" s="3" t="s">
        <v>104</v>
      </c>
      <c r="F891" s="3" t="s">
        <v>105</v>
      </c>
      <c r="G891" s="3" t="s">
        <v>76</v>
      </c>
      <c r="H891" s="3" t="str">
        <f t="array" ref="H891">XLOOKUP(G:G,'Account Manager Data'!A:A,'Account Manager Data'!B:B,0)</f>
        <v>Teguh Wijaya</v>
      </c>
      <c r="I891" s="11" t="str">
        <f t="array" ref="I891">XLOOKUP($G:$G,'Account Manager Data'!$A:$A,'Account Manager Data'!C:C)</f>
        <v>Sulawesi</v>
      </c>
      <c r="J891" s="17">
        <v>2509646.0</v>
      </c>
      <c r="K891" s="17">
        <v>5756932.0</v>
      </c>
      <c r="L891" s="17">
        <v>7065211.0</v>
      </c>
      <c r="M891" s="17">
        <v>1.094382E7</v>
      </c>
      <c r="N891" s="17">
        <v>1789480.0</v>
      </c>
      <c r="O891" s="17">
        <v>4300972.0</v>
      </c>
      <c r="P891" s="17">
        <v>6673752.0</v>
      </c>
      <c r="Q891" s="17">
        <v>77683.0</v>
      </c>
      <c r="R891" s="17">
        <v>1.5792449E7</v>
      </c>
      <c r="S891" s="17">
        <v>1.7238312E7</v>
      </c>
      <c r="T891" s="17">
        <v>1.1893516E7</v>
      </c>
      <c r="U891" s="17">
        <v>853985.0</v>
      </c>
      <c r="V891" s="11">
        <f t="array" ref="V891">XLOOKUP(A:A,'Raw Revenue'!A:A,'Raw Revenue'!B:B,0)
</f>
        <v>0</v>
      </c>
      <c r="W891" s="11">
        <f t="array" ref="W891">XLOOKUP(A:A,'Raw Revenue'!C:C,'Raw Revenue'!D:D,0)</f>
        <v>0</v>
      </c>
      <c r="X891" s="11">
        <f t="array" ref="X891">XLOOKUP(A:A,'Raw Revenue'!E:E,'Raw Revenue'!F:F,0)</f>
        <v>0</v>
      </c>
      <c r="Y891" s="11">
        <f t="array" ref="Y891">XLOOKUP(A:A,'Raw Revenue'!G:G,'Raw Revenue'!H:H,0)</f>
        <v>0</v>
      </c>
      <c r="Z891" s="11">
        <f t="array" ref="Z891">XLOOKUP(A:A,'Raw Revenue'!I:I,'Raw Revenue'!J:J,0)</f>
        <v>0</v>
      </c>
      <c r="AA891" s="11">
        <f t="array" ref="AA891">XLOOKUP(A:A,'Raw Revenue'!K:K,'Raw Revenue'!L:L,0)</f>
        <v>0</v>
      </c>
      <c r="AB891" s="11">
        <f t="array" ref="AB891">XLOOKUP(A:A,'Raw Revenue'!M:M,'Raw Revenue'!N:N,0)</f>
        <v>0</v>
      </c>
      <c r="AC891" s="3">
        <v>0.0</v>
      </c>
      <c r="AD891" s="3">
        <v>0.0</v>
      </c>
      <c r="AE891" s="3">
        <v>0.0</v>
      </c>
      <c r="AF891" s="3">
        <v>0.0</v>
      </c>
      <c r="AG891" s="3">
        <v>0.0</v>
      </c>
    </row>
    <row r="892">
      <c r="A892" s="3" t="s">
        <v>1995</v>
      </c>
      <c r="B892" s="3" t="s">
        <v>1996</v>
      </c>
      <c r="C892" s="3" t="str">
        <f t="shared" si="1"/>
        <v>CV. Karya Utama Mandiri</v>
      </c>
      <c r="D892" s="3" t="s">
        <v>214</v>
      </c>
      <c r="E892" s="3" t="s">
        <v>187</v>
      </c>
      <c r="F892" s="3" t="s">
        <v>295</v>
      </c>
      <c r="G892" s="3" t="s">
        <v>70</v>
      </c>
      <c r="H892" s="3" t="str">
        <f t="array" ref="H892">XLOOKUP(G:G,'Account Manager Data'!A:A,'Account Manager Data'!B:B,0)</f>
        <v>Yusuf Hidayat</v>
      </c>
      <c r="I892" s="11" t="str">
        <f t="array" ref="I892">XLOOKUP($G:$G,'Account Manager Data'!$A:$A,'Account Manager Data'!C:C)</f>
        <v>Sumatera</v>
      </c>
      <c r="J892" s="17">
        <v>3763764.0</v>
      </c>
      <c r="K892" s="17">
        <v>6577075.0</v>
      </c>
      <c r="L892" s="17">
        <v>4492210.0</v>
      </c>
      <c r="M892" s="17">
        <v>7619895.0</v>
      </c>
      <c r="N892" s="17">
        <v>650015.0</v>
      </c>
      <c r="O892" s="17">
        <v>1992504.0</v>
      </c>
      <c r="P892" s="17">
        <v>2045017.0</v>
      </c>
      <c r="Q892" s="17">
        <v>1413791.0</v>
      </c>
      <c r="R892" s="17">
        <v>0.0</v>
      </c>
      <c r="S892" s="17">
        <v>1.6774906E7</v>
      </c>
      <c r="T892" s="17">
        <v>1825743.0</v>
      </c>
      <c r="U892" s="17">
        <v>5154670.0</v>
      </c>
      <c r="V892" s="11">
        <f t="array" ref="V892">XLOOKUP(A:A,'Raw Revenue'!A:A,'Raw Revenue'!B:B,0)
</f>
        <v>0</v>
      </c>
      <c r="W892" s="11">
        <f t="array" ref="W892">XLOOKUP(A:A,'Raw Revenue'!C:C,'Raw Revenue'!D:D,0)</f>
        <v>0</v>
      </c>
      <c r="X892" s="11">
        <f t="array" ref="X892">XLOOKUP(A:A,'Raw Revenue'!E:E,'Raw Revenue'!F:F,0)</f>
        <v>0</v>
      </c>
      <c r="Y892" s="11">
        <f t="array" ref="Y892">XLOOKUP(A:A,'Raw Revenue'!G:G,'Raw Revenue'!H:H,0)</f>
        <v>0</v>
      </c>
      <c r="Z892" s="11">
        <f t="array" ref="Z892">XLOOKUP(A:A,'Raw Revenue'!I:I,'Raw Revenue'!J:J,0)</f>
        <v>0</v>
      </c>
      <c r="AA892" s="11">
        <f t="array" ref="AA892">XLOOKUP(A:A,'Raw Revenue'!K:K,'Raw Revenue'!L:L,0)</f>
        <v>0</v>
      </c>
      <c r="AB892" s="11">
        <f t="array" ref="AB892">XLOOKUP(A:A,'Raw Revenue'!M:M,'Raw Revenue'!N:N,0)</f>
        <v>0</v>
      </c>
      <c r="AC892" s="3">
        <v>0.0</v>
      </c>
      <c r="AD892" s="3">
        <v>0.0</v>
      </c>
      <c r="AE892" s="3">
        <v>0.0</v>
      </c>
      <c r="AF892" s="3">
        <v>0.0</v>
      </c>
      <c r="AG892" s="3">
        <v>0.0</v>
      </c>
    </row>
    <row r="893">
      <c r="A893" s="3" t="s">
        <v>1997</v>
      </c>
      <c r="B893" s="3" t="s">
        <v>1998</v>
      </c>
      <c r="C893" s="3" t="str">
        <f t="shared" si="1"/>
        <v>PT. Pratama Jaya Sentosa</v>
      </c>
      <c r="D893" s="3" t="s">
        <v>195</v>
      </c>
      <c r="E893" s="3" t="s">
        <v>196</v>
      </c>
      <c r="F893" s="3" t="s">
        <v>260</v>
      </c>
      <c r="G893" s="3" t="s">
        <v>15</v>
      </c>
      <c r="H893" s="3" t="str">
        <f t="array" ref="H893">XLOOKUP(G:G,'Account Manager Data'!A:A,'Account Manager Data'!B:B,0)</f>
        <v>Rizky Maulana</v>
      </c>
      <c r="I893" s="11" t="str">
        <f t="array" ref="I893">XLOOKUP($G:$G,'Account Manager Data'!$A:$A,'Account Manager Data'!C:C)</f>
        <v>Jawa</v>
      </c>
      <c r="J893" s="17">
        <v>8066560.0</v>
      </c>
      <c r="K893" s="17">
        <v>8436309.0</v>
      </c>
      <c r="L893" s="17">
        <v>0.0</v>
      </c>
      <c r="M893" s="17">
        <v>963674.0</v>
      </c>
      <c r="N893" s="17">
        <v>3007629.0</v>
      </c>
      <c r="O893" s="17">
        <v>7514111.0</v>
      </c>
      <c r="P893" s="17">
        <v>3217100.0</v>
      </c>
      <c r="Q893" s="17">
        <v>2601962.0</v>
      </c>
      <c r="R893" s="17">
        <v>1.7032108E7</v>
      </c>
      <c r="S893" s="17">
        <v>3461396.0</v>
      </c>
      <c r="T893" s="17">
        <v>3020646.0</v>
      </c>
      <c r="U893" s="17">
        <v>4503664.0</v>
      </c>
      <c r="V893" s="11">
        <f t="array" ref="V893">XLOOKUP(A:A,'Raw Revenue'!A:A,'Raw Revenue'!B:B,0)
</f>
        <v>0</v>
      </c>
      <c r="W893" s="11">
        <f t="array" ref="W893">XLOOKUP(A:A,'Raw Revenue'!C:C,'Raw Revenue'!D:D,0)</f>
        <v>0</v>
      </c>
      <c r="X893" s="11">
        <f t="array" ref="X893">XLOOKUP(A:A,'Raw Revenue'!E:E,'Raw Revenue'!F:F,0)</f>
        <v>0</v>
      </c>
      <c r="Y893" s="11">
        <f t="array" ref="Y893">XLOOKUP(A:A,'Raw Revenue'!G:G,'Raw Revenue'!H:H,0)</f>
        <v>0</v>
      </c>
      <c r="Z893" s="11">
        <f t="array" ref="Z893">XLOOKUP(A:A,'Raw Revenue'!I:I,'Raw Revenue'!J:J,0)</f>
        <v>0</v>
      </c>
      <c r="AA893" s="11">
        <f t="array" ref="AA893">XLOOKUP(A:A,'Raw Revenue'!K:K,'Raw Revenue'!L:L,0)</f>
        <v>0</v>
      </c>
      <c r="AB893" s="11">
        <f t="array" ref="AB893">XLOOKUP(A:A,'Raw Revenue'!M:M,'Raw Revenue'!N:N,0)</f>
        <v>0</v>
      </c>
      <c r="AC893" s="3">
        <v>0.0</v>
      </c>
      <c r="AD893" s="3">
        <v>0.0</v>
      </c>
      <c r="AE893" s="3">
        <v>0.0</v>
      </c>
      <c r="AF893" s="3">
        <v>0.0</v>
      </c>
      <c r="AG893" s="3">
        <v>0.0</v>
      </c>
    </row>
    <row r="894">
      <c r="A894" s="3" t="s">
        <v>1999</v>
      </c>
      <c r="B894" s="3" t="s">
        <v>2000</v>
      </c>
      <c r="C894" s="3" t="str">
        <f t="shared" si="1"/>
        <v>PT. Abadi Selamanya Jaya</v>
      </c>
      <c r="D894" s="3" t="s">
        <v>130</v>
      </c>
      <c r="E894" s="3" t="s">
        <v>196</v>
      </c>
      <c r="F894" s="3" t="s">
        <v>315</v>
      </c>
      <c r="G894" s="3" t="s">
        <v>53</v>
      </c>
      <c r="H894" s="3" t="str">
        <f t="array" ref="H894">XLOOKUP(G:G,'Account Manager Data'!A:A,'Account Manager Data'!B:B,0)</f>
        <v>Fajar Ramadhan</v>
      </c>
      <c r="I894" s="11" t="str">
        <f t="array" ref="I894">XLOOKUP($G:$G,'Account Manager Data'!$A:$A,'Account Manager Data'!C:C)</f>
        <v>Sulawesi</v>
      </c>
      <c r="J894" s="17">
        <v>7857390.0</v>
      </c>
      <c r="K894" s="17">
        <v>6402547.0</v>
      </c>
      <c r="L894" s="17">
        <v>4069352.0</v>
      </c>
      <c r="M894" s="17">
        <v>9171710.0</v>
      </c>
      <c r="N894" s="17">
        <v>0.0</v>
      </c>
      <c r="O894" s="17">
        <v>9226395.0</v>
      </c>
      <c r="P894" s="17">
        <v>1.3381485E7</v>
      </c>
      <c r="Q894" s="17">
        <v>0.0</v>
      </c>
      <c r="R894" s="17">
        <v>1540712.0</v>
      </c>
      <c r="S894" s="17">
        <v>1.1763252E7</v>
      </c>
      <c r="T894" s="17">
        <v>231402.0</v>
      </c>
      <c r="U894" s="17">
        <v>1.8110168E7</v>
      </c>
      <c r="V894" s="11">
        <f t="array" ref="V894">XLOOKUP(A:A,'Raw Revenue'!A:A,'Raw Revenue'!B:B,0)
</f>
        <v>0</v>
      </c>
      <c r="W894" s="11">
        <f t="array" ref="W894">XLOOKUP(A:A,'Raw Revenue'!C:C,'Raw Revenue'!D:D,0)</f>
        <v>0</v>
      </c>
      <c r="X894" s="11">
        <f t="array" ref="X894">XLOOKUP(A:A,'Raw Revenue'!E:E,'Raw Revenue'!F:F,0)</f>
        <v>0</v>
      </c>
      <c r="Y894" s="11">
        <f t="array" ref="Y894">XLOOKUP(A:A,'Raw Revenue'!G:G,'Raw Revenue'!H:H,0)</f>
        <v>0</v>
      </c>
      <c r="Z894" s="11">
        <f t="array" ref="Z894">XLOOKUP(A:A,'Raw Revenue'!I:I,'Raw Revenue'!J:J,0)</f>
        <v>0</v>
      </c>
      <c r="AA894" s="11">
        <f t="array" ref="AA894">XLOOKUP(A:A,'Raw Revenue'!K:K,'Raw Revenue'!L:L,0)</f>
        <v>0</v>
      </c>
      <c r="AB894" s="11">
        <f t="array" ref="AB894">XLOOKUP(A:A,'Raw Revenue'!M:M,'Raw Revenue'!N:N,0)</f>
        <v>0</v>
      </c>
      <c r="AC894" s="3">
        <v>0.0</v>
      </c>
      <c r="AD894" s="3">
        <v>0.0</v>
      </c>
      <c r="AE894" s="3">
        <v>0.0</v>
      </c>
      <c r="AF894" s="3">
        <v>0.0</v>
      </c>
      <c r="AG894" s="3">
        <v>0.0</v>
      </c>
    </row>
    <row r="895">
      <c r="A895" s="3" t="s">
        <v>2001</v>
      </c>
      <c r="B895" s="3" t="s">
        <v>2002</v>
      </c>
      <c r="C895" s="3" t="str">
        <f t="shared" si="1"/>
        <v>PT. Mandiri Sejahtera Bersama</v>
      </c>
      <c r="D895" s="3" t="s">
        <v>186</v>
      </c>
      <c r="E895" s="3" t="s">
        <v>187</v>
      </c>
      <c r="F895" s="3" t="s">
        <v>295</v>
      </c>
      <c r="G895" s="3" t="s">
        <v>27</v>
      </c>
      <c r="H895" s="3" t="str">
        <f t="array" ref="H895">XLOOKUP(G:G,'Account Manager Data'!A:A,'Account Manager Data'!B:B,0)</f>
        <v>Dedi Kurniawan</v>
      </c>
      <c r="I895" s="11" t="str">
        <f t="array" ref="I895">XLOOKUP($G:$G,'Account Manager Data'!$A:$A,'Account Manager Data'!C:C)</f>
        <v>Kalimantan</v>
      </c>
      <c r="J895" s="17">
        <v>345474.0</v>
      </c>
      <c r="K895" s="17">
        <v>4443612.0</v>
      </c>
      <c r="L895" s="17">
        <v>776172.0</v>
      </c>
      <c r="M895" s="17">
        <v>5623454.0</v>
      </c>
      <c r="N895" s="17">
        <v>8022205.0</v>
      </c>
      <c r="O895" s="17">
        <v>1.1145741E7</v>
      </c>
      <c r="P895" s="17">
        <v>2446426.0</v>
      </c>
      <c r="Q895" s="17">
        <v>1.5187092E7</v>
      </c>
      <c r="R895" s="17">
        <v>5774691.0</v>
      </c>
      <c r="S895" s="17">
        <v>1.0437742E7</v>
      </c>
      <c r="T895" s="17">
        <v>1439304.0</v>
      </c>
      <c r="U895" s="17">
        <v>0.0</v>
      </c>
      <c r="V895" s="11">
        <f t="array" ref="V895">XLOOKUP(A:A,'Raw Revenue'!A:A,'Raw Revenue'!B:B,0)
</f>
        <v>0</v>
      </c>
      <c r="W895" s="11">
        <f t="array" ref="W895">XLOOKUP(A:A,'Raw Revenue'!C:C,'Raw Revenue'!D:D,0)</f>
        <v>0</v>
      </c>
      <c r="X895" s="11">
        <f t="array" ref="X895">XLOOKUP(A:A,'Raw Revenue'!E:E,'Raw Revenue'!F:F,0)</f>
        <v>0</v>
      </c>
      <c r="Y895" s="11">
        <f t="array" ref="Y895">XLOOKUP(A:A,'Raw Revenue'!G:G,'Raw Revenue'!H:H,0)</f>
        <v>0</v>
      </c>
      <c r="Z895" s="11">
        <f t="array" ref="Z895">XLOOKUP(A:A,'Raw Revenue'!I:I,'Raw Revenue'!J:J,0)</f>
        <v>0</v>
      </c>
      <c r="AA895" s="11">
        <f t="array" ref="AA895">XLOOKUP(A:A,'Raw Revenue'!K:K,'Raw Revenue'!L:L,0)</f>
        <v>0</v>
      </c>
      <c r="AB895" s="11">
        <f t="array" ref="AB895">XLOOKUP(A:A,'Raw Revenue'!M:M,'Raw Revenue'!N:N,0)</f>
        <v>0</v>
      </c>
      <c r="AC895" s="3">
        <v>0.0</v>
      </c>
      <c r="AD895" s="3">
        <v>0.0</v>
      </c>
      <c r="AE895" s="3">
        <v>0.0</v>
      </c>
      <c r="AF895" s="3">
        <v>0.0</v>
      </c>
      <c r="AG895" s="3">
        <v>0.0</v>
      </c>
    </row>
    <row r="896">
      <c r="A896" s="3" t="s">
        <v>2003</v>
      </c>
      <c r="B896" s="3" t="s">
        <v>2004</v>
      </c>
      <c r="C896" s="3" t="str">
        <f t="shared" si="1"/>
        <v>PT. Sejahtera Alam Indonesia</v>
      </c>
      <c r="D896" s="3" t="s">
        <v>130</v>
      </c>
      <c r="E896" s="3" t="s">
        <v>85</v>
      </c>
      <c r="F896" s="3" t="s">
        <v>248</v>
      </c>
      <c r="G896" s="3" t="s">
        <v>78</v>
      </c>
      <c r="H896" s="3" t="str">
        <f t="array" ref="H896">XLOOKUP(G:G,'Account Manager Data'!A:A,'Account Manager Data'!B:B,0)</f>
        <v>Ilham Saputra</v>
      </c>
      <c r="I896" s="11" t="str">
        <f t="array" ref="I896">XLOOKUP($G:$G,'Account Manager Data'!$A:$A,'Account Manager Data'!C:C)</f>
        <v>Jawa</v>
      </c>
      <c r="J896" s="17">
        <v>6371269.0</v>
      </c>
      <c r="K896" s="17">
        <v>5582868.0</v>
      </c>
      <c r="L896" s="17">
        <v>8467952.0</v>
      </c>
      <c r="M896" s="17">
        <v>8536084.0</v>
      </c>
      <c r="N896" s="17">
        <v>3893215.0</v>
      </c>
      <c r="O896" s="17">
        <v>1.2817345E7</v>
      </c>
      <c r="P896" s="17">
        <v>3002440.0</v>
      </c>
      <c r="Q896" s="17">
        <v>1366839.0</v>
      </c>
      <c r="R896" s="17">
        <v>6331075.0</v>
      </c>
      <c r="S896" s="17">
        <v>1.38586E7</v>
      </c>
      <c r="T896" s="17">
        <v>1.9262043E7</v>
      </c>
      <c r="U896" s="17">
        <v>1.2073811E7</v>
      </c>
      <c r="V896" s="11">
        <f t="array" ref="V896">XLOOKUP(A:A,'Raw Revenue'!A:A,'Raw Revenue'!B:B,0)
</f>
        <v>0</v>
      </c>
      <c r="W896" s="11">
        <f t="array" ref="W896">XLOOKUP(A:A,'Raw Revenue'!C:C,'Raw Revenue'!D:D,0)</f>
        <v>0</v>
      </c>
      <c r="X896" s="11">
        <f t="array" ref="X896">XLOOKUP(A:A,'Raw Revenue'!E:E,'Raw Revenue'!F:F,0)</f>
        <v>0</v>
      </c>
      <c r="Y896" s="11">
        <f t="array" ref="Y896">XLOOKUP(A:A,'Raw Revenue'!G:G,'Raw Revenue'!H:H,0)</f>
        <v>0</v>
      </c>
      <c r="Z896" s="11">
        <f t="array" ref="Z896">XLOOKUP(A:A,'Raw Revenue'!I:I,'Raw Revenue'!J:J,0)</f>
        <v>0</v>
      </c>
      <c r="AA896" s="11">
        <f t="array" ref="AA896">XLOOKUP(A:A,'Raw Revenue'!K:K,'Raw Revenue'!L:L,0)</f>
        <v>0</v>
      </c>
      <c r="AB896" s="11">
        <f t="array" ref="AB896">XLOOKUP(A:A,'Raw Revenue'!M:M,'Raw Revenue'!N:N,0)</f>
        <v>0</v>
      </c>
      <c r="AC896" s="3">
        <v>0.0</v>
      </c>
      <c r="AD896" s="3">
        <v>0.0</v>
      </c>
      <c r="AE896" s="3">
        <v>0.0</v>
      </c>
      <c r="AF896" s="3">
        <v>0.0</v>
      </c>
      <c r="AG896" s="3">
        <v>0.0</v>
      </c>
    </row>
    <row r="897">
      <c r="A897" s="3" t="s">
        <v>2005</v>
      </c>
      <c r="B897" s="3" t="s">
        <v>2006</v>
      </c>
      <c r="C897" s="3" t="str">
        <f t="shared" si="1"/>
        <v>PT. Indah Kargo Logistik</v>
      </c>
      <c r="D897" s="3" t="s">
        <v>130</v>
      </c>
      <c r="E897" s="3" t="s">
        <v>85</v>
      </c>
      <c r="F897" s="3" t="s">
        <v>248</v>
      </c>
      <c r="G897" s="3" t="s">
        <v>63</v>
      </c>
      <c r="H897" s="3" t="str">
        <f t="array" ref="H897">XLOOKUP(G:G,'Account Manager Data'!A:A,'Account Manager Data'!B:B,0)</f>
        <v>Hendra Gunawan</v>
      </c>
      <c r="I897" s="11" t="str">
        <f t="array" ref="I897">XLOOKUP($G:$G,'Account Manager Data'!$A:$A,'Account Manager Data'!C:C)</f>
        <v>Kalimantan</v>
      </c>
      <c r="J897" s="17">
        <v>775226.0</v>
      </c>
      <c r="K897" s="17">
        <v>4735241.0</v>
      </c>
      <c r="L897" s="17">
        <v>1539198.0</v>
      </c>
      <c r="M897" s="17">
        <v>207416.0</v>
      </c>
      <c r="N897" s="17">
        <v>1.3414866E7</v>
      </c>
      <c r="O897" s="17">
        <v>3694733.0</v>
      </c>
      <c r="P897" s="17">
        <v>3484792.0</v>
      </c>
      <c r="Q897" s="17">
        <v>2953239.0</v>
      </c>
      <c r="R897" s="17">
        <v>9598682.0</v>
      </c>
      <c r="S897" s="17">
        <v>1.3139113E7</v>
      </c>
      <c r="T897" s="17">
        <v>1.6924758E7</v>
      </c>
      <c r="U897" s="17">
        <v>1.4531706E7</v>
      </c>
      <c r="V897" s="11">
        <f t="array" ref="V897">XLOOKUP(A:A,'Raw Revenue'!A:A,'Raw Revenue'!B:B,0)
</f>
        <v>0</v>
      </c>
      <c r="W897" s="11">
        <f t="array" ref="W897">XLOOKUP(A:A,'Raw Revenue'!C:C,'Raw Revenue'!D:D,0)</f>
        <v>0</v>
      </c>
      <c r="X897" s="11">
        <f t="array" ref="X897">XLOOKUP(A:A,'Raw Revenue'!E:E,'Raw Revenue'!F:F,0)</f>
        <v>0</v>
      </c>
      <c r="Y897" s="11">
        <f t="array" ref="Y897">XLOOKUP(A:A,'Raw Revenue'!G:G,'Raw Revenue'!H:H,0)</f>
        <v>0</v>
      </c>
      <c r="Z897" s="11">
        <f t="array" ref="Z897">XLOOKUP(A:A,'Raw Revenue'!I:I,'Raw Revenue'!J:J,0)</f>
        <v>0</v>
      </c>
      <c r="AA897" s="11">
        <f t="array" ref="AA897">XLOOKUP(A:A,'Raw Revenue'!K:K,'Raw Revenue'!L:L,0)</f>
        <v>0</v>
      </c>
      <c r="AB897" s="11">
        <f t="array" ref="AB897">XLOOKUP(A:A,'Raw Revenue'!M:M,'Raw Revenue'!N:N,0)</f>
        <v>0</v>
      </c>
      <c r="AC897" s="3">
        <v>0.0</v>
      </c>
      <c r="AD897" s="3">
        <v>0.0</v>
      </c>
      <c r="AE897" s="3">
        <v>0.0</v>
      </c>
      <c r="AF897" s="3">
        <v>0.0</v>
      </c>
      <c r="AG897" s="3">
        <v>0.0</v>
      </c>
    </row>
    <row r="898">
      <c r="A898" s="3" t="s">
        <v>2007</v>
      </c>
      <c r="B898" s="3" t="s">
        <v>2008</v>
      </c>
      <c r="C898" s="3" t="str">
        <f t="shared" si="1"/>
        <v>PT. Berkah Alam Semesta</v>
      </c>
      <c r="D898" s="3" t="s">
        <v>130</v>
      </c>
      <c r="E898" s="3" t="s">
        <v>196</v>
      </c>
      <c r="F898" s="3" t="s">
        <v>315</v>
      </c>
      <c r="G898" s="3" t="s">
        <v>35</v>
      </c>
      <c r="H898" s="3" t="str">
        <f t="array" ref="H898">XLOOKUP(G:G,'Account Manager Data'!A:A,'Account Manager Data'!B:B,0)</f>
        <v>Ahmad Fauzi</v>
      </c>
      <c r="I898" s="11" t="str">
        <f t="array" ref="I898">XLOOKUP($G:$G,'Account Manager Data'!$A:$A,'Account Manager Data'!C:C)</f>
        <v>Sumatera</v>
      </c>
      <c r="J898" s="17">
        <v>6203540.0</v>
      </c>
      <c r="K898" s="17">
        <v>7965944.0</v>
      </c>
      <c r="L898" s="17">
        <v>584015.0</v>
      </c>
      <c r="M898" s="17">
        <v>7559042.0</v>
      </c>
      <c r="N898" s="17">
        <v>9648234.0</v>
      </c>
      <c r="O898" s="17">
        <v>1.3773949E7</v>
      </c>
      <c r="P898" s="17">
        <v>8517264.0</v>
      </c>
      <c r="Q898" s="17">
        <v>1.2221267E7</v>
      </c>
      <c r="R898" s="17">
        <v>4417861.0</v>
      </c>
      <c r="S898" s="17">
        <v>1.6566816E7</v>
      </c>
      <c r="T898" s="17">
        <v>1882443.0</v>
      </c>
      <c r="U898" s="17">
        <v>1.6071277E7</v>
      </c>
      <c r="V898" s="11">
        <f t="array" ref="V898">XLOOKUP(A:A,'Raw Revenue'!A:A,'Raw Revenue'!B:B,0)
</f>
        <v>0</v>
      </c>
      <c r="W898" s="11">
        <f t="array" ref="W898">XLOOKUP(A:A,'Raw Revenue'!C:C,'Raw Revenue'!D:D,0)</f>
        <v>0</v>
      </c>
      <c r="X898" s="11">
        <f t="array" ref="X898">XLOOKUP(A:A,'Raw Revenue'!E:E,'Raw Revenue'!F:F,0)</f>
        <v>0</v>
      </c>
      <c r="Y898" s="11">
        <f t="array" ref="Y898">XLOOKUP(A:A,'Raw Revenue'!G:G,'Raw Revenue'!H:H,0)</f>
        <v>0</v>
      </c>
      <c r="Z898" s="11">
        <f t="array" ref="Z898">XLOOKUP(A:A,'Raw Revenue'!I:I,'Raw Revenue'!J:J,0)</f>
        <v>0</v>
      </c>
      <c r="AA898" s="11">
        <f t="array" ref="AA898">XLOOKUP(A:A,'Raw Revenue'!K:K,'Raw Revenue'!L:L,0)</f>
        <v>0</v>
      </c>
      <c r="AB898" s="11">
        <f t="array" ref="AB898">XLOOKUP(A:A,'Raw Revenue'!M:M,'Raw Revenue'!N:N,0)</f>
        <v>0</v>
      </c>
      <c r="AC898" s="3">
        <v>0.0</v>
      </c>
      <c r="AD898" s="3">
        <v>0.0</v>
      </c>
      <c r="AE898" s="3">
        <v>0.0</v>
      </c>
      <c r="AF898" s="3">
        <v>0.0</v>
      </c>
      <c r="AG898" s="3">
        <v>0.0</v>
      </c>
    </row>
    <row r="899">
      <c r="A899" s="3" t="s">
        <v>2009</v>
      </c>
      <c r="B899" s="3" t="s">
        <v>2010</v>
      </c>
      <c r="C899" s="3" t="str">
        <f t="shared" si="1"/>
        <v>PT. Cahaya Baru Indonesia</v>
      </c>
      <c r="D899" s="3" t="s">
        <v>195</v>
      </c>
      <c r="E899" s="3" t="s">
        <v>187</v>
      </c>
      <c r="F899" s="3" t="s">
        <v>188</v>
      </c>
      <c r="G899" s="3" t="s">
        <v>43</v>
      </c>
      <c r="H899" s="3" t="str">
        <f t="array" ref="H899">XLOOKUP(G:G,'Account Manager Data'!A:A,'Account Manager Data'!B:B,0)</f>
        <v>Eko Prasetyo</v>
      </c>
      <c r="I899" s="11" t="str">
        <f t="array" ref="I899">XLOOKUP($G:$G,'Account Manager Data'!$A:$A,'Account Manager Data'!C:C)</f>
        <v>Papua</v>
      </c>
      <c r="J899" s="17">
        <v>1531058.0</v>
      </c>
      <c r="K899" s="17">
        <v>7215061.0</v>
      </c>
      <c r="L899" s="17">
        <v>9264007.0</v>
      </c>
      <c r="M899" s="17">
        <v>531794.0</v>
      </c>
      <c r="N899" s="17">
        <v>2215392.0</v>
      </c>
      <c r="O899" s="17">
        <v>1.1187973E7</v>
      </c>
      <c r="P899" s="17">
        <v>879112.0</v>
      </c>
      <c r="Q899" s="17">
        <v>6667592.0</v>
      </c>
      <c r="R899" s="17">
        <v>1.4693077E7</v>
      </c>
      <c r="S899" s="17">
        <v>1.0250096E7</v>
      </c>
      <c r="T899" s="17">
        <v>3206585.0</v>
      </c>
      <c r="U899" s="17">
        <v>5337623.0</v>
      </c>
      <c r="V899" s="11">
        <f t="array" ref="V899">XLOOKUP(A:A,'Raw Revenue'!A:A,'Raw Revenue'!B:B,0)
</f>
        <v>0</v>
      </c>
      <c r="W899" s="11">
        <f t="array" ref="W899">XLOOKUP(A:A,'Raw Revenue'!C:C,'Raw Revenue'!D:D,0)</f>
        <v>0</v>
      </c>
      <c r="X899" s="11">
        <f t="array" ref="X899">XLOOKUP(A:A,'Raw Revenue'!E:E,'Raw Revenue'!F:F,0)</f>
        <v>0</v>
      </c>
      <c r="Y899" s="11">
        <f t="array" ref="Y899">XLOOKUP(A:A,'Raw Revenue'!G:G,'Raw Revenue'!H:H,0)</f>
        <v>0</v>
      </c>
      <c r="Z899" s="11">
        <f t="array" ref="Z899">XLOOKUP(A:A,'Raw Revenue'!I:I,'Raw Revenue'!J:J,0)</f>
        <v>0</v>
      </c>
      <c r="AA899" s="11">
        <f t="array" ref="AA899">XLOOKUP(A:A,'Raw Revenue'!K:K,'Raw Revenue'!L:L,0)</f>
        <v>0</v>
      </c>
      <c r="AB899" s="11">
        <f t="array" ref="AB899">XLOOKUP(A:A,'Raw Revenue'!M:M,'Raw Revenue'!N:N,0)</f>
        <v>0</v>
      </c>
      <c r="AC899" s="3">
        <v>0.0</v>
      </c>
      <c r="AD899" s="3">
        <v>0.0</v>
      </c>
      <c r="AE899" s="3">
        <v>0.0</v>
      </c>
      <c r="AF899" s="3">
        <v>0.0</v>
      </c>
      <c r="AG899" s="3">
        <v>0.0</v>
      </c>
    </row>
    <row r="900">
      <c r="A900" s="3" t="s">
        <v>2011</v>
      </c>
      <c r="B900" s="3" t="s">
        <v>2012</v>
      </c>
      <c r="C900" s="3" t="str">
        <f t="shared" si="1"/>
        <v>PT. Mentari Pagi Sejahtera</v>
      </c>
      <c r="D900" s="3" t="s">
        <v>195</v>
      </c>
      <c r="E900" s="3" t="s">
        <v>215</v>
      </c>
      <c r="F900" s="3" t="s">
        <v>300</v>
      </c>
      <c r="G900" s="3" t="s">
        <v>74</v>
      </c>
      <c r="H900" s="3" t="str">
        <f t="array" ref="H900">XLOOKUP(G:G,'Account Manager Data'!A:A,'Account Manager Data'!B:B,0)</f>
        <v>Budi Santoso</v>
      </c>
      <c r="I900" s="11" t="str">
        <f t="array" ref="I900">XLOOKUP($G:$G,'Account Manager Data'!$A:$A,'Account Manager Data'!C:C)</f>
        <v>Papua</v>
      </c>
      <c r="J900" s="17">
        <v>7599338.0</v>
      </c>
      <c r="K900" s="17">
        <v>9080621.0</v>
      </c>
      <c r="L900" s="17">
        <v>292284.0</v>
      </c>
      <c r="M900" s="17">
        <v>3981737.0</v>
      </c>
      <c r="N900" s="17">
        <v>2081779.0</v>
      </c>
      <c r="O900" s="17">
        <v>4280575.0</v>
      </c>
      <c r="P900" s="17">
        <v>2592797.0</v>
      </c>
      <c r="Q900" s="17">
        <v>1683253.0</v>
      </c>
      <c r="R900" s="17">
        <v>1.2735237E7</v>
      </c>
      <c r="S900" s="17">
        <v>9723685.0</v>
      </c>
      <c r="T900" s="17">
        <v>3545095.0</v>
      </c>
      <c r="U900" s="17">
        <v>1.7675791E7</v>
      </c>
      <c r="V900" s="11">
        <f t="array" ref="V900">XLOOKUP(A:A,'Raw Revenue'!A:A,'Raw Revenue'!B:B,0)
</f>
        <v>0</v>
      </c>
      <c r="W900" s="11">
        <f t="array" ref="W900">XLOOKUP(A:A,'Raw Revenue'!C:C,'Raw Revenue'!D:D,0)</f>
        <v>0</v>
      </c>
      <c r="X900" s="11">
        <f t="array" ref="X900">XLOOKUP(A:A,'Raw Revenue'!E:E,'Raw Revenue'!F:F,0)</f>
        <v>0</v>
      </c>
      <c r="Y900" s="11">
        <f t="array" ref="Y900">XLOOKUP(A:A,'Raw Revenue'!G:G,'Raw Revenue'!H:H,0)</f>
        <v>0</v>
      </c>
      <c r="Z900" s="11">
        <f t="array" ref="Z900">XLOOKUP(A:A,'Raw Revenue'!I:I,'Raw Revenue'!J:J,0)</f>
        <v>0</v>
      </c>
      <c r="AA900" s="11">
        <f t="array" ref="AA900">XLOOKUP(A:A,'Raw Revenue'!K:K,'Raw Revenue'!L:L,0)</f>
        <v>0</v>
      </c>
      <c r="AB900" s="11">
        <f t="array" ref="AB900">XLOOKUP(A:A,'Raw Revenue'!M:M,'Raw Revenue'!N:N,0)</f>
        <v>0</v>
      </c>
      <c r="AC900" s="3">
        <v>0.0</v>
      </c>
      <c r="AD900" s="3">
        <v>0.0</v>
      </c>
      <c r="AE900" s="3">
        <v>0.0</v>
      </c>
      <c r="AF900" s="3">
        <v>0.0</v>
      </c>
      <c r="AG900" s="3">
        <v>0.0</v>
      </c>
    </row>
    <row r="901">
      <c r="A901" s="3" t="s">
        <v>2013</v>
      </c>
      <c r="B901" s="3" t="s">
        <v>2014</v>
      </c>
      <c r="C901" s="3" t="str">
        <f t="shared" si="1"/>
        <v>PT. Bintang Kejora Nusantara</v>
      </c>
      <c r="D901" s="3" t="s">
        <v>195</v>
      </c>
      <c r="E901" s="3" t="s">
        <v>187</v>
      </c>
      <c r="F901" s="3" t="s">
        <v>295</v>
      </c>
      <c r="G901" s="3" t="s">
        <v>76</v>
      </c>
      <c r="H901" s="3" t="str">
        <f t="array" ref="H901">XLOOKUP(G:G,'Account Manager Data'!A:A,'Account Manager Data'!B:B,0)</f>
        <v>Teguh Wijaya</v>
      </c>
      <c r="I901" s="11" t="str">
        <f t="array" ref="I901">XLOOKUP($G:$G,'Account Manager Data'!$A:$A,'Account Manager Data'!C:C)</f>
        <v>Sulawesi</v>
      </c>
      <c r="J901" s="17">
        <v>759779.0</v>
      </c>
      <c r="K901" s="17">
        <v>5373214.0</v>
      </c>
      <c r="L901" s="17">
        <v>3061137.0</v>
      </c>
      <c r="M901" s="17">
        <v>0.0</v>
      </c>
      <c r="N901" s="17">
        <v>8213720.0</v>
      </c>
      <c r="O901" s="17">
        <v>1.1351478E7</v>
      </c>
      <c r="P901" s="17">
        <v>3695966.0</v>
      </c>
      <c r="Q901" s="17">
        <v>4511811.0</v>
      </c>
      <c r="R901" s="17">
        <v>1.6265791E7</v>
      </c>
      <c r="S901" s="17">
        <v>1.2596829E7</v>
      </c>
      <c r="T901" s="17">
        <v>1.8062833E7</v>
      </c>
      <c r="U901" s="17">
        <v>0.0</v>
      </c>
      <c r="V901" s="11">
        <f t="array" ref="V901">XLOOKUP(A:A,'Raw Revenue'!A:A,'Raw Revenue'!B:B,0)
</f>
        <v>0</v>
      </c>
      <c r="W901" s="11">
        <f t="array" ref="W901">XLOOKUP(A:A,'Raw Revenue'!C:C,'Raw Revenue'!D:D,0)</f>
        <v>0</v>
      </c>
      <c r="X901" s="11">
        <f t="array" ref="X901">XLOOKUP(A:A,'Raw Revenue'!E:E,'Raw Revenue'!F:F,0)</f>
        <v>0</v>
      </c>
      <c r="Y901" s="11">
        <f t="array" ref="Y901">XLOOKUP(A:A,'Raw Revenue'!G:G,'Raw Revenue'!H:H,0)</f>
        <v>0</v>
      </c>
      <c r="Z901" s="11">
        <f t="array" ref="Z901">XLOOKUP(A:A,'Raw Revenue'!I:I,'Raw Revenue'!J:J,0)</f>
        <v>0</v>
      </c>
      <c r="AA901" s="11">
        <f t="array" ref="AA901">XLOOKUP(A:A,'Raw Revenue'!K:K,'Raw Revenue'!L:L,0)</f>
        <v>0</v>
      </c>
      <c r="AB901" s="11">
        <f t="array" ref="AB901">XLOOKUP(A:A,'Raw Revenue'!M:M,'Raw Revenue'!N:N,0)</f>
        <v>0</v>
      </c>
      <c r="AC901" s="3">
        <v>0.0</v>
      </c>
      <c r="AD901" s="3">
        <v>0.0</v>
      </c>
      <c r="AE901" s="3">
        <v>0.0</v>
      </c>
      <c r="AF901" s="3">
        <v>0.0</v>
      </c>
      <c r="AG901" s="3">
        <v>0.0</v>
      </c>
    </row>
    <row r="902">
      <c r="A902" s="3" t="s">
        <v>2015</v>
      </c>
      <c r="B902" s="3" t="s">
        <v>2016</v>
      </c>
      <c r="C902" s="3" t="str">
        <f t="shared" si="1"/>
        <v>PT. Maju Jaya</v>
      </c>
      <c r="D902" s="3" t="s">
        <v>84</v>
      </c>
      <c r="E902" s="3" t="s">
        <v>215</v>
      </c>
      <c r="F902" s="3" t="s">
        <v>300</v>
      </c>
      <c r="G902" s="3" t="s">
        <v>70</v>
      </c>
      <c r="H902" s="3" t="str">
        <f t="array" ref="H902">XLOOKUP(G:G,'Account Manager Data'!A:A,'Account Manager Data'!B:B,0)</f>
        <v>Yusuf Hidayat</v>
      </c>
      <c r="I902" s="11" t="str">
        <f t="array" ref="I902">XLOOKUP($G:$G,'Account Manager Data'!$A:$A,'Account Manager Data'!C:C)</f>
        <v>Sumatera</v>
      </c>
      <c r="J902" s="17">
        <v>1789395.0</v>
      </c>
      <c r="K902" s="17">
        <v>2682186.0</v>
      </c>
      <c r="L902" s="17">
        <v>1641004.0</v>
      </c>
      <c r="M902" s="17">
        <v>792328.0</v>
      </c>
      <c r="N902" s="17">
        <v>4625469.0</v>
      </c>
      <c r="O902" s="17">
        <v>6090108.0</v>
      </c>
      <c r="P902" s="17">
        <v>5529471.0</v>
      </c>
      <c r="Q902" s="17">
        <v>6286294.0</v>
      </c>
      <c r="R902" s="17">
        <v>9918241.0</v>
      </c>
      <c r="S902" s="17">
        <v>9482495.0</v>
      </c>
      <c r="T902" s="17">
        <v>6939655.0</v>
      </c>
      <c r="U902" s="17">
        <v>1123836.0</v>
      </c>
      <c r="V902" s="11">
        <f t="array" ref="V902">XLOOKUP(A:A,'Raw Revenue'!A:A,'Raw Revenue'!B:B,0)
</f>
        <v>0</v>
      </c>
      <c r="W902" s="11">
        <f t="array" ref="W902">XLOOKUP(A:A,'Raw Revenue'!C:C,'Raw Revenue'!D:D,0)</f>
        <v>0</v>
      </c>
      <c r="X902" s="11">
        <f t="array" ref="X902">XLOOKUP(A:A,'Raw Revenue'!E:E,'Raw Revenue'!F:F,0)</f>
        <v>0</v>
      </c>
      <c r="Y902" s="11">
        <f t="array" ref="Y902">XLOOKUP(A:A,'Raw Revenue'!G:G,'Raw Revenue'!H:H,0)</f>
        <v>0</v>
      </c>
      <c r="Z902" s="11">
        <f t="array" ref="Z902">XLOOKUP(A:A,'Raw Revenue'!I:I,'Raw Revenue'!J:J,0)</f>
        <v>0</v>
      </c>
      <c r="AA902" s="11">
        <f t="array" ref="AA902">XLOOKUP(A:A,'Raw Revenue'!K:K,'Raw Revenue'!L:L,0)</f>
        <v>0</v>
      </c>
      <c r="AB902" s="11">
        <f t="array" ref="AB902">XLOOKUP(A:A,'Raw Revenue'!M:M,'Raw Revenue'!N:N,0)</f>
        <v>0</v>
      </c>
      <c r="AC902" s="3">
        <v>0.0</v>
      </c>
      <c r="AD902" s="3">
        <v>0.0</v>
      </c>
      <c r="AE902" s="3">
        <v>0.0</v>
      </c>
      <c r="AF902" s="3">
        <v>0.0</v>
      </c>
      <c r="AG902" s="3">
        <v>0.0</v>
      </c>
    </row>
    <row r="903">
      <c r="A903" s="3" t="s">
        <v>163</v>
      </c>
      <c r="B903" s="3" t="s">
        <v>2017</v>
      </c>
      <c r="C903" s="3" t="str">
        <f t="shared" si="1"/>
        <v>CV. Sumber Makmur</v>
      </c>
      <c r="D903" s="3" t="s">
        <v>103</v>
      </c>
      <c r="E903" s="3" t="s">
        <v>85</v>
      </c>
      <c r="F903" s="3" t="s">
        <v>86</v>
      </c>
      <c r="G903" s="3" t="s">
        <v>15</v>
      </c>
      <c r="H903" s="3" t="str">
        <f t="array" ref="H903">XLOOKUP(G:G,'Account Manager Data'!A:A,'Account Manager Data'!B:B,0)</f>
        <v>Rizky Maulana</v>
      </c>
      <c r="I903" s="11" t="str">
        <f t="array" ref="I903">XLOOKUP($G:$G,'Account Manager Data'!$A:$A,'Account Manager Data'!C:C)</f>
        <v>Jawa</v>
      </c>
      <c r="J903" s="17">
        <v>6331308.0</v>
      </c>
      <c r="K903" s="83">
        <v>1882353.0</v>
      </c>
      <c r="L903" s="84">
        <v>9108434.0</v>
      </c>
      <c r="M903" s="84">
        <v>1.3714286E7</v>
      </c>
      <c r="N903" s="84">
        <v>1.1535211E7</v>
      </c>
      <c r="O903" s="17">
        <v>1.4061049E7</v>
      </c>
      <c r="P903" s="84">
        <v>0.0</v>
      </c>
      <c r="Q903" s="84">
        <v>0.0</v>
      </c>
      <c r="R903" s="17">
        <v>8782283.0</v>
      </c>
      <c r="S903" s="17">
        <v>1.1854145E7</v>
      </c>
      <c r="T903" s="17">
        <v>1.923086E7</v>
      </c>
      <c r="U903" s="17">
        <v>1.8584126E7</v>
      </c>
      <c r="V903" s="85">
        <f t="array" ref="V903">XLOOKUP(A:A,'Raw Revenue'!A:A,'Raw Revenue'!B:B,0)
</f>
        <v>2800000</v>
      </c>
      <c r="W903" s="22">
        <f t="array" ref="W903">XLOOKUP(A:A,'Raw Revenue'!C:C,'Raw Revenue'!D:D,0)</f>
        <v>1882353</v>
      </c>
      <c r="X903" s="22">
        <f t="array" ref="X903">XLOOKUP(A:A,'Raw Revenue'!E:E,'Raw Revenue'!F:F,0)</f>
        <v>9108434</v>
      </c>
      <c r="Y903" s="22">
        <f t="array" ref="Y903">XLOOKUP(A:A,'Raw Revenue'!G:G,'Raw Revenue'!H:H,0)</f>
        <v>13714286</v>
      </c>
      <c r="Z903" s="22">
        <f t="array" ref="Z903">XLOOKUP(A:A,'Raw Revenue'!I:I,'Raw Revenue'!J:J,0)</f>
        <v>11535211</v>
      </c>
      <c r="AA903" s="22">
        <f t="array" ref="AA903">XLOOKUP(A:A,'Raw Revenue'!K:K,'Raw Revenue'!L:L,0)</f>
        <v>14061049</v>
      </c>
      <c r="AB903" s="22">
        <f t="array" ref="AB903">XLOOKUP(A:A,'Raw Revenue'!M:M,'Raw Revenue'!N:N,0)</f>
        <v>0</v>
      </c>
      <c r="AC903" s="3">
        <v>0.0</v>
      </c>
      <c r="AD903" s="3">
        <v>0.0</v>
      </c>
      <c r="AE903" s="3">
        <v>0.0</v>
      </c>
      <c r="AF903" s="3">
        <v>0.0</v>
      </c>
      <c r="AG903" s="3">
        <v>0.0</v>
      </c>
    </row>
    <row r="904">
      <c r="A904" s="3" t="s">
        <v>2018</v>
      </c>
      <c r="B904" s="3" t="s">
        <v>2019</v>
      </c>
      <c r="C904" s="3" t="str">
        <f t="shared" si="1"/>
        <v>PT. Teknologi Nusantara</v>
      </c>
      <c r="D904" s="3" t="s">
        <v>186</v>
      </c>
      <c r="E904" s="3" t="s">
        <v>187</v>
      </c>
      <c r="F904" s="3" t="s">
        <v>188</v>
      </c>
      <c r="G904" s="3" t="s">
        <v>27</v>
      </c>
      <c r="H904" s="3" t="str">
        <f t="array" ref="H904">XLOOKUP(G:G,'Account Manager Data'!A:A,'Account Manager Data'!B:B,0)</f>
        <v>Dedi Kurniawan</v>
      </c>
      <c r="I904" s="11" t="str">
        <f t="array" ref="I904">XLOOKUP($G:$G,'Account Manager Data'!$A:$A,'Account Manager Data'!C:C)</f>
        <v>Kalimantan</v>
      </c>
      <c r="J904" s="17">
        <v>0.0</v>
      </c>
      <c r="K904" s="17">
        <v>2170809.0</v>
      </c>
      <c r="L904" s="17">
        <v>9803633.0</v>
      </c>
      <c r="M904" s="17">
        <v>2094619.0</v>
      </c>
      <c r="N904" s="17">
        <v>2961566.0</v>
      </c>
      <c r="O904" s="17">
        <v>2182934.0</v>
      </c>
      <c r="P904" s="17">
        <v>1.22902E7</v>
      </c>
      <c r="Q904" s="17">
        <v>1.1488825E7</v>
      </c>
      <c r="R904" s="17">
        <v>6324971.0</v>
      </c>
      <c r="S904" s="17">
        <v>1.5682267E7</v>
      </c>
      <c r="T904" s="17">
        <v>1.6404522E7</v>
      </c>
      <c r="U904" s="17">
        <v>3299181.0</v>
      </c>
      <c r="V904" s="11">
        <f t="array" ref="V904">XLOOKUP(A:A,'Raw Revenue'!A:A,'Raw Revenue'!B:B,0)
</f>
        <v>0</v>
      </c>
      <c r="W904" s="11">
        <f t="array" ref="W904">XLOOKUP(A:A,'Raw Revenue'!C:C,'Raw Revenue'!D:D,0)</f>
        <v>0</v>
      </c>
      <c r="X904" s="11">
        <f t="array" ref="X904">XLOOKUP(A:A,'Raw Revenue'!E:E,'Raw Revenue'!F:F,0)</f>
        <v>0</v>
      </c>
      <c r="Y904" s="11">
        <f t="array" ref="Y904">XLOOKUP(A:A,'Raw Revenue'!G:G,'Raw Revenue'!H:H,0)</f>
        <v>0</v>
      </c>
      <c r="Z904" s="11">
        <f t="array" ref="Z904">XLOOKUP(A:A,'Raw Revenue'!I:I,'Raw Revenue'!J:J,0)</f>
        <v>0</v>
      </c>
      <c r="AA904" s="11">
        <f t="array" ref="AA904">XLOOKUP(A:A,'Raw Revenue'!K:K,'Raw Revenue'!L:L,0)</f>
        <v>0</v>
      </c>
      <c r="AB904" s="11">
        <f t="array" ref="AB904">XLOOKUP(A:A,'Raw Revenue'!M:M,'Raw Revenue'!N:N,0)</f>
        <v>0</v>
      </c>
      <c r="AC904" s="3">
        <v>0.0</v>
      </c>
      <c r="AD904" s="3">
        <v>0.0</v>
      </c>
      <c r="AE904" s="3">
        <v>0.0</v>
      </c>
      <c r="AF904" s="3">
        <v>0.0</v>
      </c>
      <c r="AG904" s="3">
        <v>0.0</v>
      </c>
    </row>
    <row r="905">
      <c r="A905" s="3" t="s">
        <v>2020</v>
      </c>
      <c r="B905" s="3" t="s">
        <v>2021</v>
      </c>
      <c r="C905" s="3" t="str">
        <f t="shared" si="1"/>
        <v>PT. Bakti Indonesia</v>
      </c>
      <c r="D905" s="3" t="s">
        <v>186</v>
      </c>
      <c r="E905" s="3" t="s">
        <v>104</v>
      </c>
      <c r="F905" s="3" t="s">
        <v>252</v>
      </c>
      <c r="G905" s="3" t="s">
        <v>78</v>
      </c>
      <c r="H905" s="3" t="str">
        <f t="array" ref="H905">XLOOKUP(G:G,'Account Manager Data'!A:A,'Account Manager Data'!B:B,0)</f>
        <v>Ilham Saputra</v>
      </c>
      <c r="I905" s="11" t="str">
        <f t="array" ref="I905">XLOOKUP($G:$G,'Account Manager Data'!$A:$A,'Account Manager Data'!C:C)</f>
        <v>Jawa</v>
      </c>
      <c r="J905" s="17">
        <v>80098.0</v>
      </c>
      <c r="K905" s="17">
        <v>5912352.0</v>
      </c>
      <c r="L905" s="17">
        <v>4268567.0</v>
      </c>
      <c r="M905" s="17">
        <v>8254574.0</v>
      </c>
      <c r="N905" s="17">
        <v>3256833.0</v>
      </c>
      <c r="O905" s="17">
        <v>5497668.0</v>
      </c>
      <c r="P905" s="17">
        <v>6777740.0</v>
      </c>
      <c r="Q905" s="17">
        <v>1.0497018E7</v>
      </c>
      <c r="R905" s="17">
        <v>3327917.0</v>
      </c>
      <c r="S905" s="17">
        <v>1.1087803E7</v>
      </c>
      <c r="T905" s="17">
        <v>2270107.0</v>
      </c>
      <c r="U905" s="17">
        <v>4971313.0</v>
      </c>
      <c r="V905" s="11">
        <f t="array" ref="V905">XLOOKUP(A:A,'Raw Revenue'!A:A,'Raw Revenue'!B:B,0)
</f>
        <v>0</v>
      </c>
      <c r="W905" s="11">
        <f t="array" ref="W905">XLOOKUP(A:A,'Raw Revenue'!C:C,'Raw Revenue'!D:D,0)</f>
        <v>0</v>
      </c>
      <c r="X905" s="11">
        <f t="array" ref="X905">XLOOKUP(A:A,'Raw Revenue'!E:E,'Raw Revenue'!F:F,0)</f>
        <v>0</v>
      </c>
      <c r="Y905" s="11">
        <f t="array" ref="Y905">XLOOKUP(A:A,'Raw Revenue'!G:G,'Raw Revenue'!H:H,0)</f>
        <v>0</v>
      </c>
      <c r="Z905" s="11">
        <f t="array" ref="Z905">XLOOKUP(A:A,'Raw Revenue'!I:I,'Raw Revenue'!J:J,0)</f>
        <v>0</v>
      </c>
      <c r="AA905" s="11">
        <f t="array" ref="AA905">XLOOKUP(A:A,'Raw Revenue'!K:K,'Raw Revenue'!L:L,0)</f>
        <v>0</v>
      </c>
      <c r="AB905" s="11">
        <f t="array" ref="AB905">XLOOKUP(A:A,'Raw Revenue'!M:M,'Raw Revenue'!N:N,0)</f>
        <v>0</v>
      </c>
      <c r="AC905" s="3">
        <v>0.0</v>
      </c>
      <c r="AD905" s="3">
        <v>0.0</v>
      </c>
      <c r="AE905" s="3">
        <v>0.0</v>
      </c>
      <c r="AF905" s="3">
        <v>0.0</v>
      </c>
      <c r="AG905" s="3">
        <v>0.0</v>
      </c>
    </row>
    <row r="906">
      <c r="A906" s="3" t="s">
        <v>2022</v>
      </c>
      <c r="B906" s="3" t="s">
        <v>2023</v>
      </c>
      <c r="C906" s="3" t="str">
        <f t="shared" si="1"/>
        <v>CV. Amanah Sejahtera</v>
      </c>
      <c r="D906" s="3" t="s">
        <v>214</v>
      </c>
      <c r="E906" s="3" t="s">
        <v>187</v>
      </c>
      <c r="F906" s="3" t="s">
        <v>295</v>
      </c>
      <c r="G906" s="3" t="s">
        <v>53</v>
      </c>
      <c r="H906" s="3" t="str">
        <f t="array" ref="H906">XLOOKUP(G:G,'Account Manager Data'!A:A,'Account Manager Data'!B:B,0)</f>
        <v>Fajar Ramadhan</v>
      </c>
      <c r="I906" s="11" t="str">
        <f t="array" ref="I906">XLOOKUP($G:$G,'Account Manager Data'!$A:$A,'Account Manager Data'!C:C)</f>
        <v>Sulawesi</v>
      </c>
      <c r="J906" s="17">
        <v>7119151.0</v>
      </c>
      <c r="K906" s="17">
        <v>6771344.0</v>
      </c>
      <c r="L906" s="17">
        <v>8260664.0</v>
      </c>
      <c r="M906" s="17">
        <v>1.0211014E7</v>
      </c>
      <c r="N906" s="17">
        <v>9335622.0</v>
      </c>
      <c r="O906" s="17">
        <v>1.4897638E7</v>
      </c>
      <c r="P906" s="17">
        <v>1084886.0</v>
      </c>
      <c r="Q906" s="17">
        <v>1.1235308E7</v>
      </c>
      <c r="R906" s="17">
        <v>1.6221809E7</v>
      </c>
      <c r="S906" s="17">
        <v>1.5357725E7</v>
      </c>
      <c r="T906" s="17">
        <v>4593767.0</v>
      </c>
      <c r="U906" s="17">
        <v>5355012.0</v>
      </c>
      <c r="V906" s="11">
        <f t="array" ref="V906">XLOOKUP(A:A,'Raw Revenue'!A:A,'Raw Revenue'!B:B,0)
</f>
        <v>0</v>
      </c>
      <c r="W906" s="11">
        <f t="array" ref="W906">XLOOKUP(A:A,'Raw Revenue'!C:C,'Raw Revenue'!D:D,0)</f>
        <v>0</v>
      </c>
      <c r="X906" s="11">
        <f t="array" ref="X906">XLOOKUP(A:A,'Raw Revenue'!E:E,'Raw Revenue'!F:F,0)</f>
        <v>0</v>
      </c>
      <c r="Y906" s="11">
        <f t="array" ref="Y906">XLOOKUP(A:A,'Raw Revenue'!G:G,'Raw Revenue'!H:H,0)</f>
        <v>0</v>
      </c>
      <c r="Z906" s="11">
        <f t="array" ref="Z906">XLOOKUP(A:A,'Raw Revenue'!I:I,'Raw Revenue'!J:J,0)</f>
        <v>0</v>
      </c>
      <c r="AA906" s="11">
        <f t="array" ref="AA906">XLOOKUP(A:A,'Raw Revenue'!K:K,'Raw Revenue'!L:L,0)</f>
        <v>0</v>
      </c>
      <c r="AB906" s="11">
        <f t="array" ref="AB906">XLOOKUP(A:A,'Raw Revenue'!M:M,'Raw Revenue'!N:N,0)</f>
        <v>0</v>
      </c>
      <c r="AC906" s="3">
        <v>0.0</v>
      </c>
      <c r="AD906" s="3">
        <v>0.0</v>
      </c>
      <c r="AE906" s="3">
        <v>0.0</v>
      </c>
      <c r="AF906" s="3">
        <v>0.0</v>
      </c>
      <c r="AG906" s="3">
        <v>0.0</v>
      </c>
    </row>
    <row r="907">
      <c r="A907" s="3" t="s">
        <v>2024</v>
      </c>
      <c r="B907" s="3" t="s">
        <v>2025</v>
      </c>
      <c r="C907" s="3" t="str">
        <f t="shared" si="1"/>
        <v>PT. Digital Solusi Pratama</v>
      </c>
      <c r="D907" s="3" t="s">
        <v>214</v>
      </c>
      <c r="E907" s="3" t="s">
        <v>215</v>
      </c>
      <c r="F907" s="3" t="s">
        <v>216</v>
      </c>
      <c r="G907" s="3" t="s">
        <v>63</v>
      </c>
      <c r="H907" s="3" t="str">
        <f t="array" ref="H907">XLOOKUP(G:G,'Account Manager Data'!A:A,'Account Manager Data'!B:B,0)</f>
        <v>Hendra Gunawan</v>
      </c>
      <c r="I907" s="11" t="str">
        <f t="array" ref="I907">XLOOKUP($G:$G,'Account Manager Data'!$A:$A,'Account Manager Data'!C:C)</f>
        <v>Kalimantan</v>
      </c>
      <c r="J907" s="17">
        <v>1377169.0</v>
      </c>
      <c r="K907" s="17">
        <v>1152073.0</v>
      </c>
      <c r="L907" s="17">
        <v>5625278.0</v>
      </c>
      <c r="M907" s="17">
        <v>7658595.0</v>
      </c>
      <c r="N907" s="17">
        <v>6700238.0</v>
      </c>
      <c r="O907" s="17">
        <v>3692612.0</v>
      </c>
      <c r="P907" s="17">
        <v>1.2107803E7</v>
      </c>
      <c r="Q907" s="17">
        <v>5863494.0</v>
      </c>
      <c r="R907" s="17">
        <v>7328913.0</v>
      </c>
      <c r="S907" s="17">
        <v>9989188.0</v>
      </c>
      <c r="T907" s="17">
        <v>1.5998968E7</v>
      </c>
      <c r="U907" s="17">
        <v>7878529.0</v>
      </c>
      <c r="V907" s="11">
        <f t="array" ref="V907">XLOOKUP(A:A,'Raw Revenue'!A:A,'Raw Revenue'!B:B,0)
</f>
        <v>0</v>
      </c>
      <c r="W907" s="11">
        <f t="array" ref="W907">XLOOKUP(A:A,'Raw Revenue'!C:C,'Raw Revenue'!D:D,0)</f>
        <v>0</v>
      </c>
      <c r="X907" s="11">
        <f t="array" ref="X907">XLOOKUP(A:A,'Raw Revenue'!E:E,'Raw Revenue'!F:F,0)</f>
        <v>0</v>
      </c>
      <c r="Y907" s="11">
        <f t="array" ref="Y907">XLOOKUP(A:A,'Raw Revenue'!G:G,'Raw Revenue'!H:H,0)</f>
        <v>0</v>
      </c>
      <c r="Z907" s="11">
        <f t="array" ref="Z907">XLOOKUP(A:A,'Raw Revenue'!I:I,'Raw Revenue'!J:J,0)</f>
        <v>0</v>
      </c>
      <c r="AA907" s="11">
        <f t="array" ref="AA907">XLOOKUP(A:A,'Raw Revenue'!K:K,'Raw Revenue'!L:L,0)</f>
        <v>0</v>
      </c>
      <c r="AB907" s="11">
        <f t="array" ref="AB907">XLOOKUP(A:A,'Raw Revenue'!M:M,'Raw Revenue'!N:N,0)</f>
        <v>0</v>
      </c>
      <c r="AC907" s="3">
        <v>0.0</v>
      </c>
      <c r="AD907" s="3">
        <v>0.0</v>
      </c>
      <c r="AE907" s="3">
        <v>0.0</v>
      </c>
      <c r="AF907" s="3">
        <v>0.0</v>
      </c>
      <c r="AG907" s="3">
        <v>0.0</v>
      </c>
    </row>
    <row r="908">
      <c r="A908" s="3" t="s">
        <v>2026</v>
      </c>
      <c r="B908" s="3" t="s">
        <v>2027</v>
      </c>
      <c r="C908" s="3" t="str">
        <f t="shared" si="1"/>
        <v>PT. Global Niaga Abadi</v>
      </c>
      <c r="D908" s="3" t="s">
        <v>214</v>
      </c>
      <c r="E908" s="3" t="s">
        <v>104</v>
      </c>
      <c r="F908" s="3" t="s">
        <v>105</v>
      </c>
      <c r="G908" s="3" t="s">
        <v>35</v>
      </c>
      <c r="H908" s="3" t="str">
        <f t="array" ref="H908">XLOOKUP(G:G,'Account Manager Data'!A:A,'Account Manager Data'!B:B,0)</f>
        <v>Ahmad Fauzi</v>
      </c>
      <c r="I908" s="11" t="str">
        <f t="array" ref="I908">XLOOKUP($G:$G,'Account Manager Data'!$A:$A,'Account Manager Data'!C:C)</f>
        <v>Sumatera</v>
      </c>
      <c r="J908" s="17">
        <v>1091157.0</v>
      </c>
      <c r="K908" s="17">
        <v>1687148.0</v>
      </c>
      <c r="L908" s="17">
        <v>7725546.0</v>
      </c>
      <c r="M908" s="17">
        <v>1.0402887E7</v>
      </c>
      <c r="N908" s="17">
        <v>54642.0</v>
      </c>
      <c r="O908" s="17">
        <v>5721503.0</v>
      </c>
      <c r="P908" s="17">
        <v>9569298.0</v>
      </c>
      <c r="Q908" s="17">
        <v>4730799.0</v>
      </c>
      <c r="R908" s="17">
        <v>1.2070967E7</v>
      </c>
      <c r="S908" s="17">
        <v>560873.0</v>
      </c>
      <c r="T908" s="17">
        <v>7432276.0</v>
      </c>
      <c r="U908" s="17">
        <v>1.8944168E7</v>
      </c>
      <c r="V908" s="11">
        <f t="array" ref="V908">XLOOKUP(A:A,'Raw Revenue'!A:A,'Raw Revenue'!B:B,0)
</f>
        <v>0</v>
      </c>
      <c r="W908" s="11">
        <f t="array" ref="W908">XLOOKUP(A:A,'Raw Revenue'!C:C,'Raw Revenue'!D:D,0)</f>
        <v>0</v>
      </c>
      <c r="X908" s="11">
        <f t="array" ref="X908">XLOOKUP(A:A,'Raw Revenue'!E:E,'Raw Revenue'!F:F,0)</f>
        <v>0</v>
      </c>
      <c r="Y908" s="11">
        <f t="array" ref="Y908">XLOOKUP(A:A,'Raw Revenue'!G:G,'Raw Revenue'!H:H,0)</f>
        <v>0</v>
      </c>
      <c r="Z908" s="11">
        <f t="array" ref="Z908">XLOOKUP(A:A,'Raw Revenue'!I:I,'Raw Revenue'!J:J,0)</f>
        <v>0</v>
      </c>
      <c r="AA908" s="11">
        <f t="array" ref="AA908">XLOOKUP(A:A,'Raw Revenue'!K:K,'Raw Revenue'!L:L,0)</f>
        <v>0</v>
      </c>
      <c r="AB908" s="11">
        <f t="array" ref="AB908">XLOOKUP(A:A,'Raw Revenue'!M:M,'Raw Revenue'!N:N,0)</f>
        <v>0</v>
      </c>
      <c r="AC908" s="3">
        <v>0.0</v>
      </c>
      <c r="AD908" s="3">
        <v>0.0</v>
      </c>
      <c r="AE908" s="3">
        <v>0.0</v>
      </c>
      <c r="AF908" s="3">
        <v>0.0</v>
      </c>
      <c r="AG908" s="3">
        <v>0.0</v>
      </c>
    </row>
    <row r="909">
      <c r="A909" s="3" t="s">
        <v>2028</v>
      </c>
      <c r="B909" s="3" t="s">
        <v>2029</v>
      </c>
      <c r="C909" s="3" t="str">
        <f t="shared" si="1"/>
        <v>PT. Indo Makmur Sentosa</v>
      </c>
      <c r="D909" s="3" t="s">
        <v>130</v>
      </c>
      <c r="E909" s="3" t="s">
        <v>196</v>
      </c>
      <c r="F909" s="3" t="s">
        <v>315</v>
      </c>
      <c r="G909" s="3" t="s">
        <v>74</v>
      </c>
      <c r="H909" s="3" t="str">
        <f t="array" ref="H909">XLOOKUP(G:G,'Account Manager Data'!A:A,'Account Manager Data'!B:B,0)</f>
        <v>Budi Santoso</v>
      </c>
      <c r="I909" s="11" t="str">
        <f t="array" ref="I909">XLOOKUP($G:$G,'Account Manager Data'!$A:$A,'Account Manager Data'!C:C)</f>
        <v>Papua</v>
      </c>
      <c r="J909" s="17">
        <v>7681800.0</v>
      </c>
      <c r="K909" s="17">
        <v>4010414.0</v>
      </c>
      <c r="L909" s="17">
        <v>0.0</v>
      </c>
      <c r="M909" s="17">
        <v>8117505.0</v>
      </c>
      <c r="N909" s="17">
        <v>1900713.0</v>
      </c>
      <c r="O909" s="17">
        <v>1.1717754E7</v>
      </c>
      <c r="P909" s="17">
        <v>8097442.0</v>
      </c>
      <c r="Q909" s="17">
        <v>6404189.0</v>
      </c>
      <c r="R909" s="17">
        <v>4924259.0</v>
      </c>
      <c r="S909" s="17">
        <v>6257819.0</v>
      </c>
      <c r="T909" s="17">
        <v>1.4466164E7</v>
      </c>
      <c r="U909" s="17">
        <v>1.5309173E7</v>
      </c>
      <c r="V909" s="11">
        <f t="array" ref="V909">XLOOKUP(A:A,'Raw Revenue'!A:A,'Raw Revenue'!B:B,0)
</f>
        <v>0</v>
      </c>
      <c r="W909" s="11">
        <f t="array" ref="W909">XLOOKUP(A:A,'Raw Revenue'!C:C,'Raw Revenue'!D:D,0)</f>
        <v>0</v>
      </c>
      <c r="X909" s="11">
        <f t="array" ref="X909">XLOOKUP(A:A,'Raw Revenue'!E:E,'Raw Revenue'!F:F,0)</f>
        <v>0</v>
      </c>
      <c r="Y909" s="11">
        <f t="array" ref="Y909">XLOOKUP(A:A,'Raw Revenue'!G:G,'Raw Revenue'!H:H,0)</f>
        <v>0</v>
      </c>
      <c r="Z909" s="11">
        <f t="array" ref="Z909">XLOOKUP(A:A,'Raw Revenue'!I:I,'Raw Revenue'!J:J,0)</f>
        <v>0</v>
      </c>
      <c r="AA909" s="11">
        <f t="array" ref="AA909">XLOOKUP(A:A,'Raw Revenue'!K:K,'Raw Revenue'!L:L,0)</f>
        <v>0</v>
      </c>
      <c r="AB909" s="11">
        <f t="array" ref="AB909">XLOOKUP(A:A,'Raw Revenue'!M:M,'Raw Revenue'!N:N,0)</f>
        <v>0</v>
      </c>
      <c r="AC909" s="3">
        <v>0.0</v>
      </c>
      <c r="AD909" s="3">
        <v>0.0</v>
      </c>
      <c r="AE909" s="3">
        <v>0.0</v>
      </c>
      <c r="AF909" s="3">
        <v>0.0</v>
      </c>
      <c r="AG909" s="3">
        <v>0.0</v>
      </c>
    </row>
    <row r="910">
      <c r="A910" s="3" t="s">
        <v>2030</v>
      </c>
      <c r="B910" s="3" t="s">
        <v>2031</v>
      </c>
      <c r="C910" s="3" t="str">
        <f t="shared" si="1"/>
        <v>PT. Citra Mandiri Utama</v>
      </c>
      <c r="D910" s="3" t="s">
        <v>195</v>
      </c>
      <c r="E910" s="3" t="s">
        <v>196</v>
      </c>
      <c r="F910" s="3" t="s">
        <v>315</v>
      </c>
      <c r="G910" s="3" t="s">
        <v>43</v>
      </c>
      <c r="H910" s="3" t="str">
        <f t="array" ref="H910">XLOOKUP(G:G,'Account Manager Data'!A:A,'Account Manager Data'!B:B,0)</f>
        <v>Eko Prasetyo</v>
      </c>
      <c r="I910" s="11" t="str">
        <f t="array" ref="I910">XLOOKUP($G:$G,'Account Manager Data'!$A:$A,'Account Manager Data'!C:C)</f>
        <v>Papua</v>
      </c>
      <c r="J910" s="17">
        <v>1564939.0</v>
      </c>
      <c r="K910" s="17">
        <v>1128218.0</v>
      </c>
      <c r="L910" s="17">
        <v>339680.0</v>
      </c>
      <c r="M910" s="17">
        <v>4277798.0</v>
      </c>
      <c r="N910" s="17">
        <v>1.3163506E7</v>
      </c>
      <c r="O910" s="17">
        <v>5465703.0</v>
      </c>
      <c r="P910" s="17">
        <v>2422941.0</v>
      </c>
      <c r="Q910" s="17">
        <v>2173149.0</v>
      </c>
      <c r="R910" s="17">
        <v>0.0</v>
      </c>
      <c r="S910" s="17">
        <v>1.1045801E7</v>
      </c>
      <c r="T910" s="17">
        <v>1.3115332E7</v>
      </c>
      <c r="U910" s="17">
        <v>859716.0</v>
      </c>
      <c r="V910" s="11">
        <f t="array" ref="V910">XLOOKUP(A:A,'Raw Revenue'!A:A,'Raw Revenue'!B:B,0)
</f>
        <v>0</v>
      </c>
      <c r="W910" s="11">
        <f t="array" ref="W910">XLOOKUP(A:A,'Raw Revenue'!C:C,'Raw Revenue'!D:D,0)</f>
        <v>0</v>
      </c>
      <c r="X910" s="11">
        <f t="array" ref="X910">XLOOKUP(A:A,'Raw Revenue'!E:E,'Raw Revenue'!F:F,0)</f>
        <v>0</v>
      </c>
      <c r="Y910" s="11">
        <f t="array" ref="Y910">XLOOKUP(A:A,'Raw Revenue'!G:G,'Raw Revenue'!H:H,0)</f>
        <v>0</v>
      </c>
      <c r="Z910" s="11">
        <f t="array" ref="Z910">XLOOKUP(A:A,'Raw Revenue'!I:I,'Raw Revenue'!J:J,0)</f>
        <v>0</v>
      </c>
      <c r="AA910" s="11">
        <f t="array" ref="AA910">XLOOKUP(A:A,'Raw Revenue'!K:K,'Raw Revenue'!L:L,0)</f>
        <v>0</v>
      </c>
      <c r="AB910" s="11">
        <f t="array" ref="AB910">XLOOKUP(A:A,'Raw Revenue'!M:M,'Raw Revenue'!N:N,0)</f>
        <v>0</v>
      </c>
      <c r="AC910" s="3">
        <v>0.0</v>
      </c>
      <c r="AD910" s="3">
        <v>0.0</v>
      </c>
      <c r="AE910" s="3">
        <v>0.0</v>
      </c>
      <c r="AF910" s="3">
        <v>0.0</v>
      </c>
      <c r="AG910" s="3">
        <v>0.0</v>
      </c>
    </row>
    <row r="911">
      <c r="A911" s="3" t="s">
        <v>469</v>
      </c>
      <c r="B911" s="3" t="s">
        <v>2032</v>
      </c>
      <c r="C911" s="3" t="str">
        <f t="shared" si="1"/>
        <v>PT. Sinar Dunia Baru</v>
      </c>
      <c r="D911" s="3" t="s">
        <v>103</v>
      </c>
      <c r="E911" s="3" t="s">
        <v>187</v>
      </c>
      <c r="F911" s="3" t="s">
        <v>295</v>
      </c>
      <c r="G911" s="3" t="s">
        <v>76</v>
      </c>
      <c r="H911" s="3" t="str">
        <f t="array" ref="H911">XLOOKUP(G:G,'Account Manager Data'!A:A,'Account Manager Data'!B:B,0)</f>
        <v>Teguh Wijaya</v>
      </c>
      <c r="I911" s="11" t="str">
        <f t="array" ref="I911">XLOOKUP($G:$G,'Account Manager Data'!$A:$A,'Account Manager Data'!C:C)</f>
        <v>Sulawesi</v>
      </c>
      <c r="J911" s="17">
        <v>4979804.0</v>
      </c>
      <c r="K911" s="17">
        <v>2201666.0</v>
      </c>
      <c r="L911" s="17">
        <v>6970520.0</v>
      </c>
      <c r="M911" s="17">
        <v>1.1684438E7</v>
      </c>
      <c r="N911" s="17">
        <v>4025742.0</v>
      </c>
      <c r="O911" s="17">
        <v>1.3009205E7</v>
      </c>
      <c r="P911" s="17">
        <v>714647.0</v>
      </c>
      <c r="Q911" s="17">
        <v>0.0</v>
      </c>
      <c r="R911" s="17">
        <v>6969294.0</v>
      </c>
      <c r="S911" s="17">
        <v>1.2374163E7</v>
      </c>
      <c r="T911" s="17">
        <v>3768844.0</v>
      </c>
      <c r="U911" s="17">
        <v>3691516.0</v>
      </c>
      <c r="V911" s="11">
        <f t="array" ref="V911">XLOOKUP(A:A,'Raw Revenue'!A:A,'Raw Revenue'!B:B,0)
</f>
        <v>421939.9563</v>
      </c>
      <c r="W911" s="11">
        <f t="array" ref="W911">XLOOKUP(A:A,'Raw Revenue'!C:C,'Raw Revenue'!D:D,0)</f>
        <v>210969.9782</v>
      </c>
      <c r="X911" s="11">
        <f t="array" ref="X911">XLOOKUP(A:A,'Raw Revenue'!E:E,'Raw Revenue'!F:F,0)</f>
        <v>126581.9869</v>
      </c>
      <c r="Y911" s="11">
        <f t="array" ref="Y911">XLOOKUP(A:A,'Raw Revenue'!G:G,'Raw Revenue'!H:H,0)</f>
        <v>1476789.847</v>
      </c>
      <c r="Z911" s="11">
        <f t="array" ref="Z911">XLOOKUP(A:A,'Raw Revenue'!I:I,'Raw Revenue'!J:J,0)</f>
        <v>337551.9651</v>
      </c>
      <c r="AA911" s="11">
        <f t="array" ref="AA911">XLOOKUP(A:A,'Raw Revenue'!K:K,'Raw Revenue'!L:L,0)</f>
        <v>9493.649017</v>
      </c>
      <c r="AB911" s="11">
        <f t="array" ref="AB911">XLOOKUP(A:A,'Raw Revenue'!M:M,'Raw Revenue'!N:N,0)</f>
        <v>1272148.968</v>
      </c>
      <c r="AC911" s="3">
        <v>0.0</v>
      </c>
      <c r="AD911" s="3">
        <v>0.0</v>
      </c>
      <c r="AE911" s="3">
        <v>0.0</v>
      </c>
      <c r="AF911" s="3">
        <v>0.0</v>
      </c>
      <c r="AG911" s="3">
        <v>0.0</v>
      </c>
    </row>
    <row r="912">
      <c r="A912" s="3" t="s">
        <v>2033</v>
      </c>
      <c r="B912" s="3" t="s">
        <v>2034</v>
      </c>
      <c r="C912" s="3" t="str">
        <f t="shared" si="1"/>
        <v>CV. Karya Utama Mandiri</v>
      </c>
      <c r="D912" s="3" t="s">
        <v>186</v>
      </c>
      <c r="E912" s="3" t="s">
        <v>187</v>
      </c>
      <c r="F912" s="3" t="s">
        <v>188</v>
      </c>
      <c r="G912" s="3" t="s">
        <v>70</v>
      </c>
      <c r="H912" s="3" t="str">
        <f t="array" ref="H912">XLOOKUP(G:G,'Account Manager Data'!A:A,'Account Manager Data'!B:B,0)</f>
        <v>Yusuf Hidayat</v>
      </c>
      <c r="I912" s="11" t="str">
        <f t="array" ref="I912">XLOOKUP($G:$G,'Account Manager Data'!$A:$A,'Account Manager Data'!C:C)</f>
        <v>Sumatera</v>
      </c>
      <c r="J912" s="17">
        <v>3636962.0</v>
      </c>
      <c r="K912" s="17">
        <v>6838675.0</v>
      </c>
      <c r="L912" s="17">
        <v>8104260.0</v>
      </c>
      <c r="M912" s="17">
        <v>184363.0</v>
      </c>
      <c r="N912" s="17">
        <v>1.3071602E7</v>
      </c>
      <c r="O912" s="17">
        <v>7559725.0</v>
      </c>
      <c r="P912" s="17">
        <v>0.0</v>
      </c>
      <c r="Q912" s="17">
        <v>5690989.0</v>
      </c>
      <c r="R912" s="17">
        <v>1.5805172E7</v>
      </c>
      <c r="S912" s="17">
        <v>1.5290644E7</v>
      </c>
      <c r="T912" s="17">
        <v>1.0699855E7</v>
      </c>
      <c r="U912" s="17">
        <v>1.8499906E7</v>
      </c>
      <c r="V912" s="11">
        <f t="array" ref="V912">XLOOKUP(A:A,'Raw Revenue'!A:A,'Raw Revenue'!B:B,0)
</f>
        <v>0</v>
      </c>
      <c r="W912" s="11">
        <f t="array" ref="W912">XLOOKUP(A:A,'Raw Revenue'!C:C,'Raw Revenue'!D:D,0)</f>
        <v>0</v>
      </c>
      <c r="X912" s="11">
        <f t="array" ref="X912">XLOOKUP(A:A,'Raw Revenue'!E:E,'Raw Revenue'!F:F,0)</f>
        <v>0</v>
      </c>
      <c r="Y912" s="11">
        <f t="array" ref="Y912">XLOOKUP(A:A,'Raw Revenue'!G:G,'Raw Revenue'!H:H,0)</f>
        <v>0</v>
      </c>
      <c r="Z912" s="11">
        <f t="array" ref="Z912">XLOOKUP(A:A,'Raw Revenue'!I:I,'Raw Revenue'!J:J,0)</f>
        <v>0</v>
      </c>
      <c r="AA912" s="11">
        <f t="array" ref="AA912">XLOOKUP(A:A,'Raw Revenue'!K:K,'Raw Revenue'!L:L,0)</f>
        <v>0</v>
      </c>
      <c r="AB912" s="11">
        <f t="array" ref="AB912">XLOOKUP(A:A,'Raw Revenue'!M:M,'Raw Revenue'!N:N,0)</f>
        <v>0</v>
      </c>
      <c r="AC912" s="3">
        <v>0.0</v>
      </c>
      <c r="AD912" s="3">
        <v>0.0</v>
      </c>
      <c r="AE912" s="3">
        <v>0.0</v>
      </c>
      <c r="AF912" s="3">
        <v>0.0</v>
      </c>
      <c r="AG912" s="3">
        <v>0.0</v>
      </c>
    </row>
    <row r="913">
      <c r="A913" s="3" t="s">
        <v>2035</v>
      </c>
      <c r="B913" s="3" t="s">
        <v>2036</v>
      </c>
      <c r="C913" s="3" t="str">
        <f t="shared" si="1"/>
        <v>PT. Pratama Jaya Sentosa</v>
      </c>
      <c r="D913" s="3" t="s">
        <v>186</v>
      </c>
      <c r="E913" s="3" t="s">
        <v>85</v>
      </c>
      <c r="F913" s="3" t="s">
        <v>407</v>
      </c>
      <c r="G913" s="3" t="s">
        <v>15</v>
      </c>
      <c r="H913" s="3" t="str">
        <f t="array" ref="H913">XLOOKUP(G:G,'Account Manager Data'!A:A,'Account Manager Data'!B:B,0)</f>
        <v>Rizky Maulana</v>
      </c>
      <c r="I913" s="11" t="str">
        <f t="array" ref="I913">XLOOKUP($G:$G,'Account Manager Data'!$A:$A,'Account Manager Data'!C:C)</f>
        <v>Jawa</v>
      </c>
      <c r="J913" s="17">
        <v>5913552.0</v>
      </c>
      <c r="K913" s="17">
        <v>6926792.0</v>
      </c>
      <c r="L913" s="17">
        <v>35248.0</v>
      </c>
      <c r="M913" s="17">
        <v>9910268.0</v>
      </c>
      <c r="N913" s="17">
        <v>1.2198238E7</v>
      </c>
      <c r="O913" s="17">
        <v>1.4450577E7</v>
      </c>
      <c r="P913" s="17">
        <v>8500057.0</v>
      </c>
      <c r="Q913" s="17">
        <v>5089145.0</v>
      </c>
      <c r="R913" s="17">
        <v>1.6143607E7</v>
      </c>
      <c r="S913" s="17">
        <v>1549192.0</v>
      </c>
      <c r="T913" s="17">
        <v>1.90165E7</v>
      </c>
      <c r="U913" s="17">
        <v>1.5123563E7</v>
      </c>
      <c r="V913" s="11">
        <f t="array" ref="V913">XLOOKUP(A:A,'Raw Revenue'!A:A,'Raw Revenue'!B:B,0)
</f>
        <v>0</v>
      </c>
      <c r="W913" s="11">
        <f t="array" ref="W913">XLOOKUP(A:A,'Raw Revenue'!C:C,'Raw Revenue'!D:D,0)</f>
        <v>0</v>
      </c>
      <c r="X913" s="11">
        <f t="array" ref="X913">XLOOKUP(A:A,'Raw Revenue'!E:E,'Raw Revenue'!F:F,0)</f>
        <v>0</v>
      </c>
      <c r="Y913" s="11">
        <f t="array" ref="Y913">XLOOKUP(A:A,'Raw Revenue'!G:G,'Raw Revenue'!H:H,0)</f>
        <v>0</v>
      </c>
      <c r="Z913" s="11">
        <f t="array" ref="Z913">XLOOKUP(A:A,'Raw Revenue'!I:I,'Raw Revenue'!J:J,0)</f>
        <v>0</v>
      </c>
      <c r="AA913" s="11">
        <f t="array" ref="AA913">XLOOKUP(A:A,'Raw Revenue'!K:K,'Raw Revenue'!L:L,0)</f>
        <v>0</v>
      </c>
      <c r="AB913" s="11">
        <f t="array" ref="AB913">XLOOKUP(A:A,'Raw Revenue'!M:M,'Raw Revenue'!N:N,0)</f>
        <v>0</v>
      </c>
      <c r="AC913" s="3">
        <v>0.0</v>
      </c>
      <c r="AD913" s="3">
        <v>0.0</v>
      </c>
      <c r="AE913" s="3">
        <v>0.0</v>
      </c>
      <c r="AF913" s="3">
        <v>0.0</v>
      </c>
      <c r="AG913" s="3">
        <v>0.0</v>
      </c>
    </row>
    <row r="914">
      <c r="A914" s="3" t="s">
        <v>2037</v>
      </c>
      <c r="B914" s="3" t="s">
        <v>2038</v>
      </c>
      <c r="C914" s="3" t="str">
        <f t="shared" si="1"/>
        <v>PT. Abadi Selamanya Jaya</v>
      </c>
      <c r="D914" s="3" t="s">
        <v>214</v>
      </c>
      <c r="E914" s="3" t="s">
        <v>196</v>
      </c>
      <c r="F914" s="3" t="s">
        <v>315</v>
      </c>
      <c r="G914" s="3" t="s">
        <v>53</v>
      </c>
      <c r="H914" s="3" t="str">
        <f t="array" ref="H914">XLOOKUP(G:G,'Account Manager Data'!A:A,'Account Manager Data'!B:B,0)</f>
        <v>Fajar Ramadhan</v>
      </c>
      <c r="I914" s="11" t="str">
        <f t="array" ref="I914">XLOOKUP($G:$G,'Account Manager Data'!$A:$A,'Account Manager Data'!C:C)</f>
        <v>Sulawesi</v>
      </c>
      <c r="J914" s="17">
        <v>4293986.0</v>
      </c>
      <c r="K914" s="17">
        <v>3326623.0</v>
      </c>
      <c r="L914" s="17">
        <v>8500503.0</v>
      </c>
      <c r="M914" s="17">
        <v>3328572.0</v>
      </c>
      <c r="N914" s="17">
        <v>9937463.0</v>
      </c>
      <c r="O914" s="17">
        <v>1412040.0</v>
      </c>
      <c r="P914" s="17">
        <v>6506448.0</v>
      </c>
      <c r="Q914" s="17">
        <v>1.3693513E7</v>
      </c>
      <c r="R914" s="17">
        <v>1.5103742E7</v>
      </c>
      <c r="S914" s="17">
        <v>1.0036708E7</v>
      </c>
      <c r="T914" s="17">
        <v>7206538.0</v>
      </c>
      <c r="U914" s="17">
        <v>1977373.0</v>
      </c>
      <c r="V914" s="11">
        <f t="array" ref="V914">XLOOKUP(A:A,'Raw Revenue'!A:A,'Raw Revenue'!B:B,0)
</f>
        <v>0</v>
      </c>
      <c r="W914" s="11">
        <f t="array" ref="W914">XLOOKUP(A:A,'Raw Revenue'!C:C,'Raw Revenue'!D:D,0)</f>
        <v>0</v>
      </c>
      <c r="X914" s="11">
        <f t="array" ref="X914">XLOOKUP(A:A,'Raw Revenue'!E:E,'Raw Revenue'!F:F,0)</f>
        <v>0</v>
      </c>
      <c r="Y914" s="11">
        <f t="array" ref="Y914">XLOOKUP(A:A,'Raw Revenue'!G:G,'Raw Revenue'!H:H,0)</f>
        <v>0</v>
      </c>
      <c r="Z914" s="11">
        <f t="array" ref="Z914">XLOOKUP(A:A,'Raw Revenue'!I:I,'Raw Revenue'!J:J,0)</f>
        <v>0</v>
      </c>
      <c r="AA914" s="11">
        <f t="array" ref="AA914">XLOOKUP(A:A,'Raw Revenue'!K:K,'Raw Revenue'!L:L,0)</f>
        <v>0</v>
      </c>
      <c r="AB914" s="11">
        <f t="array" ref="AB914">XLOOKUP(A:A,'Raw Revenue'!M:M,'Raw Revenue'!N:N,0)</f>
        <v>0</v>
      </c>
      <c r="AC914" s="3">
        <v>0.0</v>
      </c>
      <c r="AD914" s="3">
        <v>0.0</v>
      </c>
      <c r="AE914" s="3">
        <v>0.0</v>
      </c>
      <c r="AF914" s="3">
        <v>0.0</v>
      </c>
      <c r="AG914" s="3">
        <v>0.0</v>
      </c>
    </row>
    <row r="915">
      <c r="A915" s="3" t="s">
        <v>2039</v>
      </c>
      <c r="B915" s="3" t="s">
        <v>2040</v>
      </c>
      <c r="C915" s="3" t="str">
        <f t="shared" si="1"/>
        <v>PT. Mandiri Sejahtera Bersama</v>
      </c>
      <c r="D915" s="3" t="s">
        <v>84</v>
      </c>
      <c r="E915" s="3" t="s">
        <v>85</v>
      </c>
      <c r="F915" s="3" t="s">
        <v>86</v>
      </c>
      <c r="G915" s="3" t="s">
        <v>27</v>
      </c>
      <c r="H915" s="3" t="str">
        <f t="array" ref="H915">XLOOKUP(G:G,'Account Manager Data'!A:A,'Account Manager Data'!B:B,0)</f>
        <v>Dedi Kurniawan</v>
      </c>
      <c r="I915" s="11" t="str">
        <f t="array" ref="I915">XLOOKUP($G:$G,'Account Manager Data'!$A:$A,'Account Manager Data'!C:C)</f>
        <v>Kalimantan</v>
      </c>
      <c r="J915" s="17">
        <v>3478868.0</v>
      </c>
      <c r="K915" s="17">
        <v>6645925.0</v>
      </c>
      <c r="L915" s="17">
        <v>3976256.0</v>
      </c>
      <c r="M915" s="17">
        <v>3246919.0</v>
      </c>
      <c r="N915" s="17">
        <v>5314929.0</v>
      </c>
      <c r="O915" s="17">
        <v>6345042.0</v>
      </c>
      <c r="P915" s="17">
        <v>7102566.0</v>
      </c>
      <c r="Q915" s="17">
        <v>1.3313042E7</v>
      </c>
      <c r="R915" s="17">
        <v>1.0130533E7</v>
      </c>
      <c r="S915" s="17">
        <v>3072905.0</v>
      </c>
      <c r="T915" s="17">
        <v>1361839.0</v>
      </c>
      <c r="U915" s="17">
        <v>1.6760902E7</v>
      </c>
      <c r="V915" s="11">
        <f t="array" ref="V915">XLOOKUP(A:A,'Raw Revenue'!A:A,'Raw Revenue'!B:B,0)
</f>
        <v>0</v>
      </c>
      <c r="W915" s="11">
        <f t="array" ref="W915">XLOOKUP(A:A,'Raw Revenue'!C:C,'Raw Revenue'!D:D,0)</f>
        <v>0</v>
      </c>
      <c r="X915" s="11">
        <f t="array" ref="X915">XLOOKUP(A:A,'Raw Revenue'!E:E,'Raw Revenue'!F:F,0)</f>
        <v>0</v>
      </c>
      <c r="Y915" s="11">
        <f t="array" ref="Y915">XLOOKUP(A:A,'Raw Revenue'!G:G,'Raw Revenue'!H:H,0)</f>
        <v>0</v>
      </c>
      <c r="Z915" s="11">
        <f t="array" ref="Z915">XLOOKUP(A:A,'Raw Revenue'!I:I,'Raw Revenue'!J:J,0)</f>
        <v>0</v>
      </c>
      <c r="AA915" s="11">
        <f t="array" ref="AA915">XLOOKUP(A:A,'Raw Revenue'!K:K,'Raw Revenue'!L:L,0)</f>
        <v>0</v>
      </c>
      <c r="AB915" s="11">
        <f t="array" ref="AB915">XLOOKUP(A:A,'Raw Revenue'!M:M,'Raw Revenue'!N:N,0)</f>
        <v>0</v>
      </c>
      <c r="AC915" s="3">
        <v>0.0</v>
      </c>
      <c r="AD915" s="3">
        <v>0.0</v>
      </c>
      <c r="AE915" s="3">
        <v>0.0</v>
      </c>
      <c r="AF915" s="3">
        <v>0.0</v>
      </c>
      <c r="AG915" s="3">
        <v>0.0</v>
      </c>
    </row>
    <row r="916">
      <c r="A916" s="3" t="s">
        <v>2041</v>
      </c>
      <c r="B916" s="3" t="s">
        <v>2042</v>
      </c>
      <c r="C916" s="3" t="str">
        <f t="shared" si="1"/>
        <v>PT. Sejahtera Alam Indonesia</v>
      </c>
      <c r="D916" s="3" t="s">
        <v>214</v>
      </c>
      <c r="E916" s="3" t="s">
        <v>196</v>
      </c>
      <c r="F916" s="3" t="s">
        <v>260</v>
      </c>
      <c r="G916" s="3" t="s">
        <v>78</v>
      </c>
      <c r="H916" s="3" t="str">
        <f t="array" ref="H916">XLOOKUP(G:G,'Account Manager Data'!A:A,'Account Manager Data'!B:B,0)</f>
        <v>Ilham Saputra</v>
      </c>
      <c r="I916" s="11" t="str">
        <f t="array" ref="I916">XLOOKUP($G:$G,'Account Manager Data'!$A:$A,'Account Manager Data'!C:C)</f>
        <v>Jawa</v>
      </c>
      <c r="J916" s="17">
        <v>2287156.0</v>
      </c>
      <c r="K916" s="17">
        <v>553158.0</v>
      </c>
      <c r="L916" s="17">
        <v>2617299.0</v>
      </c>
      <c r="M916" s="17">
        <v>3441677.0</v>
      </c>
      <c r="N916" s="17">
        <v>1.0398374E7</v>
      </c>
      <c r="O916" s="17">
        <v>1.476669E7</v>
      </c>
      <c r="P916" s="17">
        <v>1.3677054E7</v>
      </c>
      <c r="Q916" s="17">
        <v>7301689.0</v>
      </c>
      <c r="R916" s="17">
        <v>1.2297382E7</v>
      </c>
      <c r="S916" s="17">
        <v>7933539.0</v>
      </c>
      <c r="T916" s="17">
        <v>1.2889048E7</v>
      </c>
      <c r="U916" s="17">
        <v>1.3361732E7</v>
      </c>
      <c r="V916" s="11">
        <f t="array" ref="V916">XLOOKUP(A:A,'Raw Revenue'!A:A,'Raw Revenue'!B:B,0)
</f>
        <v>0</v>
      </c>
      <c r="W916" s="11">
        <f t="array" ref="W916">XLOOKUP(A:A,'Raw Revenue'!C:C,'Raw Revenue'!D:D,0)</f>
        <v>0</v>
      </c>
      <c r="X916" s="11">
        <f t="array" ref="X916">XLOOKUP(A:A,'Raw Revenue'!E:E,'Raw Revenue'!F:F,0)</f>
        <v>0</v>
      </c>
      <c r="Y916" s="11">
        <f t="array" ref="Y916">XLOOKUP(A:A,'Raw Revenue'!G:G,'Raw Revenue'!H:H,0)</f>
        <v>0</v>
      </c>
      <c r="Z916" s="11">
        <f t="array" ref="Z916">XLOOKUP(A:A,'Raw Revenue'!I:I,'Raw Revenue'!J:J,0)</f>
        <v>0</v>
      </c>
      <c r="AA916" s="11">
        <f t="array" ref="AA916">XLOOKUP(A:A,'Raw Revenue'!K:K,'Raw Revenue'!L:L,0)</f>
        <v>0</v>
      </c>
      <c r="AB916" s="11">
        <f t="array" ref="AB916">XLOOKUP(A:A,'Raw Revenue'!M:M,'Raw Revenue'!N:N,0)</f>
        <v>0</v>
      </c>
      <c r="AC916" s="3">
        <v>0.0</v>
      </c>
      <c r="AD916" s="3">
        <v>0.0</v>
      </c>
      <c r="AE916" s="3">
        <v>0.0</v>
      </c>
      <c r="AF916" s="3">
        <v>0.0</v>
      </c>
      <c r="AG916" s="3">
        <v>0.0</v>
      </c>
    </row>
    <row r="917">
      <c r="A917" s="3" t="s">
        <v>2043</v>
      </c>
      <c r="B917" s="3" t="s">
        <v>2044</v>
      </c>
      <c r="C917" s="3" t="str">
        <f t="shared" si="1"/>
        <v>PT. Indah Kargo Logistik</v>
      </c>
      <c r="D917" s="3" t="s">
        <v>186</v>
      </c>
      <c r="E917" s="3" t="s">
        <v>85</v>
      </c>
      <c r="F917" s="3" t="s">
        <v>407</v>
      </c>
      <c r="G917" s="3" t="s">
        <v>63</v>
      </c>
      <c r="H917" s="3" t="str">
        <f t="array" ref="H917">XLOOKUP(G:G,'Account Manager Data'!A:A,'Account Manager Data'!B:B,0)</f>
        <v>Hendra Gunawan</v>
      </c>
      <c r="I917" s="11" t="str">
        <f t="array" ref="I917">XLOOKUP($G:$G,'Account Manager Data'!$A:$A,'Account Manager Data'!C:C)</f>
        <v>Kalimantan</v>
      </c>
      <c r="J917" s="17">
        <v>4670797.0</v>
      </c>
      <c r="K917" s="17">
        <v>2529778.0</v>
      </c>
      <c r="L917" s="17">
        <v>4719873.0</v>
      </c>
      <c r="M917" s="17">
        <v>8705377.0</v>
      </c>
      <c r="N917" s="17">
        <v>5927985.0</v>
      </c>
      <c r="O917" s="17">
        <v>1.3192167E7</v>
      </c>
      <c r="P917" s="17">
        <v>8935440.0</v>
      </c>
      <c r="Q917" s="17">
        <v>9073540.0</v>
      </c>
      <c r="R917" s="17">
        <v>4307383.0</v>
      </c>
      <c r="S917" s="17">
        <v>2909047.0</v>
      </c>
      <c r="T917" s="17">
        <v>2682380.0</v>
      </c>
      <c r="U917" s="17">
        <v>308176.0</v>
      </c>
      <c r="V917" s="11">
        <f t="array" ref="V917">XLOOKUP(A:A,'Raw Revenue'!A:A,'Raw Revenue'!B:B,0)
</f>
        <v>0</v>
      </c>
      <c r="W917" s="11">
        <f t="array" ref="W917">XLOOKUP(A:A,'Raw Revenue'!C:C,'Raw Revenue'!D:D,0)</f>
        <v>0</v>
      </c>
      <c r="X917" s="11">
        <f t="array" ref="X917">XLOOKUP(A:A,'Raw Revenue'!E:E,'Raw Revenue'!F:F,0)</f>
        <v>0</v>
      </c>
      <c r="Y917" s="11">
        <f t="array" ref="Y917">XLOOKUP(A:A,'Raw Revenue'!G:G,'Raw Revenue'!H:H,0)</f>
        <v>0</v>
      </c>
      <c r="Z917" s="11">
        <f t="array" ref="Z917">XLOOKUP(A:A,'Raw Revenue'!I:I,'Raw Revenue'!J:J,0)</f>
        <v>0</v>
      </c>
      <c r="AA917" s="11">
        <f t="array" ref="AA917">XLOOKUP(A:A,'Raw Revenue'!K:K,'Raw Revenue'!L:L,0)</f>
        <v>0</v>
      </c>
      <c r="AB917" s="11">
        <f t="array" ref="AB917">XLOOKUP(A:A,'Raw Revenue'!M:M,'Raw Revenue'!N:N,0)</f>
        <v>0</v>
      </c>
      <c r="AC917" s="3">
        <v>0.0</v>
      </c>
      <c r="AD917" s="3">
        <v>0.0</v>
      </c>
      <c r="AE917" s="3">
        <v>0.0</v>
      </c>
      <c r="AF917" s="3">
        <v>0.0</v>
      </c>
      <c r="AG917" s="3">
        <v>0.0</v>
      </c>
    </row>
    <row r="918">
      <c r="A918" s="3" t="s">
        <v>2045</v>
      </c>
      <c r="B918" s="3" t="s">
        <v>2046</v>
      </c>
      <c r="C918" s="3" t="str">
        <f t="shared" si="1"/>
        <v>PT. Berkah Alam Semesta</v>
      </c>
      <c r="D918" s="3" t="s">
        <v>186</v>
      </c>
      <c r="E918" s="3" t="s">
        <v>85</v>
      </c>
      <c r="F918" s="3" t="s">
        <v>248</v>
      </c>
      <c r="G918" s="3" t="s">
        <v>35</v>
      </c>
      <c r="H918" s="3" t="str">
        <f t="array" ref="H918">XLOOKUP(G:G,'Account Manager Data'!A:A,'Account Manager Data'!B:B,0)</f>
        <v>Ahmad Fauzi</v>
      </c>
      <c r="I918" s="11" t="str">
        <f t="array" ref="I918">XLOOKUP($G:$G,'Account Manager Data'!$A:$A,'Account Manager Data'!C:C)</f>
        <v>Sumatera</v>
      </c>
      <c r="J918" s="17">
        <v>5468738.0</v>
      </c>
      <c r="K918" s="17">
        <v>5162788.0</v>
      </c>
      <c r="L918" s="17">
        <v>2439859.0</v>
      </c>
      <c r="M918" s="17">
        <v>6849034.0</v>
      </c>
      <c r="N918" s="17">
        <v>1.1997523E7</v>
      </c>
      <c r="O918" s="17">
        <v>5089752.0</v>
      </c>
      <c r="P918" s="17">
        <v>1.3616538E7</v>
      </c>
      <c r="Q918" s="17">
        <v>3999627.0</v>
      </c>
      <c r="R918" s="17">
        <v>403654.0</v>
      </c>
      <c r="S918" s="17">
        <v>1.6611827E7</v>
      </c>
      <c r="T918" s="17">
        <v>1.7833616E7</v>
      </c>
      <c r="U918" s="17">
        <v>3707278.0</v>
      </c>
      <c r="V918" s="11">
        <f t="array" ref="V918">XLOOKUP(A:A,'Raw Revenue'!A:A,'Raw Revenue'!B:B,0)
</f>
        <v>0</v>
      </c>
      <c r="W918" s="11">
        <f t="array" ref="W918">XLOOKUP(A:A,'Raw Revenue'!C:C,'Raw Revenue'!D:D,0)</f>
        <v>0</v>
      </c>
      <c r="X918" s="11">
        <f t="array" ref="X918">XLOOKUP(A:A,'Raw Revenue'!E:E,'Raw Revenue'!F:F,0)</f>
        <v>0</v>
      </c>
      <c r="Y918" s="11">
        <f t="array" ref="Y918">XLOOKUP(A:A,'Raw Revenue'!G:G,'Raw Revenue'!H:H,0)</f>
        <v>0</v>
      </c>
      <c r="Z918" s="11">
        <f t="array" ref="Z918">XLOOKUP(A:A,'Raw Revenue'!I:I,'Raw Revenue'!J:J,0)</f>
        <v>0</v>
      </c>
      <c r="AA918" s="11">
        <f t="array" ref="AA918">XLOOKUP(A:A,'Raw Revenue'!K:K,'Raw Revenue'!L:L,0)</f>
        <v>0</v>
      </c>
      <c r="AB918" s="11">
        <f t="array" ref="AB918">XLOOKUP(A:A,'Raw Revenue'!M:M,'Raw Revenue'!N:N,0)</f>
        <v>0</v>
      </c>
      <c r="AC918" s="3">
        <v>0.0</v>
      </c>
      <c r="AD918" s="3">
        <v>0.0</v>
      </c>
      <c r="AE918" s="3">
        <v>0.0</v>
      </c>
      <c r="AF918" s="3">
        <v>0.0</v>
      </c>
      <c r="AG918" s="3">
        <v>0.0</v>
      </c>
    </row>
    <row r="919">
      <c r="A919" s="3" t="s">
        <v>2047</v>
      </c>
      <c r="B919" s="3" t="s">
        <v>2048</v>
      </c>
      <c r="C919" s="3" t="str">
        <f t="shared" si="1"/>
        <v>PT. Cahaya Baru Indonesia</v>
      </c>
      <c r="D919" s="3" t="s">
        <v>130</v>
      </c>
      <c r="E919" s="3" t="s">
        <v>187</v>
      </c>
      <c r="F919" s="3" t="s">
        <v>188</v>
      </c>
      <c r="G919" s="3" t="s">
        <v>43</v>
      </c>
      <c r="H919" s="3" t="str">
        <f t="array" ref="H919">XLOOKUP(G:G,'Account Manager Data'!A:A,'Account Manager Data'!B:B,0)</f>
        <v>Eko Prasetyo</v>
      </c>
      <c r="I919" s="11" t="str">
        <f t="array" ref="I919">XLOOKUP($G:$G,'Account Manager Data'!$A:$A,'Account Manager Data'!C:C)</f>
        <v>Papua</v>
      </c>
      <c r="J919" s="17">
        <v>7023920.0</v>
      </c>
      <c r="K919" s="17">
        <v>1779920.0</v>
      </c>
      <c r="L919" s="17">
        <v>3767257.0</v>
      </c>
      <c r="M919" s="17">
        <v>1.0391712E7</v>
      </c>
      <c r="N919" s="17">
        <v>1653288.0</v>
      </c>
      <c r="O919" s="17">
        <v>4985701.0</v>
      </c>
      <c r="P919" s="17">
        <v>8134899.0</v>
      </c>
      <c r="Q919" s="17">
        <v>6191937.0</v>
      </c>
      <c r="R919" s="17">
        <v>3506029.0</v>
      </c>
      <c r="S919" s="17">
        <v>1.5062331E7</v>
      </c>
      <c r="T919" s="17">
        <v>2956340.0</v>
      </c>
      <c r="U919" s="17">
        <v>1.3149555E7</v>
      </c>
      <c r="V919" s="11">
        <f t="array" ref="V919">XLOOKUP(A:A,'Raw Revenue'!A:A,'Raw Revenue'!B:B,0)
</f>
        <v>0</v>
      </c>
      <c r="W919" s="11">
        <f t="array" ref="W919">XLOOKUP(A:A,'Raw Revenue'!C:C,'Raw Revenue'!D:D,0)</f>
        <v>0</v>
      </c>
      <c r="X919" s="11">
        <f t="array" ref="X919">XLOOKUP(A:A,'Raw Revenue'!E:E,'Raw Revenue'!F:F,0)</f>
        <v>0</v>
      </c>
      <c r="Y919" s="11">
        <f t="array" ref="Y919">XLOOKUP(A:A,'Raw Revenue'!G:G,'Raw Revenue'!H:H,0)</f>
        <v>0</v>
      </c>
      <c r="Z919" s="11">
        <f t="array" ref="Z919">XLOOKUP(A:A,'Raw Revenue'!I:I,'Raw Revenue'!J:J,0)</f>
        <v>0</v>
      </c>
      <c r="AA919" s="11">
        <f t="array" ref="AA919">XLOOKUP(A:A,'Raw Revenue'!K:K,'Raw Revenue'!L:L,0)</f>
        <v>0</v>
      </c>
      <c r="AB919" s="11">
        <f t="array" ref="AB919">XLOOKUP(A:A,'Raw Revenue'!M:M,'Raw Revenue'!N:N,0)</f>
        <v>0</v>
      </c>
      <c r="AC919" s="3">
        <v>0.0</v>
      </c>
      <c r="AD919" s="3">
        <v>0.0</v>
      </c>
      <c r="AE919" s="3">
        <v>0.0</v>
      </c>
      <c r="AF919" s="3">
        <v>0.0</v>
      </c>
      <c r="AG919" s="3">
        <v>0.0</v>
      </c>
    </row>
    <row r="920">
      <c r="A920" s="3" t="s">
        <v>2049</v>
      </c>
      <c r="B920" s="3" t="s">
        <v>2050</v>
      </c>
      <c r="C920" s="3" t="str">
        <f t="shared" si="1"/>
        <v>PT. Mentari Pagi Sejahtera</v>
      </c>
      <c r="D920" s="3" t="s">
        <v>186</v>
      </c>
      <c r="E920" s="3" t="s">
        <v>104</v>
      </c>
      <c r="F920" s="3" t="s">
        <v>252</v>
      </c>
      <c r="G920" s="3" t="s">
        <v>74</v>
      </c>
      <c r="H920" s="3" t="str">
        <f t="array" ref="H920">XLOOKUP(G:G,'Account Manager Data'!A:A,'Account Manager Data'!B:B,0)</f>
        <v>Budi Santoso</v>
      </c>
      <c r="I920" s="11" t="str">
        <f t="array" ref="I920">XLOOKUP($G:$G,'Account Manager Data'!$A:$A,'Account Manager Data'!C:C)</f>
        <v>Papua</v>
      </c>
      <c r="J920" s="17">
        <v>7696146.0</v>
      </c>
      <c r="K920" s="17">
        <v>1414237.0</v>
      </c>
      <c r="L920" s="17">
        <v>7913681.0</v>
      </c>
      <c r="M920" s="17">
        <v>2558466.0</v>
      </c>
      <c r="N920" s="17">
        <v>1.0467442E7</v>
      </c>
      <c r="O920" s="17">
        <v>1.132671E7</v>
      </c>
      <c r="P920" s="17">
        <v>1361926.0</v>
      </c>
      <c r="Q920" s="17">
        <v>2000993.0</v>
      </c>
      <c r="R920" s="17">
        <v>1.3569453E7</v>
      </c>
      <c r="S920" s="17">
        <v>1.2725659E7</v>
      </c>
      <c r="T920" s="17">
        <v>0.0</v>
      </c>
      <c r="U920" s="17">
        <v>1.7126049E7</v>
      </c>
      <c r="V920" s="11">
        <f t="array" ref="V920">XLOOKUP(A:A,'Raw Revenue'!A:A,'Raw Revenue'!B:B,0)
</f>
        <v>0</v>
      </c>
      <c r="W920" s="11">
        <f t="array" ref="W920">XLOOKUP(A:A,'Raw Revenue'!C:C,'Raw Revenue'!D:D,0)</f>
        <v>0</v>
      </c>
      <c r="X920" s="11">
        <f t="array" ref="X920">XLOOKUP(A:A,'Raw Revenue'!E:E,'Raw Revenue'!F:F,0)</f>
        <v>0</v>
      </c>
      <c r="Y920" s="11">
        <f t="array" ref="Y920">XLOOKUP(A:A,'Raw Revenue'!G:G,'Raw Revenue'!H:H,0)</f>
        <v>0</v>
      </c>
      <c r="Z920" s="11">
        <f t="array" ref="Z920">XLOOKUP(A:A,'Raw Revenue'!I:I,'Raw Revenue'!J:J,0)</f>
        <v>0</v>
      </c>
      <c r="AA920" s="11">
        <f t="array" ref="AA920">XLOOKUP(A:A,'Raw Revenue'!K:K,'Raw Revenue'!L:L,0)</f>
        <v>0</v>
      </c>
      <c r="AB920" s="11">
        <f t="array" ref="AB920">XLOOKUP(A:A,'Raw Revenue'!M:M,'Raw Revenue'!N:N,0)</f>
        <v>0</v>
      </c>
      <c r="AC920" s="3">
        <v>0.0</v>
      </c>
      <c r="AD920" s="3">
        <v>0.0</v>
      </c>
      <c r="AE920" s="3">
        <v>0.0</v>
      </c>
      <c r="AF920" s="3">
        <v>0.0</v>
      </c>
      <c r="AG920" s="3">
        <v>0.0</v>
      </c>
    </row>
    <row r="921">
      <c r="A921" s="3" t="s">
        <v>2051</v>
      </c>
      <c r="B921" s="3" t="s">
        <v>2052</v>
      </c>
      <c r="C921" s="3" t="str">
        <f t="shared" si="1"/>
        <v>PT. Bintang Kejora Nusantara</v>
      </c>
      <c r="D921" s="3" t="s">
        <v>84</v>
      </c>
      <c r="E921" s="3" t="s">
        <v>104</v>
      </c>
      <c r="F921" s="3" t="s">
        <v>105</v>
      </c>
      <c r="G921" s="3" t="s">
        <v>76</v>
      </c>
      <c r="H921" s="3" t="str">
        <f t="array" ref="H921">XLOOKUP(G:G,'Account Manager Data'!A:A,'Account Manager Data'!B:B,0)</f>
        <v>Teguh Wijaya</v>
      </c>
      <c r="I921" s="11" t="str">
        <f t="array" ref="I921">XLOOKUP($G:$G,'Account Manager Data'!$A:$A,'Account Manager Data'!C:C)</f>
        <v>Sulawesi</v>
      </c>
      <c r="J921" s="17">
        <v>1568474.0</v>
      </c>
      <c r="K921" s="17">
        <v>0.0</v>
      </c>
      <c r="L921" s="17">
        <v>3111310.0</v>
      </c>
      <c r="M921" s="17">
        <v>9485977.0</v>
      </c>
      <c r="N921" s="17">
        <v>1.3543873E7</v>
      </c>
      <c r="O921" s="17">
        <v>5562316.0</v>
      </c>
      <c r="P921" s="17">
        <v>1.1759482E7</v>
      </c>
      <c r="Q921" s="17">
        <v>0.0</v>
      </c>
      <c r="R921" s="17">
        <v>1.2790309E7</v>
      </c>
      <c r="S921" s="17">
        <v>9193748.0</v>
      </c>
      <c r="T921" s="17">
        <v>483684.0</v>
      </c>
      <c r="U921" s="17">
        <v>7647259.0</v>
      </c>
      <c r="V921" s="11">
        <f t="array" ref="V921">XLOOKUP(A:A,'Raw Revenue'!A:A,'Raw Revenue'!B:B,0)
</f>
        <v>0</v>
      </c>
      <c r="W921" s="11">
        <f t="array" ref="W921">XLOOKUP(A:A,'Raw Revenue'!C:C,'Raw Revenue'!D:D,0)</f>
        <v>0</v>
      </c>
      <c r="X921" s="11">
        <f t="array" ref="X921">XLOOKUP(A:A,'Raw Revenue'!E:E,'Raw Revenue'!F:F,0)</f>
        <v>0</v>
      </c>
      <c r="Y921" s="11">
        <f t="array" ref="Y921">XLOOKUP(A:A,'Raw Revenue'!G:G,'Raw Revenue'!H:H,0)</f>
        <v>0</v>
      </c>
      <c r="Z921" s="11">
        <f t="array" ref="Z921">XLOOKUP(A:A,'Raw Revenue'!I:I,'Raw Revenue'!J:J,0)</f>
        <v>0</v>
      </c>
      <c r="AA921" s="11">
        <f t="array" ref="AA921">XLOOKUP(A:A,'Raw Revenue'!K:K,'Raw Revenue'!L:L,0)</f>
        <v>0</v>
      </c>
      <c r="AB921" s="11">
        <f t="array" ref="AB921">XLOOKUP(A:A,'Raw Revenue'!M:M,'Raw Revenue'!N:N,0)</f>
        <v>0</v>
      </c>
      <c r="AC921" s="3">
        <v>0.0</v>
      </c>
      <c r="AD921" s="3">
        <v>0.0</v>
      </c>
      <c r="AE921" s="3">
        <v>0.0</v>
      </c>
      <c r="AF921" s="3">
        <v>0.0</v>
      </c>
      <c r="AG921" s="3">
        <v>0.0</v>
      </c>
    </row>
    <row r="922">
      <c r="A922" s="3" t="s">
        <v>2053</v>
      </c>
      <c r="B922" s="3" t="s">
        <v>2054</v>
      </c>
      <c r="C922" s="3" t="str">
        <f t="shared" si="1"/>
        <v>PT. Maju Jaya</v>
      </c>
      <c r="D922" s="3" t="s">
        <v>84</v>
      </c>
      <c r="E922" s="3" t="s">
        <v>104</v>
      </c>
      <c r="F922" s="3" t="s">
        <v>252</v>
      </c>
      <c r="G922" s="3" t="s">
        <v>70</v>
      </c>
      <c r="H922" s="3" t="str">
        <f t="array" ref="H922">XLOOKUP(G:G,'Account Manager Data'!A:A,'Account Manager Data'!B:B,0)</f>
        <v>Yusuf Hidayat</v>
      </c>
      <c r="I922" s="11" t="str">
        <f t="array" ref="I922">XLOOKUP($G:$G,'Account Manager Data'!$A:$A,'Account Manager Data'!C:C)</f>
        <v>Sumatera</v>
      </c>
      <c r="J922" s="17">
        <v>4335505.0</v>
      </c>
      <c r="K922" s="17">
        <v>5502977.0</v>
      </c>
      <c r="L922" s="17">
        <v>4831220.0</v>
      </c>
      <c r="M922" s="17">
        <v>6884335.0</v>
      </c>
      <c r="N922" s="17">
        <v>8496805.0</v>
      </c>
      <c r="O922" s="17">
        <v>1.482734E7</v>
      </c>
      <c r="P922" s="17">
        <v>4119365.0</v>
      </c>
      <c r="Q922" s="17">
        <v>1.4946364E7</v>
      </c>
      <c r="R922" s="17">
        <v>2684945.0</v>
      </c>
      <c r="S922" s="17">
        <v>7698155.0</v>
      </c>
      <c r="T922" s="17">
        <v>462394.0</v>
      </c>
      <c r="U922" s="17">
        <v>1.2815586E7</v>
      </c>
      <c r="V922" s="11">
        <f t="array" ref="V922">XLOOKUP(A:A,'Raw Revenue'!A:A,'Raw Revenue'!B:B,0)
</f>
        <v>0</v>
      </c>
      <c r="W922" s="11">
        <f t="array" ref="W922">XLOOKUP(A:A,'Raw Revenue'!C:C,'Raw Revenue'!D:D,0)</f>
        <v>0</v>
      </c>
      <c r="X922" s="11">
        <f t="array" ref="X922">XLOOKUP(A:A,'Raw Revenue'!E:E,'Raw Revenue'!F:F,0)</f>
        <v>0</v>
      </c>
      <c r="Y922" s="11">
        <f t="array" ref="Y922">XLOOKUP(A:A,'Raw Revenue'!G:G,'Raw Revenue'!H:H,0)</f>
        <v>0</v>
      </c>
      <c r="Z922" s="11">
        <f t="array" ref="Z922">XLOOKUP(A:A,'Raw Revenue'!I:I,'Raw Revenue'!J:J,0)</f>
        <v>0</v>
      </c>
      <c r="AA922" s="11">
        <f t="array" ref="AA922">XLOOKUP(A:A,'Raw Revenue'!K:K,'Raw Revenue'!L:L,0)</f>
        <v>0</v>
      </c>
      <c r="AB922" s="11">
        <f t="array" ref="AB922">XLOOKUP(A:A,'Raw Revenue'!M:M,'Raw Revenue'!N:N,0)</f>
        <v>0</v>
      </c>
      <c r="AC922" s="3">
        <v>0.0</v>
      </c>
      <c r="AD922" s="3">
        <v>0.0</v>
      </c>
      <c r="AE922" s="3">
        <v>0.0</v>
      </c>
      <c r="AF922" s="3">
        <v>0.0</v>
      </c>
      <c r="AG922" s="3">
        <v>0.0</v>
      </c>
    </row>
    <row r="923">
      <c r="A923" s="3" t="s">
        <v>2055</v>
      </c>
      <c r="B923" s="3" t="s">
        <v>2056</v>
      </c>
      <c r="C923" s="3" t="str">
        <f t="shared" si="1"/>
        <v>CV. Sumber Makmur</v>
      </c>
      <c r="D923" s="3" t="s">
        <v>195</v>
      </c>
      <c r="E923" s="3" t="s">
        <v>187</v>
      </c>
      <c r="F923" s="3" t="s">
        <v>269</v>
      </c>
      <c r="G923" s="3" t="s">
        <v>15</v>
      </c>
      <c r="H923" s="3" t="str">
        <f t="array" ref="H923">XLOOKUP(G:G,'Account Manager Data'!A:A,'Account Manager Data'!B:B,0)</f>
        <v>Rizky Maulana</v>
      </c>
      <c r="I923" s="11" t="str">
        <f t="array" ref="I923">XLOOKUP($G:$G,'Account Manager Data'!$A:$A,'Account Manager Data'!C:C)</f>
        <v>Jawa</v>
      </c>
      <c r="J923" s="17">
        <v>7574617.0</v>
      </c>
      <c r="K923" s="17">
        <v>3884505.0</v>
      </c>
      <c r="L923" s="17">
        <v>3311091.0</v>
      </c>
      <c r="M923" s="17">
        <v>1.0785172E7</v>
      </c>
      <c r="N923" s="17">
        <v>693493.0</v>
      </c>
      <c r="O923" s="17">
        <v>2088248.0</v>
      </c>
      <c r="P923" s="17">
        <v>1.3748084E7</v>
      </c>
      <c r="Q923" s="17">
        <v>1.5916877E7</v>
      </c>
      <c r="R923" s="17">
        <v>3016967.0</v>
      </c>
      <c r="S923" s="17">
        <v>8557580.0</v>
      </c>
      <c r="T923" s="17">
        <v>1818641.0</v>
      </c>
      <c r="U923" s="17">
        <v>6684893.0</v>
      </c>
      <c r="V923" s="11">
        <f t="array" ref="V923">XLOOKUP(A:A,'Raw Revenue'!A:A,'Raw Revenue'!B:B,0)
</f>
        <v>0</v>
      </c>
      <c r="W923" s="11">
        <f t="array" ref="W923">XLOOKUP(A:A,'Raw Revenue'!C:C,'Raw Revenue'!D:D,0)</f>
        <v>0</v>
      </c>
      <c r="X923" s="11">
        <f t="array" ref="X923">XLOOKUP(A:A,'Raw Revenue'!E:E,'Raw Revenue'!F:F,0)</f>
        <v>0</v>
      </c>
      <c r="Y923" s="11">
        <f t="array" ref="Y923">XLOOKUP(A:A,'Raw Revenue'!G:G,'Raw Revenue'!H:H,0)</f>
        <v>0</v>
      </c>
      <c r="Z923" s="11">
        <f t="array" ref="Z923">XLOOKUP(A:A,'Raw Revenue'!I:I,'Raw Revenue'!J:J,0)</f>
        <v>0</v>
      </c>
      <c r="AA923" s="11">
        <f t="array" ref="AA923">XLOOKUP(A:A,'Raw Revenue'!K:K,'Raw Revenue'!L:L,0)</f>
        <v>0</v>
      </c>
      <c r="AB923" s="11">
        <f t="array" ref="AB923">XLOOKUP(A:A,'Raw Revenue'!M:M,'Raw Revenue'!N:N,0)</f>
        <v>0</v>
      </c>
      <c r="AC923" s="3">
        <v>0.0</v>
      </c>
      <c r="AD923" s="3">
        <v>0.0</v>
      </c>
      <c r="AE923" s="3">
        <v>0.0</v>
      </c>
      <c r="AF923" s="3">
        <v>0.0</v>
      </c>
      <c r="AG923" s="3">
        <v>0.0</v>
      </c>
    </row>
    <row r="924">
      <c r="A924" s="3" t="s">
        <v>2057</v>
      </c>
      <c r="B924" s="3" t="s">
        <v>2058</v>
      </c>
      <c r="C924" s="3" t="str">
        <f t="shared" si="1"/>
        <v>PT. Teknologi Nusantara</v>
      </c>
      <c r="D924" s="3" t="s">
        <v>130</v>
      </c>
      <c r="E924" s="3" t="s">
        <v>215</v>
      </c>
      <c r="F924" s="3" t="s">
        <v>216</v>
      </c>
      <c r="G924" s="3" t="s">
        <v>27</v>
      </c>
      <c r="H924" s="3" t="str">
        <f t="array" ref="H924">XLOOKUP(G:G,'Account Manager Data'!A:A,'Account Manager Data'!B:B,0)</f>
        <v>Dedi Kurniawan</v>
      </c>
      <c r="I924" s="11" t="str">
        <f t="array" ref="I924">XLOOKUP($G:$G,'Account Manager Data'!$A:$A,'Account Manager Data'!C:C)</f>
        <v>Kalimantan</v>
      </c>
      <c r="J924" s="17">
        <v>1151165.0</v>
      </c>
      <c r="K924" s="17">
        <v>1810080.0</v>
      </c>
      <c r="L924" s="17">
        <v>1099901.0</v>
      </c>
      <c r="M924" s="17">
        <v>1.1122416E7</v>
      </c>
      <c r="N924" s="17">
        <v>1.1332749E7</v>
      </c>
      <c r="O924" s="17">
        <v>3460732.0</v>
      </c>
      <c r="P924" s="17">
        <v>1141434.0</v>
      </c>
      <c r="Q924" s="17">
        <v>0.0</v>
      </c>
      <c r="R924" s="17">
        <v>4086833.0</v>
      </c>
      <c r="S924" s="17">
        <v>1.7259283E7</v>
      </c>
      <c r="T924" s="17">
        <v>1.3379743E7</v>
      </c>
      <c r="U924" s="17">
        <v>1.3343014E7</v>
      </c>
      <c r="V924" s="11">
        <f t="array" ref="V924">XLOOKUP(A:A,'Raw Revenue'!A:A,'Raw Revenue'!B:B,0)
</f>
        <v>0</v>
      </c>
      <c r="W924" s="11">
        <f t="array" ref="W924">XLOOKUP(A:A,'Raw Revenue'!C:C,'Raw Revenue'!D:D,0)</f>
        <v>0</v>
      </c>
      <c r="X924" s="11">
        <f t="array" ref="X924">XLOOKUP(A:A,'Raw Revenue'!E:E,'Raw Revenue'!F:F,0)</f>
        <v>0</v>
      </c>
      <c r="Y924" s="11">
        <f t="array" ref="Y924">XLOOKUP(A:A,'Raw Revenue'!G:G,'Raw Revenue'!H:H,0)</f>
        <v>0</v>
      </c>
      <c r="Z924" s="11">
        <f t="array" ref="Z924">XLOOKUP(A:A,'Raw Revenue'!I:I,'Raw Revenue'!J:J,0)</f>
        <v>0</v>
      </c>
      <c r="AA924" s="11">
        <f t="array" ref="AA924">XLOOKUP(A:A,'Raw Revenue'!K:K,'Raw Revenue'!L:L,0)</f>
        <v>0</v>
      </c>
      <c r="AB924" s="11">
        <f t="array" ref="AB924">XLOOKUP(A:A,'Raw Revenue'!M:M,'Raw Revenue'!N:N,0)</f>
        <v>0</v>
      </c>
      <c r="AC924" s="3">
        <v>0.0</v>
      </c>
      <c r="AD924" s="3">
        <v>0.0</v>
      </c>
      <c r="AE924" s="3">
        <v>0.0</v>
      </c>
      <c r="AF924" s="3">
        <v>0.0</v>
      </c>
      <c r="AG924" s="3">
        <v>0.0</v>
      </c>
    </row>
    <row r="925">
      <c r="A925" s="3" t="s">
        <v>2059</v>
      </c>
      <c r="B925" s="3" t="s">
        <v>2060</v>
      </c>
      <c r="C925" s="3" t="str">
        <f t="shared" si="1"/>
        <v>PT. Bakti Indonesia</v>
      </c>
      <c r="D925" s="3" t="s">
        <v>214</v>
      </c>
      <c r="E925" s="3" t="s">
        <v>187</v>
      </c>
      <c r="F925" s="3" t="s">
        <v>269</v>
      </c>
      <c r="G925" s="3" t="s">
        <v>78</v>
      </c>
      <c r="H925" s="3" t="str">
        <f t="array" ref="H925">XLOOKUP(G:G,'Account Manager Data'!A:A,'Account Manager Data'!B:B,0)</f>
        <v>Ilham Saputra</v>
      </c>
      <c r="I925" s="11" t="str">
        <f t="array" ref="I925">XLOOKUP($G:$G,'Account Manager Data'!$A:$A,'Account Manager Data'!C:C)</f>
        <v>Jawa</v>
      </c>
      <c r="J925" s="17">
        <v>4318469.0</v>
      </c>
      <c r="K925" s="17">
        <v>2448409.0</v>
      </c>
      <c r="L925" s="17">
        <v>1.0095949E7</v>
      </c>
      <c r="M925" s="17">
        <v>481147.0</v>
      </c>
      <c r="N925" s="17">
        <v>0.0</v>
      </c>
      <c r="O925" s="17">
        <v>1.2935959E7</v>
      </c>
      <c r="P925" s="17">
        <v>0.0</v>
      </c>
      <c r="Q925" s="17">
        <v>1.4662906E7</v>
      </c>
      <c r="R925" s="17">
        <v>4130380.0</v>
      </c>
      <c r="S925" s="17">
        <v>1.4985703E7</v>
      </c>
      <c r="T925" s="17">
        <v>1080455.0</v>
      </c>
      <c r="U925" s="17">
        <v>1.0012518E7</v>
      </c>
      <c r="V925" s="11">
        <f t="array" ref="V925">XLOOKUP(A:A,'Raw Revenue'!A:A,'Raw Revenue'!B:B,0)
</f>
        <v>0</v>
      </c>
      <c r="W925" s="11">
        <f t="array" ref="W925">XLOOKUP(A:A,'Raw Revenue'!C:C,'Raw Revenue'!D:D,0)</f>
        <v>0</v>
      </c>
      <c r="X925" s="11">
        <f t="array" ref="X925">XLOOKUP(A:A,'Raw Revenue'!E:E,'Raw Revenue'!F:F,0)</f>
        <v>0</v>
      </c>
      <c r="Y925" s="11">
        <f t="array" ref="Y925">XLOOKUP(A:A,'Raw Revenue'!G:G,'Raw Revenue'!H:H,0)</f>
        <v>0</v>
      </c>
      <c r="Z925" s="11">
        <f t="array" ref="Z925">XLOOKUP(A:A,'Raw Revenue'!I:I,'Raw Revenue'!J:J,0)</f>
        <v>0</v>
      </c>
      <c r="AA925" s="11">
        <f t="array" ref="AA925">XLOOKUP(A:A,'Raw Revenue'!K:K,'Raw Revenue'!L:L,0)</f>
        <v>0</v>
      </c>
      <c r="AB925" s="11">
        <f t="array" ref="AB925">XLOOKUP(A:A,'Raw Revenue'!M:M,'Raw Revenue'!N:N,0)</f>
        <v>0</v>
      </c>
      <c r="AC925" s="3">
        <v>0.0</v>
      </c>
      <c r="AD925" s="3">
        <v>0.0</v>
      </c>
      <c r="AE925" s="3">
        <v>0.0</v>
      </c>
      <c r="AF925" s="3">
        <v>0.0</v>
      </c>
      <c r="AG925" s="3">
        <v>0.0</v>
      </c>
    </row>
    <row r="926">
      <c r="A926" s="3" t="s">
        <v>309</v>
      </c>
      <c r="B926" s="3" t="s">
        <v>2061</v>
      </c>
      <c r="C926" s="3" t="str">
        <f t="shared" si="1"/>
        <v>CV. Amanah Sejahtera</v>
      </c>
      <c r="D926" s="3" t="s">
        <v>103</v>
      </c>
      <c r="E926" s="3" t="s">
        <v>104</v>
      </c>
      <c r="F926" s="3" t="s">
        <v>134</v>
      </c>
      <c r="G926" s="3" t="s">
        <v>53</v>
      </c>
      <c r="H926" s="3" t="str">
        <f t="array" ref="H926">XLOOKUP(G:G,'Account Manager Data'!A:A,'Account Manager Data'!B:B,0)</f>
        <v>Fajar Ramadhan</v>
      </c>
      <c r="I926" s="11" t="str">
        <f t="array" ref="I926">XLOOKUP($G:$G,'Account Manager Data'!$A:$A,'Account Manager Data'!C:C)</f>
        <v>Sulawesi</v>
      </c>
      <c r="J926" s="17">
        <v>3295177.0</v>
      </c>
      <c r="K926" s="17">
        <v>1044376.0</v>
      </c>
      <c r="L926" s="17">
        <v>0.0</v>
      </c>
      <c r="M926" s="17">
        <v>1.0539663E7</v>
      </c>
      <c r="N926" s="17">
        <v>5102760.0</v>
      </c>
      <c r="O926" s="17">
        <v>2155406.0</v>
      </c>
      <c r="P926" s="17">
        <v>6629030.0</v>
      </c>
      <c r="Q926" s="17">
        <v>9947867.0</v>
      </c>
      <c r="R926" s="17">
        <v>1.4343443E7</v>
      </c>
      <c r="S926" s="17">
        <v>1138297.0</v>
      </c>
      <c r="T926" s="17">
        <v>3388409.0</v>
      </c>
      <c r="U926" s="17">
        <v>1433461.0</v>
      </c>
      <c r="V926" s="11">
        <f t="array" ref="V926">XLOOKUP(A:A,'Raw Revenue'!A:A,'Raw Revenue'!B:B,0)
</f>
        <v>3341764.454</v>
      </c>
      <c r="W926" s="11">
        <f t="array" ref="W926">XLOOKUP(A:A,'Raw Revenue'!C:C,'Raw Revenue'!D:D,0)</f>
        <v>3341764.454</v>
      </c>
      <c r="X926" s="11">
        <f t="array" ref="X926">XLOOKUP(A:A,'Raw Revenue'!E:E,'Raw Revenue'!F:F,0)</f>
        <v>6683528.908</v>
      </c>
      <c r="Y926" s="11">
        <f t="array" ref="Y926">XLOOKUP(A:A,'Raw Revenue'!G:G,'Raw Revenue'!H:H,0)</f>
        <v>5458215.275</v>
      </c>
      <c r="Z926" s="11">
        <f t="array" ref="Z926">XLOOKUP(A:A,'Raw Revenue'!I:I,'Raw Revenue'!J:J,0)</f>
        <v>4901254.533</v>
      </c>
      <c r="AA926" s="11">
        <f t="array" ref="AA926">XLOOKUP(A:A,'Raw Revenue'!K:K,'Raw Revenue'!L:L,0)</f>
        <v>12531616.7</v>
      </c>
      <c r="AB926" s="11">
        <f t="array" ref="AB926">XLOOKUP(A:A,'Raw Revenue'!M:M,'Raw Revenue'!N:N,0)</f>
        <v>11529087.37</v>
      </c>
      <c r="AC926" s="3">
        <v>0.0</v>
      </c>
      <c r="AD926" s="3">
        <v>0.0</v>
      </c>
      <c r="AE926" s="3">
        <v>0.0</v>
      </c>
      <c r="AF926" s="3">
        <v>0.0</v>
      </c>
      <c r="AG926" s="3">
        <v>0.0</v>
      </c>
    </row>
    <row r="927">
      <c r="A927" s="3" t="s">
        <v>2062</v>
      </c>
      <c r="B927" s="3" t="s">
        <v>2063</v>
      </c>
      <c r="C927" s="3" t="str">
        <f t="shared" si="1"/>
        <v>PT. Digital Solusi Pratama</v>
      </c>
      <c r="D927" s="3" t="s">
        <v>84</v>
      </c>
      <c r="E927" s="3" t="s">
        <v>187</v>
      </c>
      <c r="F927" s="3" t="s">
        <v>188</v>
      </c>
      <c r="G927" s="3" t="s">
        <v>63</v>
      </c>
      <c r="H927" s="3" t="str">
        <f t="array" ref="H927">XLOOKUP(G:G,'Account Manager Data'!A:A,'Account Manager Data'!B:B,0)</f>
        <v>Hendra Gunawan</v>
      </c>
      <c r="I927" s="11" t="str">
        <f t="array" ref="I927">XLOOKUP($G:$G,'Account Manager Data'!$A:$A,'Account Manager Data'!C:C)</f>
        <v>Kalimantan</v>
      </c>
      <c r="J927" s="17">
        <v>2566877.0</v>
      </c>
      <c r="K927" s="17">
        <v>7151988.0</v>
      </c>
      <c r="L927" s="17">
        <v>5376679.0</v>
      </c>
      <c r="M927" s="17">
        <v>1.0873604E7</v>
      </c>
      <c r="N927" s="17">
        <v>1.2921697E7</v>
      </c>
      <c r="O927" s="17">
        <v>0.0</v>
      </c>
      <c r="P927" s="17">
        <v>1.4384065E7</v>
      </c>
      <c r="Q927" s="17">
        <v>1.2941943E7</v>
      </c>
      <c r="R927" s="17">
        <v>6928519.0</v>
      </c>
      <c r="S927" s="17">
        <v>1.7053591E7</v>
      </c>
      <c r="T927" s="17">
        <v>1.2579518E7</v>
      </c>
      <c r="U927" s="17">
        <v>4660243.0</v>
      </c>
      <c r="V927" s="11">
        <f t="array" ref="V927">XLOOKUP(A:A,'Raw Revenue'!A:A,'Raw Revenue'!B:B,0)
</f>
        <v>0</v>
      </c>
      <c r="W927" s="11">
        <f t="array" ref="W927">XLOOKUP(A:A,'Raw Revenue'!C:C,'Raw Revenue'!D:D,0)</f>
        <v>0</v>
      </c>
      <c r="X927" s="11">
        <f t="array" ref="X927">XLOOKUP(A:A,'Raw Revenue'!E:E,'Raw Revenue'!F:F,0)</f>
        <v>0</v>
      </c>
      <c r="Y927" s="11">
        <f t="array" ref="Y927">XLOOKUP(A:A,'Raw Revenue'!G:G,'Raw Revenue'!H:H,0)</f>
        <v>0</v>
      </c>
      <c r="Z927" s="11">
        <f t="array" ref="Z927">XLOOKUP(A:A,'Raw Revenue'!I:I,'Raw Revenue'!J:J,0)</f>
        <v>0</v>
      </c>
      <c r="AA927" s="11">
        <f t="array" ref="AA927">XLOOKUP(A:A,'Raw Revenue'!K:K,'Raw Revenue'!L:L,0)</f>
        <v>0</v>
      </c>
      <c r="AB927" s="11">
        <f t="array" ref="AB927">XLOOKUP(A:A,'Raw Revenue'!M:M,'Raw Revenue'!N:N,0)</f>
        <v>0</v>
      </c>
      <c r="AC927" s="3">
        <v>0.0</v>
      </c>
      <c r="AD927" s="3">
        <v>0.0</v>
      </c>
      <c r="AE927" s="3">
        <v>0.0</v>
      </c>
      <c r="AF927" s="3">
        <v>0.0</v>
      </c>
      <c r="AG927" s="3">
        <v>0.0</v>
      </c>
    </row>
    <row r="928">
      <c r="A928" s="3" t="s">
        <v>2064</v>
      </c>
      <c r="B928" s="3" t="s">
        <v>2065</v>
      </c>
      <c r="C928" s="3" t="str">
        <f t="shared" si="1"/>
        <v>PT. Global Niaga Abadi</v>
      </c>
      <c r="D928" s="3" t="s">
        <v>84</v>
      </c>
      <c r="E928" s="3" t="s">
        <v>187</v>
      </c>
      <c r="F928" s="3" t="s">
        <v>295</v>
      </c>
      <c r="G928" s="3" t="s">
        <v>35</v>
      </c>
      <c r="H928" s="3" t="str">
        <f t="array" ref="H928">XLOOKUP(G:G,'Account Manager Data'!A:A,'Account Manager Data'!B:B,0)</f>
        <v>Ahmad Fauzi</v>
      </c>
      <c r="I928" s="11" t="str">
        <f t="array" ref="I928">XLOOKUP($G:$G,'Account Manager Data'!$A:$A,'Account Manager Data'!C:C)</f>
        <v>Sumatera</v>
      </c>
      <c r="J928" s="17">
        <v>2273057.0</v>
      </c>
      <c r="K928" s="17">
        <v>5659307.0</v>
      </c>
      <c r="L928" s="17">
        <v>9906434.0</v>
      </c>
      <c r="M928" s="17">
        <v>441853.0</v>
      </c>
      <c r="N928" s="17">
        <v>1.2285469E7</v>
      </c>
      <c r="O928" s="17">
        <v>5752103.0</v>
      </c>
      <c r="P928" s="17">
        <v>1.2837762E7</v>
      </c>
      <c r="Q928" s="17">
        <v>1.5031238E7</v>
      </c>
      <c r="R928" s="17">
        <v>4603994.0</v>
      </c>
      <c r="S928" s="17">
        <v>9763091.0</v>
      </c>
      <c r="T928" s="17">
        <v>0.0</v>
      </c>
      <c r="U928" s="17">
        <v>1.5308541E7</v>
      </c>
      <c r="V928" s="11">
        <f t="array" ref="V928">XLOOKUP(A:A,'Raw Revenue'!A:A,'Raw Revenue'!B:B,0)
</f>
        <v>0</v>
      </c>
      <c r="W928" s="11">
        <f t="array" ref="W928">XLOOKUP(A:A,'Raw Revenue'!C:C,'Raw Revenue'!D:D,0)</f>
        <v>0</v>
      </c>
      <c r="X928" s="11">
        <f t="array" ref="X928">XLOOKUP(A:A,'Raw Revenue'!E:E,'Raw Revenue'!F:F,0)</f>
        <v>0</v>
      </c>
      <c r="Y928" s="11">
        <f t="array" ref="Y928">XLOOKUP(A:A,'Raw Revenue'!G:G,'Raw Revenue'!H:H,0)</f>
        <v>0</v>
      </c>
      <c r="Z928" s="11">
        <f t="array" ref="Z928">XLOOKUP(A:A,'Raw Revenue'!I:I,'Raw Revenue'!J:J,0)</f>
        <v>0</v>
      </c>
      <c r="AA928" s="11">
        <f t="array" ref="AA928">XLOOKUP(A:A,'Raw Revenue'!K:K,'Raw Revenue'!L:L,0)</f>
        <v>0</v>
      </c>
      <c r="AB928" s="11">
        <f t="array" ref="AB928">XLOOKUP(A:A,'Raw Revenue'!M:M,'Raw Revenue'!N:N,0)</f>
        <v>0</v>
      </c>
      <c r="AC928" s="3">
        <v>0.0</v>
      </c>
      <c r="AD928" s="3">
        <v>0.0</v>
      </c>
      <c r="AE928" s="3">
        <v>0.0</v>
      </c>
      <c r="AF928" s="3">
        <v>0.0</v>
      </c>
      <c r="AG928" s="3">
        <v>0.0</v>
      </c>
    </row>
    <row r="929">
      <c r="A929" s="3" t="s">
        <v>2066</v>
      </c>
      <c r="B929" s="3" t="s">
        <v>2067</v>
      </c>
      <c r="C929" s="3" t="str">
        <f t="shared" si="1"/>
        <v>PT. Indo Makmur Sentosa</v>
      </c>
      <c r="D929" s="3" t="s">
        <v>195</v>
      </c>
      <c r="E929" s="3" t="s">
        <v>187</v>
      </c>
      <c r="F929" s="3" t="s">
        <v>295</v>
      </c>
      <c r="G929" s="3" t="s">
        <v>74</v>
      </c>
      <c r="H929" s="3" t="str">
        <f t="array" ref="H929">XLOOKUP(G:G,'Account Manager Data'!A:A,'Account Manager Data'!B:B,0)</f>
        <v>Budi Santoso</v>
      </c>
      <c r="I929" s="11" t="str">
        <f t="array" ref="I929">XLOOKUP($G:$G,'Account Manager Data'!$A:$A,'Account Manager Data'!C:C)</f>
        <v>Papua</v>
      </c>
      <c r="J929" s="17">
        <v>5788139.0</v>
      </c>
      <c r="K929" s="17">
        <v>7043809.0</v>
      </c>
      <c r="L929" s="17">
        <v>3179261.0</v>
      </c>
      <c r="M929" s="17">
        <v>6281536.0</v>
      </c>
      <c r="N929" s="17">
        <v>0.0</v>
      </c>
      <c r="O929" s="17">
        <v>8658517.0</v>
      </c>
      <c r="P929" s="17">
        <v>4061708.0</v>
      </c>
      <c r="Q929" s="17">
        <v>7756087.0</v>
      </c>
      <c r="R929" s="17">
        <v>0.0</v>
      </c>
      <c r="S929" s="17">
        <v>0.0</v>
      </c>
      <c r="T929" s="17">
        <v>7928114.0</v>
      </c>
      <c r="U929" s="17">
        <v>7680828.0</v>
      </c>
      <c r="V929" s="11">
        <f t="array" ref="V929">XLOOKUP(A:A,'Raw Revenue'!A:A,'Raw Revenue'!B:B,0)
</f>
        <v>0</v>
      </c>
      <c r="W929" s="11">
        <f t="array" ref="W929">XLOOKUP(A:A,'Raw Revenue'!C:C,'Raw Revenue'!D:D,0)</f>
        <v>0</v>
      </c>
      <c r="X929" s="11">
        <f t="array" ref="X929">XLOOKUP(A:A,'Raw Revenue'!E:E,'Raw Revenue'!F:F,0)</f>
        <v>0</v>
      </c>
      <c r="Y929" s="11">
        <f t="array" ref="Y929">XLOOKUP(A:A,'Raw Revenue'!G:G,'Raw Revenue'!H:H,0)</f>
        <v>0</v>
      </c>
      <c r="Z929" s="11">
        <f t="array" ref="Z929">XLOOKUP(A:A,'Raw Revenue'!I:I,'Raw Revenue'!J:J,0)</f>
        <v>0</v>
      </c>
      <c r="AA929" s="11">
        <f t="array" ref="AA929">XLOOKUP(A:A,'Raw Revenue'!K:K,'Raw Revenue'!L:L,0)</f>
        <v>0</v>
      </c>
      <c r="AB929" s="11">
        <f t="array" ref="AB929">XLOOKUP(A:A,'Raw Revenue'!M:M,'Raw Revenue'!N:N,0)</f>
        <v>0</v>
      </c>
      <c r="AC929" s="3">
        <v>0.0</v>
      </c>
      <c r="AD929" s="3">
        <v>0.0</v>
      </c>
      <c r="AE929" s="3">
        <v>0.0</v>
      </c>
      <c r="AF929" s="3">
        <v>0.0</v>
      </c>
      <c r="AG929" s="3">
        <v>0.0</v>
      </c>
    </row>
    <row r="930">
      <c r="A930" s="3" t="s">
        <v>2068</v>
      </c>
      <c r="B930" s="3" t="s">
        <v>2069</v>
      </c>
      <c r="C930" s="3" t="str">
        <f t="shared" si="1"/>
        <v>PT. Citra Mandiri Utama</v>
      </c>
      <c r="D930" s="3" t="s">
        <v>84</v>
      </c>
      <c r="E930" s="3" t="s">
        <v>104</v>
      </c>
      <c r="F930" s="3" t="s">
        <v>134</v>
      </c>
      <c r="G930" s="3" t="s">
        <v>43</v>
      </c>
      <c r="H930" s="3" t="str">
        <f t="array" ref="H930">XLOOKUP(G:G,'Account Manager Data'!A:A,'Account Manager Data'!B:B,0)</f>
        <v>Eko Prasetyo</v>
      </c>
      <c r="I930" s="11" t="str">
        <f t="array" ref="I930">XLOOKUP($G:$G,'Account Manager Data'!$A:$A,'Account Manager Data'!C:C)</f>
        <v>Papua</v>
      </c>
      <c r="J930" s="17">
        <v>995895.0</v>
      </c>
      <c r="K930" s="17">
        <v>4897316.0</v>
      </c>
      <c r="L930" s="17">
        <v>5758622.0</v>
      </c>
      <c r="M930" s="17">
        <v>4168896.0</v>
      </c>
      <c r="N930" s="17">
        <v>1.1158473E7</v>
      </c>
      <c r="O930" s="17">
        <v>1.3163508E7</v>
      </c>
      <c r="P930" s="17">
        <v>1.2183512E7</v>
      </c>
      <c r="Q930" s="17">
        <v>3344619.0</v>
      </c>
      <c r="R930" s="17">
        <v>7234300.0</v>
      </c>
      <c r="S930" s="17">
        <v>6384236.0</v>
      </c>
      <c r="T930" s="17">
        <v>1.4348284E7</v>
      </c>
      <c r="U930" s="17">
        <v>1.1566989E7</v>
      </c>
      <c r="V930" s="11">
        <f t="array" ref="V930">XLOOKUP(A:A,'Raw Revenue'!A:A,'Raw Revenue'!B:B,0)
</f>
        <v>0</v>
      </c>
      <c r="W930" s="11">
        <f t="array" ref="W930">XLOOKUP(A:A,'Raw Revenue'!C:C,'Raw Revenue'!D:D,0)</f>
        <v>0</v>
      </c>
      <c r="X930" s="11">
        <f t="array" ref="X930">XLOOKUP(A:A,'Raw Revenue'!E:E,'Raw Revenue'!F:F,0)</f>
        <v>0</v>
      </c>
      <c r="Y930" s="11">
        <f t="array" ref="Y930">XLOOKUP(A:A,'Raw Revenue'!G:G,'Raw Revenue'!H:H,0)</f>
        <v>0</v>
      </c>
      <c r="Z930" s="11">
        <f t="array" ref="Z930">XLOOKUP(A:A,'Raw Revenue'!I:I,'Raw Revenue'!J:J,0)</f>
        <v>0</v>
      </c>
      <c r="AA930" s="11">
        <f t="array" ref="AA930">XLOOKUP(A:A,'Raw Revenue'!K:K,'Raw Revenue'!L:L,0)</f>
        <v>0</v>
      </c>
      <c r="AB930" s="11">
        <f t="array" ref="AB930">XLOOKUP(A:A,'Raw Revenue'!M:M,'Raw Revenue'!N:N,0)</f>
        <v>0</v>
      </c>
      <c r="AC930" s="3">
        <v>0.0</v>
      </c>
      <c r="AD930" s="3">
        <v>0.0</v>
      </c>
      <c r="AE930" s="3">
        <v>0.0</v>
      </c>
      <c r="AF930" s="3">
        <v>0.0</v>
      </c>
      <c r="AG930" s="3">
        <v>0.0</v>
      </c>
    </row>
    <row r="931">
      <c r="A931" s="3" t="s">
        <v>472</v>
      </c>
      <c r="B931" s="3" t="s">
        <v>2070</v>
      </c>
      <c r="C931" s="3" t="str">
        <f t="shared" si="1"/>
        <v>PT. Sinar Dunia Baru</v>
      </c>
      <c r="D931" s="3" t="s">
        <v>103</v>
      </c>
      <c r="E931" s="3" t="s">
        <v>85</v>
      </c>
      <c r="F931" s="3" t="s">
        <v>86</v>
      </c>
      <c r="G931" s="3" t="s">
        <v>76</v>
      </c>
      <c r="H931" s="3" t="str">
        <f t="array" ref="H931">XLOOKUP(G:G,'Account Manager Data'!A:A,'Account Manager Data'!B:B,0)</f>
        <v>Teguh Wijaya</v>
      </c>
      <c r="I931" s="11" t="str">
        <f t="array" ref="I931">XLOOKUP($G:$G,'Account Manager Data'!$A:$A,'Account Manager Data'!C:C)</f>
        <v>Sulawesi</v>
      </c>
      <c r="J931" s="17">
        <v>3355146.0</v>
      </c>
      <c r="K931" s="17">
        <v>632212.0</v>
      </c>
      <c r="L931" s="17">
        <v>3793418.0</v>
      </c>
      <c r="M931" s="17">
        <v>1.1324146E7</v>
      </c>
      <c r="N931" s="17">
        <v>7702294.0</v>
      </c>
      <c r="O931" s="17">
        <v>1.4483812E7</v>
      </c>
      <c r="P931" s="17">
        <v>1.4358074E7</v>
      </c>
      <c r="Q931" s="17">
        <v>1.2930156E7</v>
      </c>
      <c r="R931" s="17">
        <v>0.0</v>
      </c>
      <c r="S931" s="17">
        <v>346344.0</v>
      </c>
      <c r="T931" s="17">
        <v>8389192.0</v>
      </c>
      <c r="U931" s="17">
        <v>1.2110538E7</v>
      </c>
      <c r="V931" s="11">
        <f t="array" ref="V931">XLOOKUP(A:A,'Raw Revenue'!A:A,'Raw Revenue'!B:B,0)
</f>
        <v>1054849.891</v>
      </c>
      <c r="W931" s="11">
        <f t="array" ref="W931">XLOOKUP(A:A,'Raw Revenue'!C:C,'Raw Revenue'!D:D,0)</f>
        <v>527424.9454</v>
      </c>
      <c r="X931" s="11">
        <f t="array" ref="X931">XLOOKUP(A:A,'Raw Revenue'!E:E,'Raw Revenue'!F:F,0)</f>
        <v>316454.9672</v>
      </c>
      <c r="Y931" s="11">
        <f t="array" ref="Y931">XLOOKUP(A:A,'Raw Revenue'!G:G,'Raw Revenue'!H:H,0)</f>
        <v>3691974.618</v>
      </c>
      <c r="Z931" s="11">
        <f t="array" ref="Z931">XLOOKUP(A:A,'Raw Revenue'!I:I,'Raw Revenue'!J:J,0)</f>
        <v>843879.9127</v>
      </c>
      <c r="AA931" s="11">
        <f t="array" ref="AA931">XLOOKUP(A:A,'Raw Revenue'!K:K,'Raw Revenue'!L:L,0)</f>
        <v>23734.12254</v>
      </c>
      <c r="AB931" s="11">
        <f t="array" ref="AB931">XLOOKUP(A:A,'Raw Revenue'!M:M,'Raw Revenue'!N:N,0)</f>
        <v>3180372.421</v>
      </c>
      <c r="AC931" s="3">
        <v>0.0</v>
      </c>
      <c r="AD931" s="3">
        <v>0.0</v>
      </c>
      <c r="AE931" s="3">
        <v>0.0</v>
      </c>
      <c r="AF931" s="3">
        <v>0.0</v>
      </c>
      <c r="AG931" s="3">
        <v>0.0</v>
      </c>
    </row>
    <row r="932">
      <c r="A932" s="3" t="s">
        <v>2071</v>
      </c>
      <c r="B932" s="3" t="s">
        <v>2072</v>
      </c>
      <c r="C932" s="3" t="str">
        <f t="shared" si="1"/>
        <v>CV. Karya Utama Mandiri</v>
      </c>
      <c r="D932" s="3" t="s">
        <v>130</v>
      </c>
      <c r="E932" s="3" t="s">
        <v>215</v>
      </c>
      <c r="F932" s="3" t="s">
        <v>227</v>
      </c>
      <c r="G932" s="3" t="s">
        <v>70</v>
      </c>
      <c r="H932" s="3" t="str">
        <f t="array" ref="H932">XLOOKUP(G:G,'Account Manager Data'!A:A,'Account Manager Data'!B:B,0)</f>
        <v>Yusuf Hidayat</v>
      </c>
      <c r="I932" s="11" t="str">
        <f t="array" ref="I932">XLOOKUP($G:$G,'Account Manager Data'!$A:$A,'Account Manager Data'!C:C)</f>
        <v>Sumatera</v>
      </c>
      <c r="J932" s="17">
        <v>7885070.0</v>
      </c>
      <c r="K932" s="17">
        <v>8930081.0</v>
      </c>
      <c r="L932" s="17">
        <v>1545519.0</v>
      </c>
      <c r="M932" s="17">
        <v>4217904.0</v>
      </c>
      <c r="N932" s="17">
        <v>4495265.0</v>
      </c>
      <c r="O932" s="17">
        <v>1.0983626E7</v>
      </c>
      <c r="P932" s="17">
        <v>1.5944723E7</v>
      </c>
      <c r="Q932" s="17">
        <v>9574271.0</v>
      </c>
      <c r="R932" s="17">
        <v>1.3619928E7</v>
      </c>
      <c r="S932" s="17">
        <v>484517.0</v>
      </c>
      <c r="T932" s="17">
        <v>1.0056727E7</v>
      </c>
      <c r="U932" s="17">
        <v>1.0910792E7</v>
      </c>
      <c r="V932" s="11">
        <f t="array" ref="V932">XLOOKUP(A:A,'Raw Revenue'!A:A,'Raw Revenue'!B:B,0)
</f>
        <v>0</v>
      </c>
      <c r="W932" s="11">
        <f t="array" ref="W932">XLOOKUP(A:A,'Raw Revenue'!C:C,'Raw Revenue'!D:D,0)</f>
        <v>0</v>
      </c>
      <c r="X932" s="11">
        <f t="array" ref="X932">XLOOKUP(A:A,'Raw Revenue'!E:E,'Raw Revenue'!F:F,0)</f>
        <v>0</v>
      </c>
      <c r="Y932" s="11">
        <f t="array" ref="Y932">XLOOKUP(A:A,'Raw Revenue'!G:G,'Raw Revenue'!H:H,0)</f>
        <v>0</v>
      </c>
      <c r="Z932" s="11">
        <f t="array" ref="Z932">XLOOKUP(A:A,'Raw Revenue'!I:I,'Raw Revenue'!J:J,0)</f>
        <v>0</v>
      </c>
      <c r="AA932" s="11">
        <f t="array" ref="AA932">XLOOKUP(A:A,'Raw Revenue'!K:K,'Raw Revenue'!L:L,0)</f>
        <v>0</v>
      </c>
      <c r="AB932" s="11">
        <f t="array" ref="AB932">XLOOKUP(A:A,'Raw Revenue'!M:M,'Raw Revenue'!N:N,0)</f>
        <v>0</v>
      </c>
      <c r="AC932" s="3">
        <v>0.0</v>
      </c>
      <c r="AD932" s="3">
        <v>0.0</v>
      </c>
      <c r="AE932" s="3">
        <v>0.0</v>
      </c>
      <c r="AF932" s="3">
        <v>0.0</v>
      </c>
      <c r="AG932" s="3">
        <v>0.0</v>
      </c>
    </row>
    <row r="933">
      <c r="A933" s="3" t="s">
        <v>176</v>
      </c>
      <c r="B933" s="3" t="s">
        <v>2073</v>
      </c>
      <c r="C933" s="3" t="str">
        <f t="shared" si="1"/>
        <v>PT. Pratama Jaya Sentosa</v>
      </c>
      <c r="D933" s="3" t="s">
        <v>103</v>
      </c>
      <c r="E933" s="3" t="s">
        <v>85</v>
      </c>
      <c r="F933" s="3" t="s">
        <v>86</v>
      </c>
      <c r="G933" s="3" t="s">
        <v>15</v>
      </c>
      <c r="H933" s="3" t="str">
        <f t="array" ref="H933">XLOOKUP(G:G,'Account Manager Data'!A:A,'Account Manager Data'!B:B,0)</f>
        <v>Rizky Maulana</v>
      </c>
      <c r="I933" s="11" t="str">
        <f t="array" ref="I933">XLOOKUP($G:$G,'Account Manager Data'!$A:$A,'Account Manager Data'!C:C)</f>
        <v>Jawa</v>
      </c>
      <c r="J933" s="17">
        <v>2970761.0</v>
      </c>
      <c r="K933" s="83">
        <v>6588235.0</v>
      </c>
      <c r="L933" s="84">
        <v>5060241.0</v>
      </c>
      <c r="M933" s="84">
        <v>8571429.0</v>
      </c>
      <c r="N933" s="84">
        <v>3845070.0</v>
      </c>
      <c r="O933" s="17">
        <v>4295010.0</v>
      </c>
      <c r="P933" s="84">
        <v>2.1551724E7</v>
      </c>
      <c r="Q933" s="84">
        <v>2.03921569E8</v>
      </c>
      <c r="R933" s="17">
        <v>2275360.0</v>
      </c>
      <c r="S933" s="17">
        <v>1.2881055E7</v>
      </c>
      <c r="T933" s="17">
        <v>1.0141801E7</v>
      </c>
      <c r="U933" s="17">
        <v>7842005.0</v>
      </c>
      <c r="V933" s="85">
        <f t="array" ref="V933">XLOOKUP(A:A,'Raw Revenue'!A:A,'Raw Revenue'!B:B,0)
</f>
        <v>4200000</v>
      </c>
      <c r="W933" s="22">
        <f t="array" ref="W933">XLOOKUP(A:A,'Raw Revenue'!C:C,'Raw Revenue'!D:D,0)</f>
        <v>6588235</v>
      </c>
      <c r="X933" s="22">
        <f t="array" ref="X933">XLOOKUP(A:A,'Raw Revenue'!E:E,'Raw Revenue'!F:F,0)</f>
        <v>5060241</v>
      </c>
      <c r="Y933" s="22">
        <f t="array" ref="Y933">XLOOKUP(A:A,'Raw Revenue'!G:G,'Raw Revenue'!H:H,0)</f>
        <v>8571429</v>
      </c>
      <c r="Z933" s="22">
        <f t="array" ref="Z933">XLOOKUP(A:A,'Raw Revenue'!I:I,'Raw Revenue'!J:J,0)</f>
        <v>3845070</v>
      </c>
      <c r="AA933" s="22">
        <f t="array" ref="AA933">XLOOKUP(A:A,'Raw Revenue'!K:K,'Raw Revenue'!L:L,0)</f>
        <v>4295010</v>
      </c>
      <c r="AB933" s="22">
        <f t="array" ref="AB933">XLOOKUP(A:A,'Raw Revenue'!M:M,'Raw Revenue'!N:N,0)</f>
        <v>21551724</v>
      </c>
      <c r="AC933" s="3">
        <v>0.0</v>
      </c>
      <c r="AD933" s="3">
        <v>0.0</v>
      </c>
      <c r="AE933" s="3">
        <v>0.0</v>
      </c>
      <c r="AF933" s="3">
        <v>0.0</v>
      </c>
      <c r="AG933" s="3">
        <v>0.0</v>
      </c>
    </row>
    <row r="934">
      <c r="A934" s="3" t="s">
        <v>2074</v>
      </c>
      <c r="B934" s="3" t="s">
        <v>2075</v>
      </c>
      <c r="C934" s="3" t="str">
        <f t="shared" si="1"/>
        <v>PT. Abadi Selamanya Jaya</v>
      </c>
      <c r="D934" s="3" t="s">
        <v>195</v>
      </c>
      <c r="E934" s="3" t="s">
        <v>85</v>
      </c>
      <c r="F934" s="3" t="s">
        <v>86</v>
      </c>
      <c r="G934" s="3" t="s">
        <v>53</v>
      </c>
      <c r="H934" s="3" t="str">
        <f t="array" ref="H934">XLOOKUP(G:G,'Account Manager Data'!A:A,'Account Manager Data'!B:B,0)</f>
        <v>Fajar Ramadhan</v>
      </c>
      <c r="I934" s="11" t="str">
        <f t="array" ref="I934">XLOOKUP($G:$G,'Account Manager Data'!$A:$A,'Account Manager Data'!C:C)</f>
        <v>Sulawesi</v>
      </c>
      <c r="J934" s="17">
        <v>678526.0</v>
      </c>
      <c r="K934" s="17">
        <v>5983596.0</v>
      </c>
      <c r="L934" s="17">
        <v>4356435.0</v>
      </c>
      <c r="M934" s="17">
        <v>8875475.0</v>
      </c>
      <c r="N934" s="17">
        <v>9312202.0</v>
      </c>
      <c r="O934" s="17">
        <v>1.0587269E7</v>
      </c>
      <c r="P934" s="17">
        <v>9760800.0</v>
      </c>
      <c r="Q934" s="17">
        <v>3083929.0</v>
      </c>
      <c r="R934" s="17">
        <v>8816137.0</v>
      </c>
      <c r="S934" s="17">
        <v>7547653.0</v>
      </c>
      <c r="T934" s="17">
        <v>1.6335326E7</v>
      </c>
      <c r="U934" s="17">
        <v>1642168.0</v>
      </c>
      <c r="V934" s="11">
        <f t="array" ref="V934">XLOOKUP(A:A,'Raw Revenue'!A:A,'Raw Revenue'!B:B,0)
</f>
        <v>0</v>
      </c>
      <c r="W934" s="11">
        <f t="array" ref="W934">XLOOKUP(A:A,'Raw Revenue'!C:C,'Raw Revenue'!D:D,0)</f>
        <v>0</v>
      </c>
      <c r="X934" s="11">
        <f t="array" ref="X934">XLOOKUP(A:A,'Raw Revenue'!E:E,'Raw Revenue'!F:F,0)</f>
        <v>0</v>
      </c>
      <c r="Y934" s="11">
        <f t="array" ref="Y934">XLOOKUP(A:A,'Raw Revenue'!G:G,'Raw Revenue'!H:H,0)</f>
        <v>0</v>
      </c>
      <c r="Z934" s="11">
        <f t="array" ref="Z934">XLOOKUP(A:A,'Raw Revenue'!I:I,'Raw Revenue'!J:J,0)</f>
        <v>0</v>
      </c>
      <c r="AA934" s="11">
        <f t="array" ref="AA934">XLOOKUP(A:A,'Raw Revenue'!K:K,'Raw Revenue'!L:L,0)</f>
        <v>0</v>
      </c>
      <c r="AB934" s="11">
        <f t="array" ref="AB934">XLOOKUP(A:A,'Raw Revenue'!M:M,'Raw Revenue'!N:N,0)</f>
        <v>0</v>
      </c>
      <c r="AC934" s="3">
        <v>0.0</v>
      </c>
      <c r="AD934" s="3">
        <v>0.0</v>
      </c>
      <c r="AE934" s="3">
        <v>0.0</v>
      </c>
      <c r="AF934" s="3">
        <v>0.0</v>
      </c>
      <c r="AG934" s="3">
        <v>0.0</v>
      </c>
    </row>
    <row r="935">
      <c r="A935" s="3" t="s">
        <v>2076</v>
      </c>
      <c r="B935" s="3" t="s">
        <v>2077</v>
      </c>
      <c r="C935" s="3" t="str">
        <f t="shared" si="1"/>
        <v>PT. Mandiri Sejahtera Bersama</v>
      </c>
      <c r="D935" s="3" t="s">
        <v>214</v>
      </c>
      <c r="E935" s="3" t="s">
        <v>215</v>
      </c>
      <c r="F935" s="3" t="s">
        <v>216</v>
      </c>
      <c r="G935" s="3" t="s">
        <v>27</v>
      </c>
      <c r="H935" s="3" t="str">
        <f t="array" ref="H935">XLOOKUP(G:G,'Account Manager Data'!A:A,'Account Manager Data'!B:B,0)</f>
        <v>Dedi Kurniawan</v>
      </c>
      <c r="I935" s="11" t="str">
        <f t="array" ref="I935">XLOOKUP($G:$G,'Account Manager Data'!$A:$A,'Account Manager Data'!C:C)</f>
        <v>Kalimantan</v>
      </c>
      <c r="J935" s="17">
        <v>2314669.0</v>
      </c>
      <c r="K935" s="17">
        <v>4565466.0</v>
      </c>
      <c r="L935" s="17">
        <v>500845.0</v>
      </c>
      <c r="M935" s="17">
        <v>0.0</v>
      </c>
      <c r="N935" s="17">
        <v>1.2008141E7</v>
      </c>
      <c r="O935" s="17">
        <v>0.0</v>
      </c>
      <c r="P935" s="17">
        <v>0.0</v>
      </c>
      <c r="Q935" s="17">
        <v>1.4614939E7</v>
      </c>
      <c r="R935" s="17">
        <v>7021240.0</v>
      </c>
      <c r="S935" s="17">
        <v>1.5250864E7</v>
      </c>
      <c r="T935" s="17">
        <v>1.5617234E7</v>
      </c>
      <c r="U935" s="17">
        <v>1.2947853E7</v>
      </c>
      <c r="V935" s="11">
        <f t="array" ref="V935">XLOOKUP(A:A,'Raw Revenue'!A:A,'Raw Revenue'!B:B,0)
</f>
        <v>0</v>
      </c>
      <c r="W935" s="11">
        <f t="array" ref="W935">XLOOKUP(A:A,'Raw Revenue'!C:C,'Raw Revenue'!D:D,0)</f>
        <v>0</v>
      </c>
      <c r="X935" s="11">
        <f t="array" ref="X935">XLOOKUP(A:A,'Raw Revenue'!E:E,'Raw Revenue'!F:F,0)</f>
        <v>0</v>
      </c>
      <c r="Y935" s="11">
        <f t="array" ref="Y935">XLOOKUP(A:A,'Raw Revenue'!G:G,'Raw Revenue'!H:H,0)</f>
        <v>0</v>
      </c>
      <c r="Z935" s="11">
        <f t="array" ref="Z935">XLOOKUP(A:A,'Raw Revenue'!I:I,'Raw Revenue'!J:J,0)</f>
        <v>0</v>
      </c>
      <c r="AA935" s="11">
        <f t="array" ref="AA935">XLOOKUP(A:A,'Raw Revenue'!K:K,'Raw Revenue'!L:L,0)</f>
        <v>0</v>
      </c>
      <c r="AB935" s="11">
        <f t="array" ref="AB935">XLOOKUP(A:A,'Raw Revenue'!M:M,'Raw Revenue'!N:N,0)</f>
        <v>0</v>
      </c>
      <c r="AC935" s="3">
        <v>0.0</v>
      </c>
      <c r="AD935" s="3">
        <v>0.0</v>
      </c>
      <c r="AE935" s="3">
        <v>0.0</v>
      </c>
      <c r="AF935" s="3">
        <v>0.0</v>
      </c>
      <c r="AG935" s="3">
        <v>0.0</v>
      </c>
    </row>
    <row r="936">
      <c r="A936" s="3" t="s">
        <v>2078</v>
      </c>
      <c r="B936" s="3" t="s">
        <v>2079</v>
      </c>
      <c r="C936" s="3" t="str">
        <f t="shared" si="1"/>
        <v>PT. Sejahtera Alam Indonesia</v>
      </c>
      <c r="D936" s="3" t="s">
        <v>84</v>
      </c>
      <c r="E936" s="3" t="s">
        <v>104</v>
      </c>
      <c r="F936" s="3" t="s">
        <v>105</v>
      </c>
      <c r="G936" s="3" t="s">
        <v>78</v>
      </c>
      <c r="H936" s="3" t="str">
        <f t="array" ref="H936">XLOOKUP(G:G,'Account Manager Data'!A:A,'Account Manager Data'!B:B,0)</f>
        <v>Ilham Saputra</v>
      </c>
      <c r="I936" s="11" t="str">
        <f t="array" ref="I936">XLOOKUP($G:$G,'Account Manager Data'!$A:$A,'Account Manager Data'!C:C)</f>
        <v>Jawa</v>
      </c>
      <c r="J936" s="17">
        <v>2974372.0</v>
      </c>
      <c r="K936" s="17">
        <v>8266790.0</v>
      </c>
      <c r="L936" s="17">
        <v>4121829.0</v>
      </c>
      <c r="M936" s="17">
        <v>0.0</v>
      </c>
      <c r="N936" s="17">
        <v>4830376.0</v>
      </c>
      <c r="O936" s="17">
        <v>1.220748E7</v>
      </c>
      <c r="P936" s="17">
        <v>1.5123151E7</v>
      </c>
      <c r="Q936" s="17">
        <v>3449082.0</v>
      </c>
      <c r="R936" s="17">
        <v>4655484.0</v>
      </c>
      <c r="S936" s="17">
        <v>1.0616633E7</v>
      </c>
      <c r="T936" s="17">
        <v>0.0</v>
      </c>
      <c r="U936" s="17">
        <v>1.8519365E7</v>
      </c>
      <c r="V936" s="11">
        <f t="array" ref="V936">XLOOKUP(A:A,'Raw Revenue'!A:A,'Raw Revenue'!B:B,0)
</f>
        <v>0</v>
      </c>
      <c r="W936" s="11">
        <f t="array" ref="W936">XLOOKUP(A:A,'Raw Revenue'!C:C,'Raw Revenue'!D:D,0)</f>
        <v>0</v>
      </c>
      <c r="X936" s="11">
        <f t="array" ref="X936">XLOOKUP(A:A,'Raw Revenue'!E:E,'Raw Revenue'!F:F,0)</f>
        <v>0</v>
      </c>
      <c r="Y936" s="11">
        <f t="array" ref="Y936">XLOOKUP(A:A,'Raw Revenue'!G:G,'Raw Revenue'!H:H,0)</f>
        <v>0</v>
      </c>
      <c r="Z936" s="11">
        <f t="array" ref="Z936">XLOOKUP(A:A,'Raw Revenue'!I:I,'Raw Revenue'!J:J,0)</f>
        <v>0</v>
      </c>
      <c r="AA936" s="11">
        <f t="array" ref="AA936">XLOOKUP(A:A,'Raw Revenue'!K:K,'Raw Revenue'!L:L,0)</f>
        <v>0</v>
      </c>
      <c r="AB936" s="11">
        <f t="array" ref="AB936">XLOOKUP(A:A,'Raw Revenue'!M:M,'Raw Revenue'!N:N,0)</f>
        <v>0</v>
      </c>
      <c r="AC936" s="3">
        <v>0.0</v>
      </c>
      <c r="AD936" s="3">
        <v>0.0</v>
      </c>
      <c r="AE936" s="3">
        <v>0.0</v>
      </c>
      <c r="AF936" s="3">
        <v>0.0</v>
      </c>
      <c r="AG936" s="3">
        <v>0.0</v>
      </c>
    </row>
    <row r="937">
      <c r="A937" s="3" t="s">
        <v>2080</v>
      </c>
      <c r="B937" s="3" t="s">
        <v>2081</v>
      </c>
      <c r="C937" s="3" t="str">
        <f t="shared" si="1"/>
        <v>PT. Indah Kargo Logistik</v>
      </c>
      <c r="D937" s="3" t="s">
        <v>214</v>
      </c>
      <c r="E937" s="3" t="s">
        <v>187</v>
      </c>
      <c r="F937" s="3" t="s">
        <v>295</v>
      </c>
      <c r="G937" s="3" t="s">
        <v>63</v>
      </c>
      <c r="H937" s="3" t="str">
        <f t="array" ref="H937">XLOOKUP(G:G,'Account Manager Data'!A:A,'Account Manager Data'!B:B,0)</f>
        <v>Hendra Gunawan</v>
      </c>
      <c r="I937" s="11" t="str">
        <f t="array" ref="I937">XLOOKUP($G:$G,'Account Manager Data'!$A:$A,'Account Manager Data'!C:C)</f>
        <v>Kalimantan</v>
      </c>
      <c r="J937" s="17">
        <v>6200822.0</v>
      </c>
      <c r="K937" s="17">
        <v>5456989.0</v>
      </c>
      <c r="L937" s="17">
        <v>6200396.0</v>
      </c>
      <c r="M937" s="17">
        <v>1.1401749E7</v>
      </c>
      <c r="N937" s="17">
        <v>0.0</v>
      </c>
      <c r="O937" s="17">
        <v>5324078.0</v>
      </c>
      <c r="P937" s="17">
        <v>776526.0</v>
      </c>
      <c r="Q937" s="17">
        <v>1.2050142E7</v>
      </c>
      <c r="R937" s="17">
        <v>881324.0</v>
      </c>
      <c r="S937" s="17">
        <v>9706538.0</v>
      </c>
      <c r="T937" s="17">
        <v>1.7780785E7</v>
      </c>
      <c r="U937" s="17">
        <v>1.7338863E7</v>
      </c>
      <c r="V937" s="11">
        <f t="array" ref="V937">XLOOKUP(A:A,'Raw Revenue'!A:A,'Raw Revenue'!B:B,0)
</f>
        <v>0</v>
      </c>
      <c r="W937" s="11">
        <f t="array" ref="W937">XLOOKUP(A:A,'Raw Revenue'!C:C,'Raw Revenue'!D:D,0)</f>
        <v>0</v>
      </c>
      <c r="X937" s="11">
        <f t="array" ref="X937">XLOOKUP(A:A,'Raw Revenue'!E:E,'Raw Revenue'!F:F,0)</f>
        <v>0</v>
      </c>
      <c r="Y937" s="11">
        <f t="array" ref="Y937">XLOOKUP(A:A,'Raw Revenue'!G:G,'Raw Revenue'!H:H,0)</f>
        <v>0</v>
      </c>
      <c r="Z937" s="11">
        <f t="array" ref="Z937">XLOOKUP(A:A,'Raw Revenue'!I:I,'Raw Revenue'!J:J,0)</f>
        <v>0</v>
      </c>
      <c r="AA937" s="11">
        <f t="array" ref="AA937">XLOOKUP(A:A,'Raw Revenue'!K:K,'Raw Revenue'!L:L,0)</f>
        <v>0</v>
      </c>
      <c r="AB937" s="11">
        <f t="array" ref="AB937">XLOOKUP(A:A,'Raw Revenue'!M:M,'Raw Revenue'!N:N,0)</f>
        <v>0</v>
      </c>
      <c r="AC937" s="3">
        <v>0.0</v>
      </c>
      <c r="AD937" s="3">
        <v>0.0</v>
      </c>
      <c r="AE937" s="3">
        <v>0.0</v>
      </c>
      <c r="AF937" s="3">
        <v>0.0</v>
      </c>
      <c r="AG937" s="3">
        <v>0.0</v>
      </c>
    </row>
    <row r="938">
      <c r="A938" s="3" t="s">
        <v>2082</v>
      </c>
      <c r="B938" s="3" t="s">
        <v>2083</v>
      </c>
      <c r="C938" s="3" t="str">
        <f t="shared" si="1"/>
        <v>PT. Berkah Alam Semesta</v>
      </c>
      <c r="D938" s="3" t="s">
        <v>130</v>
      </c>
      <c r="E938" s="3" t="s">
        <v>104</v>
      </c>
      <c r="F938" s="3" t="s">
        <v>105</v>
      </c>
      <c r="G938" s="3" t="s">
        <v>35</v>
      </c>
      <c r="H938" s="3" t="str">
        <f t="array" ref="H938">XLOOKUP(G:G,'Account Manager Data'!A:A,'Account Manager Data'!B:B,0)</f>
        <v>Ahmad Fauzi</v>
      </c>
      <c r="I938" s="11" t="str">
        <f t="array" ref="I938">XLOOKUP($G:$G,'Account Manager Data'!$A:$A,'Account Manager Data'!C:C)</f>
        <v>Sumatera</v>
      </c>
      <c r="J938" s="17">
        <v>3067038.0</v>
      </c>
      <c r="K938" s="17">
        <v>1220033.0</v>
      </c>
      <c r="L938" s="17">
        <v>7885154.0</v>
      </c>
      <c r="M938" s="17">
        <v>1.1482721E7</v>
      </c>
      <c r="N938" s="17">
        <v>9614785.0</v>
      </c>
      <c r="O938" s="17">
        <v>1.0463866E7</v>
      </c>
      <c r="P938" s="17">
        <v>386537.0</v>
      </c>
      <c r="Q938" s="17">
        <v>1.0657792E7</v>
      </c>
      <c r="R938" s="17">
        <v>1.4151744E7</v>
      </c>
      <c r="S938" s="17">
        <v>3987609.0</v>
      </c>
      <c r="T938" s="17">
        <v>1.0163587E7</v>
      </c>
      <c r="U938" s="17">
        <v>4046133.0</v>
      </c>
      <c r="V938" s="11">
        <f t="array" ref="V938">XLOOKUP(A:A,'Raw Revenue'!A:A,'Raw Revenue'!B:B,0)
</f>
        <v>0</v>
      </c>
      <c r="W938" s="11">
        <f t="array" ref="W938">XLOOKUP(A:A,'Raw Revenue'!C:C,'Raw Revenue'!D:D,0)</f>
        <v>0</v>
      </c>
      <c r="X938" s="11">
        <f t="array" ref="X938">XLOOKUP(A:A,'Raw Revenue'!E:E,'Raw Revenue'!F:F,0)</f>
        <v>0</v>
      </c>
      <c r="Y938" s="11">
        <f t="array" ref="Y938">XLOOKUP(A:A,'Raw Revenue'!G:G,'Raw Revenue'!H:H,0)</f>
        <v>0</v>
      </c>
      <c r="Z938" s="11">
        <f t="array" ref="Z938">XLOOKUP(A:A,'Raw Revenue'!I:I,'Raw Revenue'!J:J,0)</f>
        <v>0</v>
      </c>
      <c r="AA938" s="11">
        <f t="array" ref="AA938">XLOOKUP(A:A,'Raw Revenue'!K:K,'Raw Revenue'!L:L,0)</f>
        <v>0</v>
      </c>
      <c r="AB938" s="11">
        <f t="array" ref="AB938">XLOOKUP(A:A,'Raw Revenue'!M:M,'Raw Revenue'!N:N,0)</f>
        <v>0</v>
      </c>
      <c r="AC938" s="3">
        <v>0.0</v>
      </c>
      <c r="AD938" s="3">
        <v>0.0</v>
      </c>
      <c r="AE938" s="3">
        <v>0.0</v>
      </c>
      <c r="AF938" s="3">
        <v>0.0</v>
      </c>
      <c r="AG938" s="3">
        <v>0.0</v>
      </c>
    </row>
    <row r="939">
      <c r="A939" s="3" t="s">
        <v>2084</v>
      </c>
      <c r="B939" s="3" t="s">
        <v>2085</v>
      </c>
      <c r="C939" s="3" t="str">
        <f t="shared" si="1"/>
        <v>PT. Cahaya Baru Indonesia</v>
      </c>
      <c r="D939" s="3" t="s">
        <v>84</v>
      </c>
      <c r="E939" s="3" t="s">
        <v>196</v>
      </c>
      <c r="F939" s="3" t="s">
        <v>315</v>
      </c>
      <c r="G939" s="3" t="s">
        <v>43</v>
      </c>
      <c r="H939" s="3" t="str">
        <f t="array" ref="H939">XLOOKUP(G:G,'Account Manager Data'!A:A,'Account Manager Data'!B:B,0)</f>
        <v>Eko Prasetyo</v>
      </c>
      <c r="I939" s="11" t="str">
        <f t="array" ref="I939">XLOOKUP($G:$G,'Account Manager Data'!$A:$A,'Account Manager Data'!C:C)</f>
        <v>Papua</v>
      </c>
      <c r="J939" s="17">
        <v>5140777.0</v>
      </c>
      <c r="K939" s="17">
        <v>406911.0</v>
      </c>
      <c r="L939" s="17">
        <v>1704745.0</v>
      </c>
      <c r="M939" s="17">
        <v>1.1273983E7</v>
      </c>
      <c r="N939" s="17">
        <v>8163959.0</v>
      </c>
      <c r="O939" s="17">
        <v>6941275.0</v>
      </c>
      <c r="P939" s="17">
        <v>9780191.0</v>
      </c>
      <c r="Q939" s="17">
        <v>1.3633529E7</v>
      </c>
      <c r="R939" s="17">
        <v>1.0140779E7</v>
      </c>
      <c r="S939" s="17">
        <v>7551429.0</v>
      </c>
      <c r="T939" s="17">
        <v>1.5513835E7</v>
      </c>
      <c r="U939" s="17">
        <v>6782766.0</v>
      </c>
      <c r="V939" s="11">
        <f t="array" ref="V939">XLOOKUP(A:A,'Raw Revenue'!A:A,'Raw Revenue'!B:B,0)
</f>
        <v>0</v>
      </c>
      <c r="W939" s="11">
        <f t="array" ref="W939">XLOOKUP(A:A,'Raw Revenue'!C:C,'Raw Revenue'!D:D,0)</f>
        <v>0</v>
      </c>
      <c r="X939" s="11">
        <f t="array" ref="X939">XLOOKUP(A:A,'Raw Revenue'!E:E,'Raw Revenue'!F:F,0)</f>
        <v>0</v>
      </c>
      <c r="Y939" s="11">
        <f t="array" ref="Y939">XLOOKUP(A:A,'Raw Revenue'!G:G,'Raw Revenue'!H:H,0)</f>
        <v>0</v>
      </c>
      <c r="Z939" s="11">
        <f t="array" ref="Z939">XLOOKUP(A:A,'Raw Revenue'!I:I,'Raw Revenue'!J:J,0)</f>
        <v>0</v>
      </c>
      <c r="AA939" s="11">
        <f t="array" ref="AA939">XLOOKUP(A:A,'Raw Revenue'!K:K,'Raw Revenue'!L:L,0)</f>
        <v>0</v>
      </c>
      <c r="AB939" s="11">
        <f t="array" ref="AB939">XLOOKUP(A:A,'Raw Revenue'!M:M,'Raw Revenue'!N:N,0)</f>
        <v>0</v>
      </c>
      <c r="AC939" s="3">
        <v>0.0</v>
      </c>
      <c r="AD939" s="3">
        <v>0.0</v>
      </c>
      <c r="AE939" s="3">
        <v>0.0</v>
      </c>
      <c r="AF939" s="3">
        <v>0.0</v>
      </c>
      <c r="AG939" s="3">
        <v>0.0</v>
      </c>
    </row>
    <row r="940">
      <c r="A940" s="3" t="s">
        <v>2086</v>
      </c>
      <c r="B940" s="3" t="s">
        <v>2087</v>
      </c>
      <c r="C940" s="3" t="str">
        <f t="shared" si="1"/>
        <v>PT. Mentari Pagi Sejahtera</v>
      </c>
      <c r="D940" s="3" t="s">
        <v>84</v>
      </c>
      <c r="E940" s="3" t="s">
        <v>187</v>
      </c>
      <c r="F940" s="3" t="s">
        <v>269</v>
      </c>
      <c r="G940" s="3" t="s">
        <v>74</v>
      </c>
      <c r="H940" s="3" t="str">
        <f t="array" ref="H940">XLOOKUP(G:G,'Account Manager Data'!A:A,'Account Manager Data'!B:B,0)</f>
        <v>Budi Santoso</v>
      </c>
      <c r="I940" s="11" t="str">
        <f t="array" ref="I940">XLOOKUP($G:$G,'Account Manager Data'!$A:$A,'Account Manager Data'!C:C)</f>
        <v>Papua</v>
      </c>
      <c r="J940" s="17">
        <v>1813896.0</v>
      </c>
      <c r="K940" s="17">
        <v>18041.0</v>
      </c>
      <c r="L940" s="17">
        <v>4976027.0</v>
      </c>
      <c r="M940" s="17">
        <v>0.0</v>
      </c>
      <c r="N940" s="17">
        <v>4106300.0</v>
      </c>
      <c r="O940" s="17">
        <v>1572393.0</v>
      </c>
      <c r="P940" s="17">
        <v>0.0</v>
      </c>
      <c r="Q940" s="17">
        <v>1624837.0</v>
      </c>
      <c r="R940" s="17">
        <v>5926662.0</v>
      </c>
      <c r="S940" s="17">
        <v>3634033.0</v>
      </c>
      <c r="T940" s="17">
        <v>0.0</v>
      </c>
      <c r="U940" s="17">
        <v>1.7743151E7</v>
      </c>
      <c r="V940" s="11">
        <f t="array" ref="V940">XLOOKUP(A:A,'Raw Revenue'!A:A,'Raw Revenue'!B:B,0)
</f>
        <v>0</v>
      </c>
      <c r="W940" s="11">
        <f t="array" ref="W940">XLOOKUP(A:A,'Raw Revenue'!C:C,'Raw Revenue'!D:D,0)</f>
        <v>0</v>
      </c>
      <c r="X940" s="11">
        <f t="array" ref="X940">XLOOKUP(A:A,'Raw Revenue'!E:E,'Raw Revenue'!F:F,0)</f>
        <v>0</v>
      </c>
      <c r="Y940" s="11">
        <f t="array" ref="Y940">XLOOKUP(A:A,'Raw Revenue'!G:G,'Raw Revenue'!H:H,0)</f>
        <v>0</v>
      </c>
      <c r="Z940" s="11">
        <f t="array" ref="Z940">XLOOKUP(A:A,'Raw Revenue'!I:I,'Raw Revenue'!J:J,0)</f>
        <v>0</v>
      </c>
      <c r="AA940" s="11">
        <f t="array" ref="AA940">XLOOKUP(A:A,'Raw Revenue'!K:K,'Raw Revenue'!L:L,0)</f>
        <v>0</v>
      </c>
      <c r="AB940" s="11">
        <f t="array" ref="AB940">XLOOKUP(A:A,'Raw Revenue'!M:M,'Raw Revenue'!N:N,0)</f>
        <v>0</v>
      </c>
      <c r="AC940" s="3">
        <v>0.0</v>
      </c>
      <c r="AD940" s="3">
        <v>0.0</v>
      </c>
      <c r="AE940" s="3">
        <v>0.0</v>
      </c>
      <c r="AF940" s="3">
        <v>0.0</v>
      </c>
      <c r="AG940" s="3">
        <v>0.0</v>
      </c>
    </row>
    <row r="941">
      <c r="A941" s="3" t="s">
        <v>2088</v>
      </c>
      <c r="B941" s="3" t="s">
        <v>2089</v>
      </c>
      <c r="C941" s="3" t="str">
        <f t="shared" si="1"/>
        <v>PT. Bintang Kejora Nusantara</v>
      </c>
      <c r="D941" s="3" t="s">
        <v>84</v>
      </c>
      <c r="E941" s="3" t="s">
        <v>196</v>
      </c>
      <c r="F941" s="3" t="s">
        <v>260</v>
      </c>
      <c r="G941" s="3" t="s">
        <v>76</v>
      </c>
      <c r="H941" s="3" t="str">
        <f t="array" ref="H941">XLOOKUP(G:G,'Account Manager Data'!A:A,'Account Manager Data'!B:B,0)</f>
        <v>Teguh Wijaya</v>
      </c>
      <c r="I941" s="11" t="str">
        <f t="array" ref="I941">XLOOKUP($G:$G,'Account Manager Data'!$A:$A,'Account Manager Data'!C:C)</f>
        <v>Sulawesi</v>
      </c>
      <c r="J941" s="17">
        <v>3314402.0</v>
      </c>
      <c r="K941" s="17">
        <v>5522555.0</v>
      </c>
      <c r="L941" s="17">
        <v>9686779.0</v>
      </c>
      <c r="M941" s="17">
        <v>1.0277627E7</v>
      </c>
      <c r="N941" s="17">
        <v>1.0485905E7</v>
      </c>
      <c r="O941" s="17">
        <v>3888575.0</v>
      </c>
      <c r="P941" s="17">
        <v>8925980.0</v>
      </c>
      <c r="Q941" s="17">
        <v>1.1885328E7</v>
      </c>
      <c r="R941" s="17">
        <v>1.5290958E7</v>
      </c>
      <c r="S941" s="17">
        <v>8949433.0</v>
      </c>
      <c r="T941" s="17">
        <v>1.9417975E7</v>
      </c>
      <c r="U941" s="17">
        <v>3411527.0</v>
      </c>
      <c r="V941" s="11">
        <f t="array" ref="V941">XLOOKUP(A:A,'Raw Revenue'!A:A,'Raw Revenue'!B:B,0)
</f>
        <v>0</v>
      </c>
      <c r="W941" s="11">
        <f t="array" ref="W941">XLOOKUP(A:A,'Raw Revenue'!C:C,'Raw Revenue'!D:D,0)</f>
        <v>0</v>
      </c>
      <c r="X941" s="11">
        <f t="array" ref="X941">XLOOKUP(A:A,'Raw Revenue'!E:E,'Raw Revenue'!F:F,0)</f>
        <v>0</v>
      </c>
      <c r="Y941" s="11">
        <f t="array" ref="Y941">XLOOKUP(A:A,'Raw Revenue'!G:G,'Raw Revenue'!H:H,0)</f>
        <v>0</v>
      </c>
      <c r="Z941" s="11">
        <f t="array" ref="Z941">XLOOKUP(A:A,'Raw Revenue'!I:I,'Raw Revenue'!J:J,0)</f>
        <v>0</v>
      </c>
      <c r="AA941" s="11">
        <f t="array" ref="AA941">XLOOKUP(A:A,'Raw Revenue'!K:K,'Raw Revenue'!L:L,0)</f>
        <v>0</v>
      </c>
      <c r="AB941" s="11">
        <f t="array" ref="AB941">XLOOKUP(A:A,'Raw Revenue'!M:M,'Raw Revenue'!N:N,0)</f>
        <v>0</v>
      </c>
      <c r="AC941" s="3">
        <v>0.0</v>
      </c>
      <c r="AD941" s="3">
        <v>0.0</v>
      </c>
      <c r="AE941" s="3">
        <v>0.0</v>
      </c>
      <c r="AF941" s="3">
        <v>0.0</v>
      </c>
      <c r="AG941" s="3">
        <v>0.0</v>
      </c>
    </row>
    <row r="942">
      <c r="A942" s="3" t="s">
        <v>2090</v>
      </c>
      <c r="B942" s="3" t="s">
        <v>2091</v>
      </c>
      <c r="C942" s="3" t="str">
        <f t="shared" si="1"/>
        <v>PT. Maju Jaya</v>
      </c>
      <c r="D942" s="3" t="s">
        <v>186</v>
      </c>
      <c r="E942" s="3" t="s">
        <v>104</v>
      </c>
      <c r="F942" s="3" t="s">
        <v>105</v>
      </c>
      <c r="G942" s="3" t="s">
        <v>70</v>
      </c>
      <c r="H942" s="3" t="str">
        <f t="array" ref="H942">XLOOKUP(G:G,'Account Manager Data'!A:A,'Account Manager Data'!B:B,0)</f>
        <v>Yusuf Hidayat</v>
      </c>
      <c r="I942" s="11" t="str">
        <f t="array" ref="I942">XLOOKUP($G:$G,'Account Manager Data'!$A:$A,'Account Manager Data'!C:C)</f>
        <v>Sumatera</v>
      </c>
      <c r="J942" s="17">
        <v>4116280.0</v>
      </c>
      <c r="K942" s="17">
        <v>4543550.0</v>
      </c>
      <c r="L942" s="17">
        <v>0.0</v>
      </c>
      <c r="M942" s="17">
        <v>1.1682284E7</v>
      </c>
      <c r="N942" s="17">
        <v>8346600.0</v>
      </c>
      <c r="O942" s="17">
        <v>8477532.0</v>
      </c>
      <c r="P942" s="17">
        <v>1.2512639E7</v>
      </c>
      <c r="Q942" s="17">
        <v>4162400.0</v>
      </c>
      <c r="R942" s="17">
        <v>1.6801168E7</v>
      </c>
      <c r="S942" s="17">
        <v>1.7187739E7</v>
      </c>
      <c r="T942" s="17">
        <v>8646602.0</v>
      </c>
      <c r="U942" s="17">
        <v>1.9382494E7</v>
      </c>
      <c r="V942" s="11">
        <f t="array" ref="V942">XLOOKUP(A:A,'Raw Revenue'!A:A,'Raw Revenue'!B:B,0)
</f>
        <v>0</v>
      </c>
      <c r="W942" s="11">
        <f t="array" ref="W942">XLOOKUP(A:A,'Raw Revenue'!C:C,'Raw Revenue'!D:D,0)</f>
        <v>0</v>
      </c>
      <c r="X942" s="11">
        <f t="array" ref="X942">XLOOKUP(A:A,'Raw Revenue'!E:E,'Raw Revenue'!F:F,0)</f>
        <v>0</v>
      </c>
      <c r="Y942" s="11">
        <f t="array" ref="Y942">XLOOKUP(A:A,'Raw Revenue'!G:G,'Raw Revenue'!H:H,0)</f>
        <v>0</v>
      </c>
      <c r="Z942" s="11">
        <f t="array" ref="Z942">XLOOKUP(A:A,'Raw Revenue'!I:I,'Raw Revenue'!J:J,0)</f>
        <v>0</v>
      </c>
      <c r="AA942" s="11">
        <f t="array" ref="AA942">XLOOKUP(A:A,'Raw Revenue'!K:K,'Raw Revenue'!L:L,0)</f>
        <v>0</v>
      </c>
      <c r="AB942" s="11">
        <f t="array" ref="AB942">XLOOKUP(A:A,'Raw Revenue'!M:M,'Raw Revenue'!N:N,0)</f>
        <v>0</v>
      </c>
      <c r="AC942" s="3">
        <v>0.0</v>
      </c>
      <c r="AD942" s="3">
        <v>0.0</v>
      </c>
      <c r="AE942" s="3">
        <v>0.0</v>
      </c>
      <c r="AF942" s="3">
        <v>0.0</v>
      </c>
      <c r="AG942" s="3">
        <v>0.0</v>
      </c>
    </row>
    <row r="943">
      <c r="A943" s="3" t="s">
        <v>2092</v>
      </c>
      <c r="B943" s="3" t="s">
        <v>2093</v>
      </c>
      <c r="C943" s="3" t="str">
        <f t="shared" si="1"/>
        <v>CV. Sumber Makmur</v>
      </c>
      <c r="D943" s="3" t="s">
        <v>130</v>
      </c>
      <c r="E943" s="3" t="s">
        <v>85</v>
      </c>
      <c r="F943" s="3" t="s">
        <v>86</v>
      </c>
      <c r="G943" s="3" t="s">
        <v>15</v>
      </c>
      <c r="H943" s="3" t="str">
        <f t="array" ref="H943">XLOOKUP(G:G,'Account Manager Data'!A:A,'Account Manager Data'!B:B,0)</f>
        <v>Rizky Maulana</v>
      </c>
      <c r="I943" s="11" t="str">
        <f t="array" ref="I943">XLOOKUP($G:$G,'Account Manager Data'!$A:$A,'Account Manager Data'!C:C)</f>
        <v>Jawa</v>
      </c>
      <c r="J943" s="17">
        <v>188288.0</v>
      </c>
      <c r="K943" s="17">
        <v>8835294.0</v>
      </c>
      <c r="L943" s="17">
        <v>7083408.0</v>
      </c>
      <c r="M943" s="17">
        <v>7954918.0</v>
      </c>
      <c r="N943" s="17">
        <v>1.2068061E7</v>
      </c>
      <c r="O943" s="17">
        <v>2349805.0</v>
      </c>
      <c r="P943" s="17">
        <v>1.6105114E7</v>
      </c>
      <c r="Q943" s="17">
        <v>1.0747512E7</v>
      </c>
      <c r="R943" s="17">
        <v>1.2874908E7</v>
      </c>
      <c r="S943" s="17">
        <v>922961.0</v>
      </c>
      <c r="T943" s="17">
        <v>3524520.0</v>
      </c>
      <c r="U943" s="17">
        <v>9987304.0</v>
      </c>
      <c r="V943" s="11">
        <f t="array" ref="V943">XLOOKUP(A:A,'Raw Revenue'!A:A,'Raw Revenue'!B:B,0)
</f>
        <v>0</v>
      </c>
      <c r="W943" s="11">
        <f t="array" ref="W943">XLOOKUP(A:A,'Raw Revenue'!C:C,'Raw Revenue'!D:D,0)</f>
        <v>0</v>
      </c>
      <c r="X943" s="11">
        <f t="array" ref="X943">XLOOKUP(A:A,'Raw Revenue'!E:E,'Raw Revenue'!F:F,0)</f>
        <v>0</v>
      </c>
      <c r="Y943" s="11">
        <f t="array" ref="Y943">XLOOKUP(A:A,'Raw Revenue'!G:G,'Raw Revenue'!H:H,0)</f>
        <v>0</v>
      </c>
      <c r="Z943" s="11">
        <f t="array" ref="Z943">XLOOKUP(A:A,'Raw Revenue'!I:I,'Raw Revenue'!J:J,0)</f>
        <v>0</v>
      </c>
      <c r="AA943" s="11">
        <f t="array" ref="AA943">XLOOKUP(A:A,'Raw Revenue'!K:K,'Raw Revenue'!L:L,0)</f>
        <v>0</v>
      </c>
      <c r="AB943" s="11">
        <f t="array" ref="AB943">XLOOKUP(A:A,'Raw Revenue'!M:M,'Raw Revenue'!N:N,0)</f>
        <v>0</v>
      </c>
      <c r="AC943" s="3">
        <v>0.0</v>
      </c>
      <c r="AD943" s="3">
        <v>0.0</v>
      </c>
      <c r="AE943" s="3">
        <v>0.0</v>
      </c>
      <c r="AF943" s="3">
        <v>0.0</v>
      </c>
      <c r="AG943" s="3">
        <v>0.0</v>
      </c>
    </row>
    <row r="944">
      <c r="A944" s="3" t="s">
        <v>2094</v>
      </c>
      <c r="B944" s="3" t="s">
        <v>2095</v>
      </c>
      <c r="C944" s="3" t="str">
        <f t="shared" si="1"/>
        <v>PT. Teknologi Nusantara</v>
      </c>
      <c r="D944" s="3" t="s">
        <v>186</v>
      </c>
      <c r="E944" s="3" t="s">
        <v>104</v>
      </c>
      <c r="F944" s="3" t="s">
        <v>134</v>
      </c>
      <c r="G944" s="3" t="s">
        <v>27</v>
      </c>
      <c r="H944" s="3" t="str">
        <f t="array" ref="H944">XLOOKUP(G:G,'Account Manager Data'!A:A,'Account Manager Data'!B:B,0)</f>
        <v>Dedi Kurniawan</v>
      </c>
      <c r="I944" s="11" t="str">
        <f t="array" ref="I944">XLOOKUP($G:$G,'Account Manager Data'!$A:$A,'Account Manager Data'!C:C)</f>
        <v>Kalimantan</v>
      </c>
      <c r="J944" s="17">
        <v>5883567.0</v>
      </c>
      <c r="K944" s="17">
        <v>8785176.0</v>
      </c>
      <c r="L944" s="17">
        <v>8075781.0</v>
      </c>
      <c r="M944" s="17">
        <v>6279060.0</v>
      </c>
      <c r="N944" s="17">
        <v>336262.0</v>
      </c>
      <c r="O944" s="17">
        <v>3654375.0</v>
      </c>
      <c r="P944" s="17">
        <v>5386548.0</v>
      </c>
      <c r="Q944" s="17">
        <v>5364466.0</v>
      </c>
      <c r="R944" s="17">
        <v>0.0</v>
      </c>
      <c r="S944" s="17">
        <v>1.015611E7</v>
      </c>
      <c r="T944" s="17">
        <v>4614331.0</v>
      </c>
      <c r="U944" s="17">
        <v>1.0234269E7</v>
      </c>
      <c r="V944" s="11">
        <f t="array" ref="V944">XLOOKUP(A:A,'Raw Revenue'!A:A,'Raw Revenue'!B:B,0)
</f>
        <v>0</v>
      </c>
      <c r="W944" s="11">
        <f t="array" ref="W944">XLOOKUP(A:A,'Raw Revenue'!C:C,'Raw Revenue'!D:D,0)</f>
        <v>0</v>
      </c>
      <c r="X944" s="11">
        <f t="array" ref="X944">XLOOKUP(A:A,'Raw Revenue'!E:E,'Raw Revenue'!F:F,0)</f>
        <v>0</v>
      </c>
      <c r="Y944" s="11">
        <f t="array" ref="Y944">XLOOKUP(A:A,'Raw Revenue'!G:G,'Raw Revenue'!H:H,0)</f>
        <v>0</v>
      </c>
      <c r="Z944" s="11">
        <f t="array" ref="Z944">XLOOKUP(A:A,'Raw Revenue'!I:I,'Raw Revenue'!J:J,0)</f>
        <v>0</v>
      </c>
      <c r="AA944" s="11">
        <f t="array" ref="AA944">XLOOKUP(A:A,'Raw Revenue'!K:K,'Raw Revenue'!L:L,0)</f>
        <v>0</v>
      </c>
      <c r="AB944" s="11">
        <f t="array" ref="AB944">XLOOKUP(A:A,'Raw Revenue'!M:M,'Raw Revenue'!N:N,0)</f>
        <v>0</v>
      </c>
      <c r="AC944" s="3">
        <v>0.0</v>
      </c>
      <c r="AD944" s="3">
        <v>0.0</v>
      </c>
      <c r="AE944" s="3">
        <v>0.0</v>
      </c>
      <c r="AF944" s="3">
        <v>0.0</v>
      </c>
      <c r="AG944" s="3">
        <v>0.0</v>
      </c>
    </row>
    <row r="945">
      <c r="A945" s="3" t="s">
        <v>2096</v>
      </c>
      <c r="B945" s="3" t="s">
        <v>2097</v>
      </c>
      <c r="C945" s="3" t="str">
        <f t="shared" si="1"/>
        <v>PT. Bakti Indonesia</v>
      </c>
      <c r="D945" s="3" t="s">
        <v>84</v>
      </c>
      <c r="E945" s="3" t="s">
        <v>187</v>
      </c>
      <c r="F945" s="3" t="s">
        <v>188</v>
      </c>
      <c r="G945" s="3" t="s">
        <v>78</v>
      </c>
      <c r="H945" s="3" t="str">
        <f t="array" ref="H945">XLOOKUP(G:G,'Account Manager Data'!A:A,'Account Manager Data'!B:B,0)</f>
        <v>Ilham Saputra</v>
      </c>
      <c r="I945" s="11" t="str">
        <f t="array" ref="I945">XLOOKUP($G:$G,'Account Manager Data'!$A:$A,'Account Manager Data'!C:C)</f>
        <v>Jawa</v>
      </c>
      <c r="J945" s="17">
        <v>597757.0</v>
      </c>
      <c r="K945" s="17">
        <v>8504610.0</v>
      </c>
      <c r="L945" s="17">
        <v>7864271.0</v>
      </c>
      <c r="M945" s="17">
        <v>6874203.0</v>
      </c>
      <c r="N945" s="17">
        <v>5847032.0</v>
      </c>
      <c r="O945" s="17">
        <v>1654921.0</v>
      </c>
      <c r="P945" s="17">
        <v>1.5752924E7</v>
      </c>
      <c r="Q945" s="17">
        <v>1.2142531E7</v>
      </c>
      <c r="R945" s="17">
        <v>1.6989471E7</v>
      </c>
      <c r="S945" s="17">
        <v>7221770.0</v>
      </c>
      <c r="T945" s="17">
        <v>1.1782926E7</v>
      </c>
      <c r="U945" s="17">
        <v>1.5596325E7</v>
      </c>
      <c r="V945" s="11">
        <f t="array" ref="V945">XLOOKUP(A:A,'Raw Revenue'!A:A,'Raw Revenue'!B:B,0)
</f>
        <v>0</v>
      </c>
      <c r="W945" s="11">
        <f t="array" ref="W945">XLOOKUP(A:A,'Raw Revenue'!C:C,'Raw Revenue'!D:D,0)</f>
        <v>0</v>
      </c>
      <c r="X945" s="11">
        <f t="array" ref="X945">XLOOKUP(A:A,'Raw Revenue'!E:E,'Raw Revenue'!F:F,0)</f>
        <v>0</v>
      </c>
      <c r="Y945" s="11">
        <f t="array" ref="Y945">XLOOKUP(A:A,'Raw Revenue'!G:G,'Raw Revenue'!H:H,0)</f>
        <v>0</v>
      </c>
      <c r="Z945" s="11">
        <f t="array" ref="Z945">XLOOKUP(A:A,'Raw Revenue'!I:I,'Raw Revenue'!J:J,0)</f>
        <v>0</v>
      </c>
      <c r="AA945" s="11">
        <f t="array" ref="AA945">XLOOKUP(A:A,'Raw Revenue'!K:K,'Raw Revenue'!L:L,0)</f>
        <v>0</v>
      </c>
      <c r="AB945" s="11">
        <f t="array" ref="AB945">XLOOKUP(A:A,'Raw Revenue'!M:M,'Raw Revenue'!N:N,0)</f>
        <v>0</v>
      </c>
      <c r="AC945" s="3">
        <v>0.0</v>
      </c>
      <c r="AD945" s="3">
        <v>0.0</v>
      </c>
      <c r="AE945" s="3">
        <v>0.0</v>
      </c>
      <c r="AF945" s="3">
        <v>0.0</v>
      </c>
      <c r="AG945" s="3">
        <v>0.0</v>
      </c>
    </row>
    <row r="946">
      <c r="A946" s="3" t="s">
        <v>312</v>
      </c>
      <c r="B946" s="3" t="s">
        <v>2098</v>
      </c>
      <c r="C946" s="3" t="str">
        <f t="shared" si="1"/>
        <v>CV. Amanah Sejahtera</v>
      </c>
      <c r="D946" s="3" t="s">
        <v>103</v>
      </c>
      <c r="E946" s="3" t="s">
        <v>104</v>
      </c>
      <c r="F946" s="3" t="s">
        <v>134</v>
      </c>
      <c r="G946" s="3" t="s">
        <v>53</v>
      </c>
      <c r="H946" s="3" t="str">
        <f t="array" ref="H946">XLOOKUP(G:G,'Account Manager Data'!A:A,'Account Manager Data'!B:B,0)</f>
        <v>Fajar Ramadhan</v>
      </c>
      <c r="I946" s="11" t="str">
        <f t="array" ref="I946">XLOOKUP($G:$G,'Account Manager Data'!$A:$A,'Account Manager Data'!C:C)</f>
        <v>Sulawesi</v>
      </c>
      <c r="J946" s="17">
        <v>0.0</v>
      </c>
      <c r="K946" s="17">
        <v>3621728.0</v>
      </c>
      <c r="L946" s="17">
        <v>9364246.0</v>
      </c>
      <c r="M946" s="17">
        <v>1.0782563E7</v>
      </c>
      <c r="N946" s="17">
        <v>1.3789021E7</v>
      </c>
      <c r="O946" s="17">
        <v>1.3171457E7</v>
      </c>
      <c r="P946" s="17">
        <v>7578079.0</v>
      </c>
      <c r="Q946" s="17">
        <v>1.0520707E7</v>
      </c>
      <c r="R946" s="17">
        <v>1.4484201E7</v>
      </c>
      <c r="S946" s="17">
        <v>1.3247077E7</v>
      </c>
      <c r="T946" s="17">
        <v>0.0</v>
      </c>
      <c r="U946" s="17">
        <v>1.2077646E7</v>
      </c>
      <c r="V946" s="11">
        <f t="array" ref="V946">XLOOKUP(A:A,'Raw Revenue'!A:A,'Raw Revenue'!B:B,0)
</f>
        <v>4455685.939</v>
      </c>
      <c r="W946" s="11">
        <f t="array" ref="W946">XLOOKUP(A:A,'Raw Revenue'!C:C,'Raw Revenue'!D:D,0)</f>
        <v>4455685.939</v>
      </c>
      <c r="X946" s="11">
        <f t="array" ref="X946">XLOOKUP(A:A,'Raw Revenue'!E:E,'Raw Revenue'!F:F,0)</f>
        <v>8911371.878</v>
      </c>
      <c r="Y946" s="11">
        <f t="array" ref="Y946">XLOOKUP(A:A,'Raw Revenue'!G:G,'Raw Revenue'!H:H,0)</f>
        <v>7277620.367</v>
      </c>
      <c r="Z946" s="11">
        <f t="array" ref="Z946">XLOOKUP(A:A,'Raw Revenue'!I:I,'Raw Revenue'!J:J,0)</f>
        <v>6535006.044</v>
      </c>
      <c r="AA946" s="11">
        <f t="array" ref="AA946">XLOOKUP(A:A,'Raw Revenue'!K:K,'Raw Revenue'!L:L,0)</f>
        <v>16708822.27</v>
      </c>
      <c r="AB946" s="11">
        <f t="array" ref="AB946">XLOOKUP(A:A,'Raw Revenue'!M:M,'Raw Revenue'!N:N,0)</f>
        <v>15372116.49</v>
      </c>
      <c r="AC946" s="3">
        <v>0.0</v>
      </c>
      <c r="AD946" s="3">
        <v>0.0</v>
      </c>
      <c r="AE946" s="3">
        <v>0.0</v>
      </c>
      <c r="AF946" s="3">
        <v>0.0</v>
      </c>
      <c r="AG946" s="3">
        <v>0.0</v>
      </c>
    </row>
    <row r="947">
      <c r="A947" s="3" t="s">
        <v>2099</v>
      </c>
      <c r="B947" s="3" t="s">
        <v>2100</v>
      </c>
      <c r="C947" s="3" t="str">
        <f t="shared" si="1"/>
        <v>PT. Digital Solusi Pratama</v>
      </c>
      <c r="D947" s="3" t="s">
        <v>214</v>
      </c>
      <c r="E947" s="3" t="s">
        <v>85</v>
      </c>
      <c r="F947" s="3" t="s">
        <v>248</v>
      </c>
      <c r="G947" s="3" t="s">
        <v>63</v>
      </c>
      <c r="H947" s="3" t="str">
        <f t="array" ref="H947">XLOOKUP(G:G,'Account Manager Data'!A:A,'Account Manager Data'!B:B,0)</f>
        <v>Hendra Gunawan</v>
      </c>
      <c r="I947" s="11" t="str">
        <f t="array" ref="I947">XLOOKUP($G:$G,'Account Manager Data'!$A:$A,'Account Manager Data'!C:C)</f>
        <v>Kalimantan</v>
      </c>
      <c r="J947" s="17">
        <v>2964914.0</v>
      </c>
      <c r="K947" s="17">
        <v>2059259.0</v>
      </c>
      <c r="L947" s="17">
        <v>350866.0</v>
      </c>
      <c r="M947" s="17">
        <v>390431.0</v>
      </c>
      <c r="N947" s="17">
        <v>1.3112921E7</v>
      </c>
      <c r="O947" s="17">
        <v>1.1632798E7</v>
      </c>
      <c r="P947" s="17">
        <v>3657616.0</v>
      </c>
      <c r="Q947" s="17">
        <v>1.268518E7</v>
      </c>
      <c r="R947" s="17">
        <v>5948129.0</v>
      </c>
      <c r="S947" s="17">
        <v>314446.0</v>
      </c>
      <c r="T947" s="17">
        <v>9702394.0</v>
      </c>
      <c r="U947" s="17">
        <v>1.2257918E7</v>
      </c>
      <c r="V947" s="11">
        <f t="array" ref="V947">XLOOKUP(A:A,'Raw Revenue'!A:A,'Raw Revenue'!B:B,0)
</f>
        <v>0</v>
      </c>
      <c r="W947" s="11">
        <f t="array" ref="W947">XLOOKUP(A:A,'Raw Revenue'!C:C,'Raw Revenue'!D:D,0)</f>
        <v>0</v>
      </c>
      <c r="X947" s="11">
        <f t="array" ref="X947">XLOOKUP(A:A,'Raw Revenue'!E:E,'Raw Revenue'!F:F,0)</f>
        <v>0</v>
      </c>
      <c r="Y947" s="11">
        <f t="array" ref="Y947">XLOOKUP(A:A,'Raw Revenue'!G:G,'Raw Revenue'!H:H,0)</f>
        <v>0</v>
      </c>
      <c r="Z947" s="11">
        <f t="array" ref="Z947">XLOOKUP(A:A,'Raw Revenue'!I:I,'Raw Revenue'!J:J,0)</f>
        <v>0</v>
      </c>
      <c r="AA947" s="11">
        <f t="array" ref="AA947">XLOOKUP(A:A,'Raw Revenue'!K:K,'Raw Revenue'!L:L,0)</f>
        <v>0</v>
      </c>
      <c r="AB947" s="11">
        <f t="array" ref="AB947">XLOOKUP(A:A,'Raw Revenue'!M:M,'Raw Revenue'!N:N,0)</f>
        <v>0</v>
      </c>
      <c r="AC947" s="3">
        <v>0.0</v>
      </c>
      <c r="AD947" s="3">
        <v>0.0</v>
      </c>
      <c r="AE947" s="3">
        <v>0.0</v>
      </c>
      <c r="AF947" s="3">
        <v>0.0</v>
      </c>
      <c r="AG947" s="3">
        <v>0.0</v>
      </c>
    </row>
    <row r="948">
      <c r="A948" s="3" t="s">
        <v>2101</v>
      </c>
      <c r="B948" s="3" t="s">
        <v>2102</v>
      </c>
      <c r="C948" s="3" t="str">
        <f t="shared" si="1"/>
        <v>PT. Global Niaga Abadi</v>
      </c>
      <c r="D948" s="3" t="s">
        <v>130</v>
      </c>
      <c r="E948" s="3" t="s">
        <v>85</v>
      </c>
      <c r="F948" s="3" t="s">
        <v>86</v>
      </c>
      <c r="G948" s="3" t="s">
        <v>35</v>
      </c>
      <c r="H948" s="3" t="str">
        <f t="array" ref="H948">XLOOKUP(G:G,'Account Manager Data'!A:A,'Account Manager Data'!B:B,0)</f>
        <v>Ahmad Fauzi</v>
      </c>
      <c r="I948" s="11" t="str">
        <f t="array" ref="I948">XLOOKUP($G:$G,'Account Manager Data'!$A:$A,'Account Manager Data'!C:C)</f>
        <v>Sumatera</v>
      </c>
      <c r="J948" s="17">
        <v>7061017.0</v>
      </c>
      <c r="K948" s="17">
        <v>4052067.0</v>
      </c>
      <c r="L948" s="17">
        <v>1710264.0</v>
      </c>
      <c r="M948" s="17">
        <v>824473.0</v>
      </c>
      <c r="N948" s="17">
        <v>1.2228213E7</v>
      </c>
      <c r="O948" s="17">
        <v>1.0922572E7</v>
      </c>
      <c r="P948" s="17">
        <v>1.0282532E7</v>
      </c>
      <c r="Q948" s="17">
        <v>1.1449019E7</v>
      </c>
      <c r="R948" s="17">
        <v>3590850.0</v>
      </c>
      <c r="S948" s="17">
        <v>1.6839196E7</v>
      </c>
      <c r="T948" s="17">
        <v>1.7902873E7</v>
      </c>
      <c r="U948" s="17">
        <v>3553247.0</v>
      </c>
      <c r="V948" s="11">
        <f t="array" ref="V948">XLOOKUP(A:A,'Raw Revenue'!A:A,'Raw Revenue'!B:B,0)
</f>
        <v>0</v>
      </c>
      <c r="W948" s="11">
        <f t="array" ref="W948">XLOOKUP(A:A,'Raw Revenue'!C:C,'Raw Revenue'!D:D,0)</f>
        <v>0</v>
      </c>
      <c r="X948" s="11">
        <f t="array" ref="X948">XLOOKUP(A:A,'Raw Revenue'!E:E,'Raw Revenue'!F:F,0)</f>
        <v>0</v>
      </c>
      <c r="Y948" s="11">
        <f t="array" ref="Y948">XLOOKUP(A:A,'Raw Revenue'!G:G,'Raw Revenue'!H:H,0)</f>
        <v>0</v>
      </c>
      <c r="Z948" s="11">
        <f t="array" ref="Z948">XLOOKUP(A:A,'Raw Revenue'!I:I,'Raw Revenue'!J:J,0)</f>
        <v>0</v>
      </c>
      <c r="AA948" s="11">
        <f t="array" ref="AA948">XLOOKUP(A:A,'Raw Revenue'!K:K,'Raw Revenue'!L:L,0)</f>
        <v>0</v>
      </c>
      <c r="AB948" s="11">
        <f t="array" ref="AB948">XLOOKUP(A:A,'Raw Revenue'!M:M,'Raw Revenue'!N:N,0)</f>
        <v>0</v>
      </c>
      <c r="AC948" s="3">
        <v>0.0</v>
      </c>
      <c r="AD948" s="3">
        <v>0.0</v>
      </c>
      <c r="AE948" s="3">
        <v>0.0</v>
      </c>
      <c r="AF948" s="3">
        <v>0.0</v>
      </c>
      <c r="AG948" s="3">
        <v>0.0</v>
      </c>
    </row>
    <row r="949">
      <c r="A949" s="3" t="s">
        <v>2103</v>
      </c>
      <c r="B949" s="3" t="s">
        <v>2104</v>
      </c>
      <c r="C949" s="3" t="str">
        <f t="shared" si="1"/>
        <v>PT. Indo Makmur Sentosa</v>
      </c>
      <c r="D949" s="3" t="s">
        <v>130</v>
      </c>
      <c r="E949" s="3" t="s">
        <v>215</v>
      </c>
      <c r="F949" s="3" t="s">
        <v>300</v>
      </c>
      <c r="G949" s="3" t="s">
        <v>74</v>
      </c>
      <c r="H949" s="3" t="str">
        <f t="array" ref="H949">XLOOKUP(G:G,'Account Manager Data'!A:A,'Account Manager Data'!B:B,0)</f>
        <v>Budi Santoso</v>
      </c>
      <c r="I949" s="11" t="str">
        <f t="array" ref="I949">XLOOKUP($G:$G,'Account Manager Data'!$A:$A,'Account Manager Data'!C:C)</f>
        <v>Papua</v>
      </c>
      <c r="J949" s="17">
        <v>1323898.0</v>
      </c>
      <c r="K949" s="17">
        <v>4321145.0</v>
      </c>
      <c r="L949" s="17">
        <v>2988816.0</v>
      </c>
      <c r="M949" s="17">
        <v>7024452.0</v>
      </c>
      <c r="N949" s="17">
        <v>1.3906914E7</v>
      </c>
      <c r="O949" s="17">
        <v>3912434.0</v>
      </c>
      <c r="P949" s="17">
        <v>1.5351988E7</v>
      </c>
      <c r="Q949" s="17">
        <v>1.5760197E7</v>
      </c>
      <c r="R949" s="17">
        <v>1.5858804E7</v>
      </c>
      <c r="S949" s="17">
        <v>1.31361E7</v>
      </c>
      <c r="T949" s="17">
        <v>1.866486E7</v>
      </c>
      <c r="U949" s="17">
        <v>5172857.0</v>
      </c>
      <c r="V949" s="11">
        <f t="array" ref="V949">XLOOKUP(A:A,'Raw Revenue'!A:A,'Raw Revenue'!B:B,0)
</f>
        <v>0</v>
      </c>
      <c r="W949" s="11">
        <f t="array" ref="W949">XLOOKUP(A:A,'Raw Revenue'!C:C,'Raw Revenue'!D:D,0)</f>
        <v>0</v>
      </c>
      <c r="X949" s="11">
        <f t="array" ref="X949">XLOOKUP(A:A,'Raw Revenue'!E:E,'Raw Revenue'!F:F,0)</f>
        <v>0</v>
      </c>
      <c r="Y949" s="11">
        <f t="array" ref="Y949">XLOOKUP(A:A,'Raw Revenue'!G:G,'Raw Revenue'!H:H,0)</f>
        <v>0</v>
      </c>
      <c r="Z949" s="11">
        <f t="array" ref="Z949">XLOOKUP(A:A,'Raw Revenue'!I:I,'Raw Revenue'!J:J,0)</f>
        <v>0</v>
      </c>
      <c r="AA949" s="11">
        <f t="array" ref="AA949">XLOOKUP(A:A,'Raw Revenue'!K:K,'Raw Revenue'!L:L,0)</f>
        <v>0</v>
      </c>
      <c r="AB949" s="11">
        <f t="array" ref="AB949">XLOOKUP(A:A,'Raw Revenue'!M:M,'Raw Revenue'!N:N,0)</f>
        <v>0</v>
      </c>
      <c r="AC949" s="3">
        <v>0.0</v>
      </c>
      <c r="AD949" s="3">
        <v>0.0</v>
      </c>
      <c r="AE949" s="3">
        <v>0.0</v>
      </c>
      <c r="AF949" s="3">
        <v>0.0</v>
      </c>
      <c r="AG949" s="3">
        <v>0.0</v>
      </c>
    </row>
    <row r="950">
      <c r="A950" s="3" t="s">
        <v>263</v>
      </c>
      <c r="B950" s="3" t="s">
        <v>2105</v>
      </c>
      <c r="C950" s="3" t="str">
        <f t="shared" si="1"/>
        <v>PT. Citra Mandiri Utama</v>
      </c>
      <c r="D950" s="3" t="s">
        <v>103</v>
      </c>
      <c r="E950" s="3" t="s">
        <v>85</v>
      </c>
      <c r="F950" s="3" t="s">
        <v>248</v>
      </c>
      <c r="G950" s="3" t="s">
        <v>43</v>
      </c>
      <c r="H950" s="3" t="str">
        <f t="array" ref="H950">XLOOKUP(G:G,'Account Manager Data'!A:A,'Account Manager Data'!B:B,0)</f>
        <v>Eko Prasetyo</v>
      </c>
      <c r="I950" s="11" t="str">
        <f t="array" ref="I950">XLOOKUP($G:$G,'Account Manager Data'!$A:$A,'Account Manager Data'!C:C)</f>
        <v>Papua</v>
      </c>
      <c r="J950" s="17">
        <v>5152964.0</v>
      </c>
      <c r="K950" s="17">
        <v>461338.0</v>
      </c>
      <c r="L950" s="17">
        <v>1338156.0</v>
      </c>
      <c r="M950" s="17">
        <v>5403686.0</v>
      </c>
      <c r="N950" s="17">
        <v>1273827.0</v>
      </c>
      <c r="O950" s="17">
        <v>1.0828703E7</v>
      </c>
      <c r="P950" s="17">
        <v>5616439.0</v>
      </c>
      <c r="Q950" s="17">
        <v>8983698.0</v>
      </c>
      <c r="R950" s="17">
        <v>9332848.0</v>
      </c>
      <c r="S950" s="17">
        <v>8988814.0</v>
      </c>
      <c r="T950" s="17">
        <v>2888746.0</v>
      </c>
      <c r="U950" s="17">
        <v>7109988.0</v>
      </c>
      <c r="V950" s="11">
        <f t="array" ref="V950">XLOOKUP(A:A,'Raw Revenue'!A:A,'Raw Revenue'!B:B,0)
</f>
        <v>3433319.645</v>
      </c>
      <c r="W950" s="11">
        <f t="array" ref="W950">XLOOKUP(A:A,'Raw Revenue'!C:C,'Raw Revenue'!D:D,0)</f>
        <v>3433319.645</v>
      </c>
      <c r="X950" s="11">
        <f t="array" ref="X950">XLOOKUP(A:A,'Raw Revenue'!E:E,'Raw Revenue'!F:F,0)</f>
        <v>6866639.289</v>
      </c>
      <c r="Y950" s="11">
        <f t="array" ref="Y950">XLOOKUP(A:A,'Raw Revenue'!G:G,'Raw Revenue'!H:H,0)</f>
        <v>5607755.42</v>
      </c>
      <c r="Z950" s="11">
        <f t="array" ref="Z950">XLOOKUP(A:A,'Raw Revenue'!I:I,'Raw Revenue'!J:J,0)</f>
        <v>5035535.479</v>
      </c>
      <c r="AA950" s="11">
        <f t="array" ref="AA950">XLOOKUP(A:A,'Raw Revenue'!K:K,'Raw Revenue'!L:L,0)</f>
        <v>12874948.67</v>
      </c>
      <c r="AB950" s="11">
        <f t="array" ref="AB950">XLOOKUP(A:A,'Raw Revenue'!M:M,'Raw Revenue'!N:N,0)</f>
        <v>11844952.77</v>
      </c>
      <c r="AC950" s="3">
        <v>0.0</v>
      </c>
      <c r="AD950" s="3">
        <v>0.0</v>
      </c>
      <c r="AE950" s="3">
        <v>0.0</v>
      </c>
      <c r="AF950" s="3">
        <v>0.0</v>
      </c>
      <c r="AG950" s="3">
        <v>0.0</v>
      </c>
    </row>
    <row r="951">
      <c r="A951" s="3" t="s">
        <v>2106</v>
      </c>
      <c r="B951" s="3" t="s">
        <v>2107</v>
      </c>
      <c r="C951" s="3" t="str">
        <f t="shared" si="1"/>
        <v>PT. Sinar Dunia Baru</v>
      </c>
      <c r="D951" s="3" t="s">
        <v>186</v>
      </c>
      <c r="E951" s="3" t="s">
        <v>187</v>
      </c>
      <c r="F951" s="3" t="s">
        <v>188</v>
      </c>
      <c r="G951" s="3" t="s">
        <v>76</v>
      </c>
      <c r="H951" s="3" t="str">
        <f t="array" ref="H951">XLOOKUP(G:G,'Account Manager Data'!A:A,'Account Manager Data'!B:B,0)</f>
        <v>Teguh Wijaya</v>
      </c>
      <c r="I951" s="11" t="str">
        <f t="array" ref="I951">XLOOKUP($G:$G,'Account Manager Data'!$A:$A,'Account Manager Data'!C:C)</f>
        <v>Sulawesi</v>
      </c>
      <c r="J951" s="17">
        <v>1014801.0</v>
      </c>
      <c r="K951" s="17">
        <v>728145.0</v>
      </c>
      <c r="L951" s="17">
        <v>3423672.0</v>
      </c>
      <c r="M951" s="17">
        <v>8277213.0</v>
      </c>
      <c r="N951" s="17">
        <v>6749242.0</v>
      </c>
      <c r="O951" s="17">
        <v>1.1091673E7</v>
      </c>
      <c r="P951" s="17">
        <v>1.1040315E7</v>
      </c>
      <c r="Q951" s="17">
        <v>3319824.0</v>
      </c>
      <c r="R951" s="17">
        <v>0.0</v>
      </c>
      <c r="S951" s="17">
        <v>8039996.0</v>
      </c>
      <c r="T951" s="17">
        <v>1.0363931E7</v>
      </c>
      <c r="U951" s="17">
        <v>1558545.0</v>
      </c>
      <c r="V951" s="11">
        <f t="array" ref="V951">XLOOKUP(A:A,'Raw Revenue'!A:A,'Raw Revenue'!B:B,0)
</f>
        <v>0</v>
      </c>
      <c r="W951" s="11">
        <f t="array" ref="W951">XLOOKUP(A:A,'Raw Revenue'!C:C,'Raw Revenue'!D:D,0)</f>
        <v>0</v>
      </c>
      <c r="X951" s="11">
        <f t="array" ref="X951">XLOOKUP(A:A,'Raw Revenue'!E:E,'Raw Revenue'!F:F,0)</f>
        <v>0</v>
      </c>
      <c r="Y951" s="11">
        <f t="array" ref="Y951">XLOOKUP(A:A,'Raw Revenue'!G:G,'Raw Revenue'!H:H,0)</f>
        <v>0</v>
      </c>
      <c r="Z951" s="11">
        <f t="array" ref="Z951">XLOOKUP(A:A,'Raw Revenue'!I:I,'Raw Revenue'!J:J,0)</f>
        <v>0</v>
      </c>
      <c r="AA951" s="11">
        <f t="array" ref="AA951">XLOOKUP(A:A,'Raw Revenue'!K:K,'Raw Revenue'!L:L,0)</f>
        <v>0</v>
      </c>
      <c r="AB951" s="11">
        <f t="array" ref="AB951">XLOOKUP(A:A,'Raw Revenue'!M:M,'Raw Revenue'!N:N,0)</f>
        <v>0</v>
      </c>
      <c r="AC951" s="3">
        <v>0.0</v>
      </c>
      <c r="AD951" s="3">
        <v>0.0</v>
      </c>
      <c r="AE951" s="3">
        <v>0.0</v>
      </c>
      <c r="AF951" s="3">
        <v>0.0</v>
      </c>
      <c r="AG951" s="3">
        <v>0.0</v>
      </c>
    </row>
    <row r="952">
      <c r="A952" s="3" t="s">
        <v>2108</v>
      </c>
      <c r="B952" s="3" t="s">
        <v>2109</v>
      </c>
      <c r="C952" s="3" t="str">
        <f t="shared" si="1"/>
        <v>CV. Karya Utama Mandiri</v>
      </c>
      <c r="D952" s="3" t="s">
        <v>195</v>
      </c>
      <c r="E952" s="3" t="s">
        <v>85</v>
      </c>
      <c r="F952" s="3" t="s">
        <v>248</v>
      </c>
      <c r="G952" s="3" t="s">
        <v>70</v>
      </c>
      <c r="H952" s="3" t="str">
        <f t="array" ref="H952">XLOOKUP(G:G,'Account Manager Data'!A:A,'Account Manager Data'!B:B,0)</f>
        <v>Yusuf Hidayat</v>
      </c>
      <c r="I952" s="11" t="str">
        <f t="array" ref="I952">XLOOKUP($G:$G,'Account Manager Data'!$A:$A,'Account Manager Data'!C:C)</f>
        <v>Sumatera</v>
      </c>
      <c r="J952" s="17">
        <v>8126282.0</v>
      </c>
      <c r="K952" s="17">
        <v>2970944.0</v>
      </c>
      <c r="L952" s="17">
        <v>8820109.0</v>
      </c>
      <c r="M952" s="17">
        <v>6898872.0</v>
      </c>
      <c r="N952" s="17">
        <v>235534.0</v>
      </c>
      <c r="O952" s="17">
        <v>4935683.0</v>
      </c>
      <c r="P952" s="17">
        <v>1.3877318E7</v>
      </c>
      <c r="Q952" s="17">
        <v>6521511.0</v>
      </c>
      <c r="R952" s="17">
        <v>4519819.0</v>
      </c>
      <c r="S952" s="17">
        <v>1.1288623E7</v>
      </c>
      <c r="T952" s="17">
        <v>1509847.0</v>
      </c>
      <c r="U952" s="17">
        <v>7867425.0</v>
      </c>
      <c r="V952" s="11">
        <f t="array" ref="V952">XLOOKUP(A:A,'Raw Revenue'!A:A,'Raw Revenue'!B:B,0)
</f>
        <v>0</v>
      </c>
      <c r="W952" s="11">
        <f t="array" ref="W952">XLOOKUP(A:A,'Raw Revenue'!C:C,'Raw Revenue'!D:D,0)</f>
        <v>0</v>
      </c>
      <c r="X952" s="11">
        <f t="array" ref="X952">XLOOKUP(A:A,'Raw Revenue'!E:E,'Raw Revenue'!F:F,0)</f>
        <v>0</v>
      </c>
      <c r="Y952" s="11">
        <f t="array" ref="Y952">XLOOKUP(A:A,'Raw Revenue'!G:G,'Raw Revenue'!H:H,0)</f>
        <v>0</v>
      </c>
      <c r="Z952" s="11">
        <f t="array" ref="Z952">XLOOKUP(A:A,'Raw Revenue'!I:I,'Raw Revenue'!J:J,0)</f>
        <v>0</v>
      </c>
      <c r="AA952" s="11">
        <f t="array" ref="AA952">XLOOKUP(A:A,'Raw Revenue'!K:K,'Raw Revenue'!L:L,0)</f>
        <v>0</v>
      </c>
      <c r="AB952" s="11">
        <f t="array" ref="AB952">XLOOKUP(A:A,'Raw Revenue'!M:M,'Raw Revenue'!N:N,0)</f>
        <v>0</v>
      </c>
      <c r="AC952" s="3">
        <v>0.0</v>
      </c>
      <c r="AD952" s="3">
        <v>0.0</v>
      </c>
      <c r="AE952" s="3">
        <v>0.0</v>
      </c>
      <c r="AF952" s="3">
        <v>0.0</v>
      </c>
      <c r="AG952" s="3">
        <v>0.0</v>
      </c>
    </row>
    <row r="953">
      <c r="A953" s="3" t="s">
        <v>2110</v>
      </c>
      <c r="B953" s="3" t="s">
        <v>2111</v>
      </c>
      <c r="C953" s="3" t="str">
        <f t="shared" si="1"/>
        <v>PT. Pratama Jaya Sentosa</v>
      </c>
      <c r="D953" s="3" t="s">
        <v>84</v>
      </c>
      <c r="E953" s="3" t="s">
        <v>187</v>
      </c>
      <c r="F953" s="3" t="s">
        <v>188</v>
      </c>
      <c r="G953" s="3" t="s">
        <v>15</v>
      </c>
      <c r="H953" s="3" t="str">
        <f t="array" ref="H953">XLOOKUP(G:G,'Account Manager Data'!A:A,'Account Manager Data'!B:B,0)</f>
        <v>Rizky Maulana</v>
      </c>
      <c r="I953" s="11" t="str">
        <f t="array" ref="I953">XLOOKUP($G:$G,'Account Manager Data'!$A:$A,'Account Manager Data'!C:C)</f>
        <v>Jawa</v>
      </c>
      <c r="J953" s="17">
        <v>1496238.0</v>
      </c>
      <c r="K953" s="17">
        <v>4910440.0</v>
      </c>
      <c r="L953" s="17">
        <v>5327903.0</v>
      </c>
      <c r="M953" s="17">
        <v>4029947.0</v>
      </c>
      <c r="N953" s="17">
        <v>2911901.0</v>
      </c>
      <c r="O953" s="17">
        <v>1161730.0</v>
      </c>
      <c r="P953" s="17">
        <v>7198686.0</v>
      </c>
      <c r="Q953" s="17">
        <v>4782395.0</v>
      </c>
      <c r="R953" s="17">
        <v>1440059.0</v>
      </c>
      <c r="S953" s="17">
        <v>1.6971833E7</v>
      </c>
      <c r="T953" s="17">
        <v>1.9167409E7</v>
      </c>
      <c r="U953" s="17">
        <v>1.2066319E7</v>
      </c>
      <c r="V953" s="11">
        <f t="array" ref="V953">XLOOKUP(A:A,'Raw Revenue'!A:A,'Raw Revenue'!B:B,0)
</f>
        <v>0</v>
      </c>
      <c r="W953" s="11">
        <f t="array" ref="W953">XLOOKUP(A:A,'Raw Revenue'!C:C,'Raw Revenue'!D:D,0)</f>
        <v>0</v>
      </c>
      <c r="X953" s="11">
        <f t="array" ref="X953">XLOOKUP(A:A,'Raw Revenue'!E:E,'Raw Revenue'!F:F,0)</f>
        <v>0</v>
      </c>
      <c r="Y953" s="11">
        <f t="array" ref="Y953">XLOOKUP(A:A,'Raw Revenue'!G:G,'Raw Revenue'!H:H,0)</f>
        <v>0</v>
      </c>
      <c r="Z953" s="11">
        <f t="array" ref="Z953">XLOOKUP(A:A,'Raw Revenue'!I:I,'Raw Revenue'!J:J,0)</f>
        <v>0</v>
      </c>
      <c r="AA953" s="11">
        <f t="array" ref="AA953">XLOOKUP(A:A,'Raw Revenue'!K:K,'Raw Revenue'!L:L,0)</f>
        <v>0</v>
      </c>
      <c r="AB953" s="11">
        <f t="array" ref="AB953">XLOOKUP(A:A,'Raw Revenue'!M:M,'Raw Revenue'!N:N,0)</f>
        <v>0</v>
      </c>
      <c r="AC953" s="3">
        <v>0.0</v>
      </c>
      <c r="AD953" s="3">
        <v>0.0</v>
      </c>
      <c r="AE953" s="3">
        <v>0.0</v>
      </c>
      <c r="AF953" s="3">
        <v>0.0</v>
      </c>
      <c r="AG953" s="3">
        <v>0.0</v>
      </c>
    </row>
    <row r="954">
      <c r="A954" s="3" t="s">
        <v>2112</v>
      </c>
      <c r="B954" s="3" t="s">
        <v>2113</v>
      </c>
      <c r="C954" s="3" t="str">
        <f t="shared" si="1"/>
        <v>PT. Abadi Selamanya Jaya</v>
      </c>
      <c r="D954" s="3" t="s">
        <v>214</v>
      </c>
      <c r="E954" s="3" t="s">
        <v>187</v>
      </c>
      <c r="F954" s="3" t="s">
        <v>295</v>
      </c>
      <c r="G954" s="3" t="s">
        <v>53</v>
      </c>
      <c r="H954" s="3" t="str">
        <f t="array" ref="H954">XLOOKUP(G:G,'Account Manager Data'!A:A,'Account Manager Data'!B:B,0)</f>
        <v>Fajar Ramadhan</v>
      </c>
      <c r="I954" s="11" t="str">
        <f t="array" ref="I954">XLOOKUP($G:$G,'Account Manager Data'!$A:$A,'Account Manager Data'!C:C)</f>
        <v>Sulawesi</v>
      </c>
      <c r="J954" s="17">
        <v>3740890.0</v>
      </c>
      <c r="K954" s="17">
        <v>8096797.0</v>
      </c>
      <c r="L954" s="17">
        <v>361365.0</v>
      </c>
      <c r="M954" s="17">
        <v>6447458.0</v>
      </c>
      <c r="N954" s="17">
        <v>0.0</v>
      </c>
      <c r="O954" s="17">
        <v>1.5120032E7</v>
      </c>
      <c r="P954" s="17">
        <v>9437179.0</v>
      </c>
      <c r="Q954" s="17">
        <v>6767622.0</v>
      </c>
      <c r="R954" s="17">
        <v>0.0</v>
      </c>
      <c r="S954" s="17">
        <v>0.0</v>
      </c>
      <c r="T954" s="17">
        <v>3895433.0</v>
      </c>
      <c r="U954" s="17">
        <v>606986.0</v>
      </c>
      <c r="V954" s="11">
        <f t="array" ref="V954">XLOOKUP(A:A,'Raw Revenue'!A:A,'Raw Revenue'!B:B,0)
</f>
        <v>0</v>
      </c>
      <c r="W954" s="11">
        <f t="array" ref="W954">XLOOKUP(A:A,'Raw Revenue'!C:C,'Raw Revenue'!D:D,0)</f>
        <v>0</v>
      </c>
      <c r="X954" s="11">
        <f t="array" ref="X954">XLOOKUP(A:A,'Raw Revenue'!E:E,'Raw Revenue'!F:F,0)</f>
        <v>0</v>
      </c>
      <c r="Y954" s="11">
        <f t="array" ref="Y954">XLOOKUP(A:A,'Raw Revenue'!G:G,'Raw Revenue'!H:H,0)</f>
        <v>0</v>
      </c>
      <c r="Z954" s="11">
        <f t="array" ref="Z954">XLOOKUP(A:A,'Raw Revenue'!I:I,'Raw Revenue'!J:J,0)</f>
        <v>0</v>
      </c>
      <c r="AA954" s="11">
        <f t="array" ref="AA954">XLOOKUP(A:A,'Raw Revenue'!K:K,'Raw Revenue'!L:L,0)</f>
        <v>0</v>
      </c>
      <c r="AB954" s="11">
        <f t="array" ref="AB954">XLOOKUP(A:A,'Raw Revenue'!M:M,'Raw Revenue'!N:N,0)</f>
        <v>0</v>
      </c>
      <c r="AC954" s="3">
        <v>0.0</v>
      </c>
      <c r="AD954" s="3">
        <v>0.0</v>
      </c>
      <c r="AE954" s="3">
        <v>0.0</v>
      </c>
      <c r="AF954" s="3">
        <v>0.0</v>
      </c>
      <c r="AG954" s="3">
        <v>0.0</v>
      </c>
    </row>
    <row r="955">
      <c r="A955" s="3" t="s">
        <v>2114</v>
      </c>
      <c r="B955" s="3" t="s">
        <v>2115</v>
      </c>
      <c r="C955" s="3" t="str">
        <f t="shared" si="1"/>
        <v>PT. Mandiri Sejahtera Bersama</v>
      </c>
      <c r="D955" s="3" t="s">
        <v>84</v>
      </c>
      <c r="E955" s="3" t="s">
        <v>187</v>
      </c>
      <c r="F955" s="3" t="s">
        <v>295</v>
      </c>
      <c r="G955" s="3" t="s">
        <v>27</v>
      </c>
      <c r="H955" s="3" t="str">
        <f t="array" ref="H955">XLOOKUP(G:G,'Account Manager Data'!A:A,'Account Manager Data'!B:B,0)</f>
        <v>Dedi Kurniawan</v>
      </c>
      <c r="I955" s="11" t="str">
        <f t="array" ref="I955">XLOOKUP($G:$G,'Account Manager Data'!$A:$A,'Account Manager Data'!C:C)</f>
        <v>Kalimantan</v>
      </c>
      <c r="J955" s="17">
        <v>858039.0</v>
      </c>
      <c r="K955" s="17">
        <v>907291.0</v>
      </c>
      <c r="L955" s="17">
        <v>5620898.0</v>
      </c>
      <c r="M955" s="17">
        <v>2575318.0</v>
      </c>
      <c r="N955" s="17">
        <v>1.2294113E7</v>
      </c>
      <c r="O955" s="17">
        <v>680135.0</v>
      </c>
      <c r="P955" s="17">
        <v>0.0</v>
      </c>
      <c r="Q955" s="17">
        <v>4081742.0</v>
      </c>
      <c r="R955" s="17">
        <v>1.5673814E7</v>
      </c>
      <c r="S955" s="17">
        <v>798449.0</v>
      </c>
      <c r="T955" s="17">
        <v>1.2527641E7</v>
      </c>
      <c r="U955" s="17">
        <v>53568.0</v>
      </c>
      <c r="V955" s="11">
        <f t="array" ref="V955">XLOOKUP(A:A,'Raw Revenue'!A:A,'Raw Revenue'!B:B,0)
</f>
        <v>0</v>
      </c>
      <c r="W955" s="11">
        <f t="array" ref="W955">XLOOKUP(A:A,'Raw Revenue'!C:C,'Raw Revenue'!D:D,0)</f>
        <v>0</v>
      </c>
      <c r="X955" s="11">
        <f t="array" ref="X955">XLOOKUP(A:A,'Raw Revenue'!E:E,'Raw Revenue'!F:F,0)</f>
        <v>0</v>
      </c>
      <c r="Y955" s="11">
        <f t="array" ref="Y955">XLOOKUP(A:A,'Raw Revenue'!G:G,'Raw Revenue'!H:H,0)</f>
        <v>0</v>
      </c>
      <c r="Z955" s="11">
        <f t="array" ref="Z955">XLOOKUP(A:A,'Raw Revenue'!I:I,'Raw Revenue'!J:J,0)</f>
        <v>0</v>
      </c>
      <c r="AA955" s="11">
        <f t="array" ref="AA955">XLOOKUP(A:A,'Raw Revenue'!K:K,'Raw Revenue'!L:L,0)</f>
        <v>0</v>
      </c>
      <c r="AB955" s="11">
        <f t="array" ref="AB955">XLOOKUP(A:A,'Raw Revenue'!M:M,'Raw Revenue'!N:N,0)</f>
        <v>0</v>
      </c>
      <c r="AC955" s="3">
        <v>0.0</v>
      </c>
      <c r="AD955" s="3">
        <v>0.0</v>
      </c>
      <c r="AE955" s="3">
        <v>0.0</v>
      </c>
      <c r="AF955" s="3">
        <v>0.0</v>
      </c>
      <c r="AG955" s="3">
        <v>0.0</v>
      </c>
    </row>
    <row r="956">
      <c r="A956" s="3" t="s">
        <v>2116</v>
      </c>
      <c r="B956" s="3" t="s">
        <v>2117</v>
      </c>
      <c r="C956" s="3" t="str">
        <f t="shared" si="1"/>
        <v>PT. Sejahtera Alam Indonesia</v>
      </c>
      <c r="D956" s="3" t="s">
        <v>195</v>
      </c>
      <c r="E956" s="3" t="s">
        <v>196</v>
      </c>
      <c r="F956" s="3" t="s">
        <v>197</v>
      </c>
      <c r="G956" s="3" t="s">
        <v>78</v>
      </c>
      <c r="H956" s="3" t="str">
        <f t="array" ref="H956">XLOOKUP(G:G,'Account Manager Data'!A:A,'Account Manager Data'!B:B,0)</f>
        <v>Ilham Saputra</v>
      </c>
      <c r="I956" s="11" t="str">
        <f t="array" ref="I956">XLOOKUP($G:$G,'Account Manager Data'!$A:$A,'Account Manager Data'!C:C)</f>
        <v>Jawa</v>
      </c>
      <c r="J956" s="17">
        <v>7024848.0</v>
      </c>
      <c r="K956" s="17">
        <v>7634146.0</v>
      </c>
      <c r="L956" s="17">
        <v>9803094.0</v>
      </c>
      <c r="M956" s="17">
        <v>1760776.0</v>
      </c>
      <c r="N956" s="17">
        <v>0.0</v>
      </c>
      <c r="O956" s="17">
        <v>1.3131813E7</v>
      </c>
      <c r="P956" s="17">
        <v>7360516.0</v>
      </c>
      <c r="Q956" s="17">
        <v>0.0</v>
      </c>
      <c r="R956" s="17">
        <v>1.6572658E7</v>
      </c>
      <c r="S956" s="17">
        <v>1.3848702E7</v>
      </c>
      <c r="T956" s="17">
        <v>0.0</v>
      </c>
      <c r="U956" s="17">
        <v>3903191.0</v>
      </c>
      <c r="V956" s="11">
        <f t="array" ref="V956">XLOOKUP(A:A,'Raw Revenue'!A:A,'Raw Revenue'!B:B,0)
</f>
        <v>0</v>
      </c>
      <c r="W956" s="11">
        <f t="array" ref="W956">XLOOKUP(A:A,'Raw Revenue'!C:C,'Raw Revenue'!D:D,0)</f>
        <v>0</v>
      </c>
      <c r="X956" s="11">
        <f t="array" ref="X956">XLOOKUP(A:A,'Raw Revenue'!E:E,'Raw Revenue'!F:F,0)</f>
        <v>0</v>
      </c>
      <c r="Y956" s="11">
        <f t="array" ref="Y956">XLOOKUP(A:A,'Raw Revenue'!G:G,'Raw Revenue'!H:H,0)</f>
        <v>0</v>
      </c>
      <c r="Z956" s="11">
        <f t="array" ref="Z956">XLOOKUP(A:A,'Raw Revenue'!I:I,'Raw Revenue'!J:J,0)</f>
        <v>0</v>
      </c>
      <c r="AA956" s="11">
        <f t="array" ref="AA956">XLOOKUP(A:A,'Raw Revenue'!K:K,'Raw Revenue'!L:L,0)</f>
        <v>0</v>
      </c>
      <c r="AB956" s="11">
        <f t="array" ref="AB956">XLOOKUP(A:A,'Raw Revenue'!M:M,'Raw Revenue'!N:N,0)</f>
        <v>0</v>
      </c>
      <c r="AC956" s="3">
        <v>0.0</v>
      </c>
      <c r="AD956" s="3">
        <v>0.0</v>
      </c>
      <c r="AE956" s="3">
        <v>0.0</v>
      </c>
      <c r="AF956" s="3">
        <v>0.0</v>
      </c>
      <c r="AG956" s="3">
        <v>0.0</v>
      </c>
    </row>
    <row r="957">
      <c r="A957" s="3" t="s">
        <v>2118</v>
      </c>
      <c r="B957" s="3" t="s">
        <v>2119</v>
      </c>
      <c r="C957" s="3" t="str">
        <f t="shared" si="1"/>
        <v>PT. Indah Kargo Logistik</v>
      </c>
      <c r="D957" s="3" t="s">
        <v>214</v>
      </c>
      <c r="E957" s="3" t="s">
        <v>104</v>
      </c>
      <c r="F957" s="3" t="s">
        <v>252</v>
      </c>
      <c r="G957" s="3" t="s">
        <v>63</v>
      </c>
      <c r="H957" s="3" t="str">
        <f t="array" ref="H957">XLOOKUP(G:G,'Account Manager Data'!A:A,'Account Manager Data'!B:B,0)</f>
        <v>Hendra Gunawan</v>
      </c>
      <c r="I957" s="11" t="str">
        <f t="array" ref="I957">XLOOKUP($G:$G,'Account Manager Data'!$A:$A,'Account Manager Data'!C:C)</f>
        <v>Kalimantan</v>
      </c>
      <c r="J957" s="17">
        <v>1047015.0</v>
      </c>
      <c r="K957" s="17">
        <v>8276519.0</v>
      </c>
      <c r="L957" s="17">
        <v>2917646.0</v>
      </c>
      <c r="M957" s="17">
        <v>5608850.0</v>
      </c>
      <c r="N957" s="17">
        <v>0.0</v>
      </c>
      <c r="O957" s="17">
        <v>1.0275461E7</v>
      </c>
      <c r="P957" s="17">
        <v>1.3270865E7</v>
      </c>
      <c r="Q957" s="17">
        <v>1.3060316E7</v>
      </c>
      <c r="R957" s="17">
        <v>1.4864021E7</v>
      </c>
      <c r="S957" s="17">
        <v>5710274.0</v>
      </c>
      <c r="T957" s="17">
        <v>1.0189805E7</v>
      </c>
      <c r="U957" s="17">
        <v>1.2355436E7</v>
      </c>
      <c r="V957" s="11">
        <f t="array" ref="V957">XLOOKUP(A:A,'Raw Revenue'!A:A,'Raw Revenue'!B:B,0)
</f>
        <v>0</v>
      </c>
      <c r="W957" s="11">
        <f t="array" ref="W957">XLOOKUP(A:A,'Raw Revenue'!C:C,'Raw Revenue'!D:D,0)</f>
        <v>0</v>
      </c>
      <c r="X957" s="11">
        <f t="array" ref="X957">XLOOKUP(A:A,'Raw Revenue'!E:E,'Raw Revenue'!F:F,0)</f>
        <v>0</v>
      </c>
      <c r="Y957" s="11">
        <f t="array" ref="Y957">XLOOKUP(A:A,'Raw Revenue'!G:G,'Raw Revenue'!H:H,0)</f>
        <v>0</v>
      </c>
      <c r="Z957" s="11">
        <f t="array" ref="Z957">XLOOKUP(A:A,'Raw Revenue'!I:I,'Raw Revenue'!J:J,0)</f>
        <v>0</v>
      </c>
      <c r="AA957" s="11">
        <f t="array" ref="AA957">XLOOKUP(A:A,'Raw Revenue'!K:K,'Raw Revenue'!L:L,0)</f>
        <v>0</v>
      </c>
      <c r="AB957" s="11">
        <f t="array" ref="AB957">XLOOKUP(A:A,'Raw Revenue'!M:M,'Raw Revenue'!N:N,0)</f>
        <v>0</v>
      </c>
      <c r="AC957" s="3">
        <v>0.0</v>
      </c>
      <c r="AD957" s="3">
        <v>0.0</v>
      </c>
      <c r="AE957" s="3">
        <v>0.0</v>
      </c>
      <c r="AF957" s="3">
        <v>0.0</v>
      </c>
      <c r="AG957" s="3">
        <v>0.0</v>
      </c>
    </row>
    <row r="958">
      <c r="A958" s="3" t="s">
        <v>233</v>
      </c>
      <c r="B958" s="3" t="s">
        <v>2120</v>
      </c>
      <c r="C958" s="3" t="str">
        <f t="shared" si="1"/>
        <v>PT. Berkah Alam Semesta</v>
      </c>
      <c r="D958" s="3" t="s">
        <v>103</v>
      </c>
      <c r="E958" s="3" t="s">
        <v>196</v>
      </c>
      <c r="F958" s="3" t="s">
        <v>197</v>
      </c>
      <c r="G958" s="3" t="s">
        <v>35</v>
      </c>
      <c r="H958" s="3" t="str">
        <f t="array" ref="H958">XLOOKUP(G:G,'Account Manager Data'!A:A,'Account Manager Data'!B:B,0)</f>
        <v>Ahmad Fauzi</v>
      </c>
      <c r="I958" s="11" t="str">
        <f t="array" ref="I958">XLOOKUP($G:$G,'Account Manager Data'!$A:$A,'Account Manager Data'!C:C)</f>
        <v>Sumatera</v>
      </c>
      <c r="J958" s="17">
        <v>4584874.0</v>
      </c>
      <c r="K958" s="17">
        <v>6407798.0</v>
      </c>
      <c r="L958" s="17">
        <v>4316501.0</v>
      </c>
      <c r="M958" s="17">
        <v>1.1361302E7</v>
      </c>
      <c r="N958" s="17">
        <v>6467030.0</v>
      </c>
      <c r="O958" s="17">
        <v>1.2544185E7</v>
      </c>
      <c r="P958" s="17">
        <v>9562645.0</v>
      </c>
      <c r="Q958" s="17">
        <v>9764298.0</v>
      </c>
      <c r="R958" s="17">
        <v>6956292.0</v>
      </c>
      <c r="S958" s="17">
        <v>636134.0</v>
      </c>
      <c r="T958" s="17">
        <v>1.3020863E7</v>
      </c>
      <c r="U958" s="17">
        <v>5163131.0</v>
      </c>
      <c r="V958" s="11">
        <f t="array" ref="V958">XLOOKUP(A:A,'Raw Revenue'!A:A,'Raw Revenue'!B:B,0)
</f>
        <v>0</v>
      </c>
      <c r="W958" s="11">
        <f t="array" ref="W958">XLOOKUP(A:A,'Raw Revenue'!C:C,'Raw Revenue'!D:D,0)</f>
        <v>0</v>
      </c>
      <c r="X958" s="11">
        <f t="array" ref="X958">XLOOKUP(A:A,'Raw Revenue'!E:E,'Raw Revenue'!F:F,0)</f>
        <v>0</v>
      </c>
      <c r="Y958" s="11">
        <f t="array" ref="Y958">XLOOKUP(A:A,'Raw Revenue'!G:G,'Raw Revenue'!H:H,0)</f>
        <v>0</v>
      </c>
      <c r="Z958" s="11">
        <f t="array" ref="Z958">XLOOKUP(A:A,'Raw Revenue'!I:I,'Raw Revenue'!J:J,0)</f>
        <v>0</v>
      </c>
      <c r="AA958" s="11">
        <f t="array" ref="AA958">XLOOKUP(A:A,'Raw Revenue'!K:K,'Raw Revenue'!L:L,0)</f>
        <v>0</v>
      </c>
      <c r="AB958" s="11">
        <f t="array" ref="AB958">XLOOKUP(A:A,'Raw Revenue'!M:M,'Raw Revenue'!N:N,0)</f>
        <v>0</v>
      </c>
      <c r="AC958" s="3">
        <v>0.0</v>
      </c>
      <c r="AD958" s="3">
        <v>0.0</v>
      </c>
      <c r="AE958" s="3">
        <v>0.0</v>
      </c>
      <c r="AF958" s="3">
        <v>0.0</v>
      </c>
      <c r="AG958" s="3">
        <v>0.0</v>
      </c>
    </row>
    <row r="959">
      <c r="A959" s="3" t="s">
        <v>2121</v>
      </c>
      <c r="B959" s="3" t="s">
        <v>2122</v>
      </c>
      <c r="C959" s="3" t="str">
        <f t="shared" si="1"/>
        <v>PT. Cahaya Baru Indonesia</v>
      </c>
      <c r="D959" s="3" t="s">
        <v>195</v>
      </c>
      <c r="E959" s="3" t="s">
        <v>187</v>
      </c>
      <c r="F959" s="3" t="s">
        <v>269</v>
      </c>
      <c r="G959" s="3" t="s">
        <v>78</v>
      </c>
      <c r="H959" s="3" t="str">
        <f t="array" ref="H959">XLOOKUP(G:G,'Account Manager Data'!A:A,'Account Manager Data'!B:B,0)</f>
        <v>Ilham Saputra</v>
      </c>
      <c r="I959" s="11" t="str">
        <f t="array" ref="I959">XLOOKUP($G:$G,'Account Manager Data'!$A:$A,'Account Manager Data'!C:C)</f>
        <v>Jawa</v>
      </c>
      <c r="J959" s="17">
        <v>3746605.0</v>
      </c>
      <c r="K959" s="17">
        <v>3363501.0</v>
      </c>
      <c r="L959" s="17">
        <v>7604720.0</v>
      </c>
      <c r="M959" s="17">
        <v>1.1220124E7</v>
      </c>
      <c r="N959" s="17">
        <v>8569068.0</v>
      </c>
      <c r="O959" s="17">
        <v>955331.0</v>
      </c>
      <c r="P959" s="17">
        <v>1.1420398E7</v>
      </c>
      <c r="Q959" s="17">
        <v>3233871.0</v>
      </c>
      <c r="R959" s="17">
        <v>3871592.0</v>
      </c>
      <c r="S959" s="17">
        <v>1.6996616E7</v>
      </c>
      <c r="T959" s="17">
        <v>7962696.0</v>
      </c>
      <c r="U959" s="17">
        <v>126949.0</v>
      </c>
      <c r="V959" s="11">
        <f t="array" ref="V959">XLOOKUP(A:A,'Raw Revenue'!A:A,'Raw Revenue'!B:B,0)
</f>
        <v>0</v>
      </c>
      <c r="W959" s="11">
        <f t="array" ref="W959">XLOOKUP(A:A,'Raw Revenue'!C:C,'Raw Revenue'!D:D,0)</f>
        <v>0</v>
      </c>
      <c r="X959" s="11">
        <f t="array" ref="X959">XLOOKUP(A:A,'Raw Revenue'!E:E,'Raw Revenue'!F:F,0)</f>
        <v>0</v>
      </c>
      <c r="Y959" s="11">
        <f t="array" ref="Y959">XLOOKUP(A:A,'Raw Revenue'!G:G,'Raw Revenue'!H:H,0)</f>
        <v>0</v>
      </c>
      <c r="Z959" s="11">
        <f t="array" ref="Z959">XLOOKUP(A:A,'Raw Revenue'!I:I,'Raw Revenue'!J:J,0)</f>
        <v>0</v>
      </c>
      <c r="AA959" s="11">
        <f t="array" ref="AA959">XLOOKUP(A:A,'Raw Revenue'!K:K,'Raw Revenue'!L:L,0)</f>
        <v>0</v>
      </c>
      <c r="AB959" s="11">
        <f t="array" ref="AB959">XLOOKUP(A:A,'Raw Revenue'!M:M,'Raw Revenue'!N:N,0)</f>
        <v>0</v>
      </c>
      <c r="AC959" s="3">
        <v>0.0</v>
      </c>
      <c r="AD959" s="3">
        <v>0.0</v>
      </c>
      <c r="AE959" s="3">
        <v>0.0</v>
      </c>
      <c r="AF959" s="3">
        <v>0.0</v>
      </c>
      <c r="AG959" s="3">
        <v>0.0</v>
      </c>
    </row>
    <row r="960">
      <c r="A960" s="3" t="s">
        <v>2123</v>
      </c>
      <c r="B960" s="3" t="s">
        <v>2124</v>
      </c>
      <c r="C960" s="3" t="str">
        <f t="shared" si="1"/>
        <v>PT. Mentari Pagi Sejahtera</v>
      </c>
      <c r="D960" s="3" t="s">
        <v>84</v>
      </c>
      <c r="E960" s="3" t="s">
        <v>215</v>
      </c>
      <c r="F960" s="3" t="s">
        <v>227</v>
      </c>
      <c r="G960" s="3" t="s">
        <v>63</v>
      </c>
      <c r="H960" s="3" t="str">
        <f t="array" ref="H960">XLOOKUP(G:G,'Account Manager Data'!A:A,'Account Manager Data'!B:B,0)</f>
        <v>Hendra Gunawan</v>
      </c>
      <c r="I960" s="11" t="str">
        <f t="array" ref="I960">XLOOKUP($G:$G,'Account Manager Data'!$A:$A,'Account Manager Data'!C:C)</f>
        <v>Kalimantan</v>
      </c>
      <c r="J960" s="17">
        <v>7576993.0</v>
      </c>
      <c r="K960" s="17">
        <v>6029030.0</v>
      </c>
      <c r="L960" s="17">
        <v>9601703.0</v>
      </c>
      <c r="M960" s="17">
        <v>1.097517E7</v>
      </c>
      <c r="N960" s="17">
        <v>833337.0</v>
      </c>
      <c r="O960" s="17">
        <v>6844439.0</v>
      </c>
      <c r="P960" s="17">
        <v>5662882.0</v>
      </c>
      <c r="Q960" s="17">
        <v>1600861.0</v>
      </c>
      <c r="R960" s="17">
        <v>3147290.0</v>
      </c>
      <c r="S960" s="17">
        <v>1.4711726E7</v>
      </c>
      <c r="T960" s="17">
        <v>1.8298704E7</v>
      </c>
      <c r="U960" s="17">
        <v>1113184.0</v>
      </c>
      <c r="V960" s="11">
        <f t="array" ref="V960">XLOOKUP(A:A,'Raw Revenue'!A:A,'Raw Revenue'!B:B,0)
</f>
        <v>0</v>
      </c>
      <c r="W960" s="11">
        <f t="array" ref="W960">XLOOKUP(A:A,'Raw Revenue'!C:C,'Raw Revenue'!D:D,0)</f>
        <v>0</v>
      </c>
      <c r="X960" s="11">
        <f t="array" ref="X960">XLOOKUP(A:A,'Raw Revenue'!E:E,'Raw Revenue'!F:F,0)</f>
        <v>0</v>
      </c>
      <c r="Y960" s="11">
        <f t="array" ref="Y960">XLOOKUP(A:A,'Raw Revenue'!G:G,'Raw Revenue'!H:H,0)</f>
        <v>0</v>
      </c>
      <c r="Z960" s="11">
        <f t="array" ref="Z960">XLOOKUP(A:A,'Raw Revenue'!I:I,'Raw Revenue'!J:J,0)</f>
        <v>0</v>
      </c>
      <c r="AA960" s="11">
        <f t="array" ref="AA960">XLOOKUP(A:A,'Raw Revenue'!K:K,'Raw Revenue'!L:L,0)</f>
        <v>0</v>
      </c>
      <c r="AB960" s="11">
        <f t="array" ref="AB960">XLOOKUP(A:A,'Raw Revenue'!M:M,'Raw Revenue'!N:N,0)</f>
        <v>0</v>
      </c>
      <c r="AC960" s="3">
        <v>0.0</v>
      </c>
      <c r="AD960" s="3">
        <v>0.0</v>
      </c>
      <c r="AE960" s="3">
        <v>0.0</v>
      </c>
      <c r="AF960" s="3">
        <v>0.0</v>
      </c>
      <c r="AG960" s="3">
        <v>0.0</v>
      </c>
    </row>
    <row r="961">
      <c r="A961" s="3" t="s">
        <v>316</v>
      </c>
      <c r="B961" s="3" t="s">
        <v>2125</v>
      </c>
      <c r="C961" s="3" t="str">
        <f t="shared" si="1"/>
        <v>PT. Bintang Kejora Nusantara</v>
      </c>
      <c r="D961" s="3" t="s">
        <v>103</v>
      </c>
      <c r="E961" s="3" t="s">
        <v>104</v>
      </c>
      <c r="F961" s="3" t="s">
        <v>105</v>
      </c>
      <c r="G961" s="3" t="s">
        <v>53</v>
      </c>
      <c r="H961" s="3" t="str">
        <f t="array" ref="H961">XLOOKUP(G:G,'Account Manager Data'!A:A,'Account Manager Data'!B:B,0)</f>
        <v>Fajar Ramadhan</v>
      </c>
      <c r="I961" s="11" t="str">
        <f t="array" ref="I961">XLOOKUP($G:$G,'Account Manager Data'!$A:$A,'Account Manager Data'!C:C)</f>
        <v>Sulawesi</v>
      </c>
      <c r="J961" s="17">
        <v>200071.0</v>
      </c>
      <c r="K961" s="17">
        <v>935764.0</v>
      </c>
      <c r="L961" s="17">
        <v>0.0</v>
      </c>
      <c r="M961" s="17">
        <v>1680562.0</v>
      </c>
      <c r="N961" s="17">
        <v>7940311.0</v>
      </c>
      <c r="O961" s="17">
        <v>5320537.0</v>
      </c>
      <c r="P961" s="17">
        <v>1.4045537E7</v>
      </c>
      <c r="Q961" s="17">
        <v>1.1644612E7</v>
      </c>
      <c r="R961" s="17">
        <v>7168885.0</v>
      </c>
      <c r="S961" s="17">
        <v>487693.0</v>
      </c>
      <c r="T961" s="17">
        <v>374962.0</v>
      </c>
      <c r="U961" s="17">
        <v>8725512.0</v>
      </c>
      <c r="V961" s="11">
        <f t="array" ref="V961">XLOOKUP(A:A,'Raw Revenue'!A:A,'Raw Revenue'!B:B,0)
</f>
        <v>5569607.424</v>
      </c>
      <c r="W961" s="11">
        <f t="array" ref="W961">XLOOKUP(A:A,'Raw Revenue'!C:C,'Raw Revenue'!D:D,0)</f>
        <v>5569607.424</v>
      </c>
      <c r="X961" s="11">
        <f t="array" ref="X961">XLOOKUP(A:A,'Raw Revenue'!E:E,'Raw Revenue'!F:F,0)</f>
        <v>11139214.85</v>
      </c>
      <c r="Y961" s="11">
        <f t="array" ref="Y961">XLOOKUP(A:A,'Raw Revenue'!G:G,'Raw Revenue'!H:H,0)</f>
        <v>9097025.458</v>
      </c>
      <c r="Z961" s="11">
        <f t="array" ref="Z961">XLOOKUP(A:A,'Raw Revenue'!I:I,'Raw Revenue'!J:J,0)</f>
        <v>8168757.554</v>
      </c>
      <c r="AA961" s="11">
        <f t="array" ref="AA961">XLOOKUP(A:A,'Raw Revenue'!K:K,'Raw Revenue'!L:L,0)</f>
        <v>20886027.84</v>
      </c>
      <c r="AB961" s="11">
        <f t="array" ref="AB961">XLOOKUP(A:A,'Raw Revenue'!M:M,'Raw Revenue'!N:N,0)</f>
        <v>19215145.61</v>
      </c>
      <c r="AC961" s="3">
        <v>0.0</v>
      </c>
      <c r="AD961" s="3">
        <v>0.0</v>
      </c>
      <c r="AE961" s="3">
        <v>0.0</v>
      </c>
      <c r="AF961" s="3">
        <v>0.0</v>
      </c>
      <c r="AG961" s="3">
        <v>0.0</v>
      </c>
    </row>
    <row r="962">
      <c r="A962" s="3" t="s">
        <v>440</v>
      </c>
      <c r="B962" s="3" t="s">
        <v>2126</v>
      </c>
      <c r="C962" s="3" t="str">
        <f t="shared" si="1"/>
        <v>PT. Maju Jaya</v>
      </c>
      <c r="D962" s="3" t="s">
        <v>103</v>
      </c>
      <c r="E962" s="3" t="s">
        <v>196</v>
      </c>
      <c r="F962" s="3" t="s">
        <v>315</v>
      </c>
      <c r="G962" s="3" t="s">
        <v>78</v>
      </c>
      <c r="H962" s="3" t="str">
        <f t="array" ref="H962">XLOOKUP(G:G,'Account Manager Data'!A:A,'Account Manager Data'!B:B,0)</f>
        <v>Ilham Saputra</v>
      </c>
      <c r="I962" s="11" t="str">
        <f t="array" ref="I962">XLOOKUP($G:$G,'Account Manager Data'!$A:$A,'Account Manager Data'!C:C)</f>
        <v>Jawa</v>
      </c>
      <c r="J962" s="17">
        <v>4657095.0</v>
      </c>
      <c r="K962" s="17">
        <v>166396.0</v>
      </c>
      <c r="L962" s="17">
        <v>5752782.0</v>
      </c>
      <c r="M962" s="17">
        <v>8715806.0</v>
      </c>
      <c r="N962" s="17">
        <v>1932646.0</v>
      </c>
      <c r="O962" s="17">
        <v>1.1742086E7</v>
      </c>
      <c r="P962" s="17">
        <v>9484802.0</v>
      </c>
      <c r="Q962" s="17">
        <v>1860665.0</v>
      </c>
      <c r="R962" s="17">
        <v>6465016.0</v>
      </c>
      <c r="S962" s="17">
        <v>0.0</v>
      </c>
      <c r="T962" s="17">
        <v>1.7295283E7</v>
      </c>
      <c r="U962" s="17">
        <v>1.0731816E7</v>
      </c>
      <c r="V962" s="11">
        <f t="array" ref="V962">XLOOKUP(A:A,'Raw Revenue'!A:A,'Raw Revenue'!B:B,0)
</f>
        <v>1785130.584</v>
      </c>
      <c r="W962" s="11">
        <f t="array" ref="W962">XLOOKUP(A:A,'Raw Revenue'!C:C,'Raw Revenue'!D:D,0)</f>
        <v>892565.2922</v>
      </c>
      <c r="X962" s="11">
        <f t="array" ref="X962">XLOOKUP(A:A,'Raw Revenue'!E:E,'Raw Revenue'!F:F,0)</f>
        <v>535539.1753</v>
      </c>
      <c r="Y962" s="11">
        <f t="array" ref="Y962">XLOOKUP(A:A,'Raw Revenue'!G:G,'Raw Revenue'!H:H,0)</f>
        <v>6247957.046</v>
      </c>
      <c r="Z962" s="11">
        <f t="array" ref="Z962">XLOOKUP(A:A,'Raw Revenue'!I:I,'Raw Revenue'!J:J,0)</f>
        <v>1428104.468</v>
      </c>
      <c r="AA962" s="11">
        <f t="array" ref="AA962">XLOOKUP(A:A,'Raw Revenue'!K:K,'Raw Revenue'!L:L,0)</f>
        <v>40165.43815</v>
      </c>
      <c r="AB962" s="11">
        <f t="array" ref="AB962">XLOOKUP(A:A,'Raw Revenue'!M:M,'Raw Revenue'!N:N,0)</f>
        <v>5382168.712</v>
      </c>
      <c r="AC962" s="3">
        <v>0.0</v>
      </c>
      <c r="AD962" s="3">
        <v>0.0</v>
      </c>
      <c r="AE962" s="3">
        <v>0.0</v>
      </c>
      <c r="AF962" s="3">
        <v>0.0</v>
      </c>
      <c r="AG962" s="3">
        <v>0.0</v>
      </c>
    </row>
    <row r="963">
      <c r="A963" s="3" t="s">
        <v>2127</v>
      </c>
      <c r="B963" s="3" t="s">
        <v>2128</v>
      </c>
      <c r="C963" s="3" t="str">
        <f t="shared" si="1"/>
        <v>CV. Sumber Makmur</v>
      </c>
      <c r="D963" s="3" t="s">
        <v>84</v>
      </c>
      <c r="E963" s="3" t="s">
        <v>215</v>
      </c>
      <c r="F963" s="3" t="s">
        <v>227</v>
      </c>
      <c r="G963" s="3" t="s">
        <v>15</v>
      </c>
      <c r="H963" s="3" t="str">
        <f t="array" ref="H963">XLOOKUP(G:G,'Account Manager Data'!A:A,'Account Manager Data'!B:B,0)</f>
        <v>Rizky Maulana</v>
      </c>
      <c r="I963" s="11" t="str">
        <f t="array" ref="I963">XLOOKUP($G:$G,'Account Manager Data'!$A:$A,'Account Manager Data'!C:C)</f>
        <v>Jawa</v>
      </c>
      <c r="J963" s="17">
        <v>7095023.0</v>
      </c>
      <c r="K963" s="17">
        <v>6437016.0</v>
      </c>
      <c r="L963" s="17">
        <v>187224.0</v>
      </c>
      <c r="M963" s="17">
        <v>0.0</v>
      </c>
      <c r="N963" s="17">
        <v>279800.0</v>
      </c>
      <c r="O963" s="17">
        <v>7946405.0</v>
      </c>
      <c r="P963" s="17">
        <v>9157537.0</v>
      </c>
      <c r="Q963" s="17">
        <v>2248770.0</v>
      </c>
      <c r="R963" s="17">
        <v>7728781.0</v>
      </c>
      <c r="S963" s="17">
        <v>2712377.0</v>
      </c>
      <c r="T963" s="17">
        <v>3995580.0</v>
      </c>
      <c r="U963" s="17">
        <v>0.0</v>
      </c>
      <c r="V963" s="11">
        <f t="array" ref="V963">XLOOKUP(A:A,'Raw Revenue'!A:A,'Raw Revenue'!B:B,0)
</f>
        <v>0</v>
      </c>
      <c r="W963" s="11">
        <f t="array" ref="W963">XLOOKUP(A:A,'Raw Revenue'!C:C,'Raw Revenue'!D:D,0)</f>
        <v>0</v>
      </c>
      <c r="X963" s="11">
        <f t="array" ref="X963">XLOOKUP(A:A,'Raw Revenue'!E:E,'Raw Revenue'!F:F,0)</f>
        <v>0</v>
      </c>
      <c r="Y963" s="11">
        <f t="array" ref="Y963">XLOOKUP(A:A,'Raw Revenue'!G:G,'Raw Revenue'!H:H,0)</f>
        <v>0</v>
      </c>
      <c r="Z963" s="11">
        <f t="array" ref="Z963">XLOOKUP(A:A,'Raw Revenue'!I:I,'Raw Revenue'!J:J,0)</f>
        <v>0</v>
      </c>
      <c r="AA963" s="11">
        <f t="array" ref="AA963">XLOOKUP(A:A,'Raw Revenue'!K:K,'Raw Revenue'!L:L,0)</f>
        <v>0</v>
      </c>
      <c r="AB963" s="11">
        <f t="array" ref="AB963">XLOOKUP(A:A,'Raw Revenue'!M:M,'Raw Revenue'!N:N,0)</f>
        <v>0</v>
      </c>
      <c r="AC963" s="3">
        <v>0.0</v>
      </c>
      <c r="AD963" s="3">
        <v>0.0</v>
      </c>
      <c r="AE963" s="3">
        <v>0.0</v>
      </c>
      <c r="AF963" s="3">
        <v>0.0</v>
      </c>
      <c r="AG963" s="3">
        <v>0.0</v>
      </c>
    </row>
    <row r="964">
      <c r="A964" s="3" t="s">
        <v>2129</v>
      </c>
      <c r="B964" s="3" t="s">
        <v>2130</v>
      </c>
      <c r="C964" s="3" t="str">
        <f t="shared" si="1"/>
        <v>PT. Teknologi Nusantara</v>
      </c>
      <c r="D964" s="3" t="s">
        <v>130</v>
      </c>
      <c r="E964" s="3" t="s">
        <v>85</v>
      </c>
      <c r="F964" s="3" t="s">
        <v>248</v>
      </c>
      <c r="G964" s="3" t="s">
        <v>74</v>
      </c>
      <c r="H964" s="3" t="str">
        <f t="array" ref="H964">XLOOKUP(G:G,'Account Manager Data'!A:A,'Account Manager Data'!B:B,0)</f>
        <v>Budi Santoso</v>
      </c>
      <c r="I964" s="11" t="str">
        <f t="array" ref="I964">XLOOKUP($G:$G,'Account Manager Data'!$A:$A,'Account Manager Data'!C:C)</f>
        <v>Papua</v>
      </c>
      <c r="J964" s="17">
        <v>1615478.0</v>
      </c>
      <c r="K964" s="17">
        <v>1842626.0</v>
      </c>
      <c r="L964" s="17">
        <v>5312186.0</v>
      </c>
      <c r="M964" s="17">
        <v>1.184436E7</v>
      </c>
      <c r="N964" s="17">
        <v>6908159.0</v>
      </c>
      <c r="O964" s="17">
        <v>1.1650916E7</v>
      </c>
      <c r="P964" s="17">
        <v>1.2523535E7</v>
      </c>
      <c r="Q964" s="17">
        <v>1.5848004E7</v>
      </c>
      <c r="R964" s="17">
        <v>7754097.0</v>
      </c>
      <c r="S964" s="17">
        <v>4250477.0</v>
      </c>
      <c r="T964" s="17">
        <v>1.34917E7</v>
      </c>
      <c r="U964" s="17">
        <v>1.6396846E7</v>
      </c>
      <c r="V964" s="11">
        <f t="array" ref="V964">XLOOKUP(A:A,'Raw Revenue'!A:A,'Raw Revenue'!B:B,0)
</f>
        <v>0</v>
      </c>
      <c r="W964" s="11">
        <f t="array" ref="W964">XLOOKUP(A:A,'Raw Revenue'!C:C,'Raw Revenue'!D:D,0)</f>
        <v>0</v>
      </c>
      <c r="X964" s="11">
        <f t="array" ref="X964">XLOOKUP(A:A,'Raw Revenue'!E:E,'Raw Revenue'!F:F,0)</f>
        <v>0</v>
      </c>
      <c r="Y964" s="11">
        <f t="array" ref="Y964">XLOOKUP(A:A,'Raw Revenue'!G:G,'Raw Revenue'!H:H,0)</f>
        <v>0</v>
      </c>
      <c r="Z964" s="11">
        <f t="array" ref="Z964">XLOOKUP(A:A,'Raw Revenue'!I:I,'Raw Revenue'!J:J,0)</f>
        <v>0</v>
      </c>
      <c r="AA964" s="11">
        <f t="array" ref="AA964">XLOOKUP(A:A,'Raw Revenue'!K:K,'Raw Revenue'!L:L,0)</f>
        <v>0</v>
      </c>
      <c r="AB964" s="11">
        <f t="array" ref="AB964">XLOOKUP(A:A,'Raw Revenue'!M:M,'Raw Revenue'!N:N,0)</f>
        <v>0</v>
      </c>
      <c r="AC964" s="3">
        <v>0.0</v>
      </c>
      <c r="AD964" s="3">
        <v>0.0</v>
      </c>
      <c r="AE964" s="3">
        <v>0.0</v>
      </c>
      <c r="AF964" s="3">
        <v>0.0</v>
      </c>
      <c r="AG964" s="3">
        <v>0.0</v>
      </c>
    </row>
    <row r="965">
      <c r="A965" s="3" t="s">
        <v>2131</v>
      </c>
      <c r="B965" s="3" t="s">
        <v>2132</v>
      </c>
      <c r="C965" s="3" t="str">
        <f t="shared" si="1"/>
        <v>PT. Bakti Indonesia</v>
      </c>
      <c r="D965" s="3" t="s">
        <v>195</v>
      </c>
      <c r="E965" s="3" t="s">
        <v>187</v>
      </c>
      <c r="F965" s="3" t="s">
        <v>295</v>
      </c>
      <c r="G965" s="3" t="s">
        <v>27</v>
      </c>
      <c r="H965" s="3" t="str">
        <f t="array" ref="H965">XLOOKUP(G:G,'Account Manager Data'!A:A,'Account Manager Data'!B:B,0)</f>
        <v>Dedi Kurniawan</v>
      </c>
      <c r="I965" s="11" t="str">
        <f t="array" ref="I965">XLOOKUP($G:$G,'Account Manager Data'!$A:$A,'Account Manager Data'!C:C)</f>
        <v>Kalimantan</v>
      </c>
      <c r="J965" s="17">
        <v>5832767.0</v>
      </c>
      <c r="K965" s="17">
        <v>3535853.0</v>
      </c>
      <c r="L965" s="17">
        <v>6191372.0</v>
      </c>
      <c r="M965" s="17">
        <v>3463332.0</v>
      </c>
      <c r="N965" s="17">
        <v>2406480.0</v>
      </c>
      <c r="O965" s="17">
        <v>7932074.0</v>
      </c>
      <c r="P965" s="17">
        <v>1.0465474E7</v>
      </c>
      <c r="Q965" s="17">
        <v>2748022.0</v>
      </c>
      <c r="R965" s="17">
        <v>1.1311034E7</v>
      </c>
      <c r="S965" s="17">
        <v>1.3675667E7</v>
      </c>
      <c r="T965" s="17">
        <v>5415593.0</v>
      </c>
      <c r="U965" s="17">
        <v>8112032.0</v>
      </c>
      <c r="V965" s="11">
        <f t="array" ref="V965">XLOOKUP(A:A,'Raw Revenue'!A:A,'Raw Revenue'!B:B,0)
</f>
        <v>0</v>
      </c>
      <c r="W965" s="11">
        <f t="array" ref="W965">XLOOKUP(A:A,'Raw Revenue'!C:C,'Raw Revenue'!D:D,0)</f>
        <v>0</v>
      </c>
      <c r="X965" s="11">
        <f t="array" ref="X965">XLOOKUP(A:A,'Raw Revenue'!E:E,'Raw Revenue'!F:F,0)</f>
        <v>0</v>
      </c>
      <c r="Y965" s="11">
        <f t="array" ref="Y965">XLOOKUP(A:A,'Raw Revenue'!G:G,'Raw Revenue'!H:H,0)</f>
        <v>0</v>
      </c>
      <c r="Z965" s="11">
        <f t="array" ref="Z965">XLOOKUP(A:A,'Raw Revenue'!I:I,'Raw Revenue'!J:J,0)</f>
        <v>0</v>
      </c>
      <c r="AA965" s="11">
        <f t="array" ref="AA965">XLOOKUP(A:A,'Raw Revenue'!K:K,'Raw Revenue'!L:L,0)</f>
        <v>0</v>
      </c>
      <c r="AB965" s="11">
        <f t="array" ref="AB965">XLOOKUP(A:A,'Raw Revenue'!M:M,'Raw Revenue'!N:N,0)</f>
        <v>0</v>
      </c>
      <c r="AC965" s="3">
        <v>0.0</v>
      </c>
      <c r="AD965" s="3">
        <v>0.0</v>
      </c>
      <c r="AE965" s="3">
        <v>0.0</v>
      </c>
      <c r="AF965" s="3">
        <v>0.0</v>
      </c>
      <c r="AG965" s="3">
        <v>0.0</v>
      </c>
    </row>
    <row r="966">
      <c r="A966" s="3" t="s">
        <v>2133</v>
      </c>
      <c r="B966" s="3" t="s">
        <v>2134</v>
      </c>
      <c r="C966" s="3" t="str">
        <f t="shared" si="1"/>
        <v>CV. Amanah Sejahtera</v>
      </c>
      <c r="D966" s="3" t="s">
        <v>186</v>
      </c>
      <c r="E966" s="3" t="s">
        <v>187</v>
      </c>
      <c r="F966" s="3" t="s">
        <v>188</v>
      </c>
      <c r="G966" s="3" t="s">
        <v>76</v>
      </c>
      <c r="H966" s="3" t="str">
        <f t="array" ref="H966">XLOOKUP(G:G,'Account Manager Data'!A:A,'Account Manager Data'!B:B,0)</f>
        <v>Teguh Wijaya</v>
      </c>
      <c r="I966" s="11" t="str">
        <f t="array" ref="I966">XLOOKUP($G:$G,'Account Manager Data'!$A:$A,'Account Manager Data'!C:C)</f>
        <v>Sulawesi</v>
      </c>
      <c r="J966" s="17">
        <v>446921.0</v>
      </c>
      <c r="K966" s="17">
        <v>3281206.0</v>
      </c>
      <c r="L966" s="17">
        <v>7373945.0</v>
      </c>
      <c r="M966" s="17">
        <v>5071306.0</v>
      </c>
      <c r="N966" s="17">
        <v>5698845.0</v>
      </c>
      <c r="O966" s="17">
        <v>2115707.0</v>
      </c>
      <c r="P966" s="17">
        <v>1.3173228E7</v>
      </c>
      <c r="Q966" s="17">
        <v>1.4198329E7</v>
      </c>
      <c r="R966" s="17">
        <v>1.3854943E7</v>
      </c>
      <c r="S966" s="17">
        <v>2215563.0</v>
      </c>
      <c r="T966" s="17">
        <v>3048263.0</v>
      </c>
      <c r="U966" s="17">
        <v>1.8001695E7</v>
      </c>
      <c r="V966" s="11">
        <f t="array" ref="V966">XLOOKUP(A:A,'Raw Revenue'!A:A,'Raw Revenue'!B:B,0)
</f>
        <v>0</v>
      </c>
      <c r="W966" s="11">
        <f t="array" ref="W966">XLOOKUP(A:A,'Raw Revenue'!C:C,'Raw Revenue'!D:D,0)</f>
        <v>0</v>
      </c>
      <c r="X966" s="11">
        <f t="array" ref="X966">XLOOKUP(A:A,'Raw Revenue'!E:E,'Raw Revenue'!F:F,0)</f>
        <v>0</v>
      </c>
      <c r="Y966" s="11">
        <f t="array" ref="Y966">XLOOKUP(A:A,'Raw Revenue'!G:G,'Raw Revenue'!H:H,0)</f>
        <v>0</v>
      </c>
      <c r="Z966" s="11">
        <f t="array" ref="Z966">XLOOKUP(A:A,'Raw Revenue'!I:I,'Raw Revenue'!J:J,0)</f>
        <v>0</v>
      </c>
      <c r="AA966" s="11">
        <f t="array" ref="AA966">XLOOKUP(A:A,'Raw Revenue'!K:K,'Raw Revenue'!L:L,0)</f>
        <v>0</v>
      </c>
      <c r="AB966" s="11">
        <f t="array" ref="AB966">XLOOKUP(A:A,'Raw Revenue'!M:M,'Raw Revenue'!N:N,0)</f>
        <v>0</v>
      </c>
      <c r="AC966" s="3">
        <v>0.0</v>
      </c>
      <c r="AD966" s="3">
        <v>0.0</v>
      </c>
      <c r="AE966" s="3">
        <v>0.0</v>
      </c>
      <c r="AF966" s="3">
        <v>0.0</v>
      </c>
      <c r="AG966" s="3">
        <v>0.0</v>
      </c>
    </row>
    <row r="967">
      <c r="A967" s="3" t="s">
        <v>2135</v>
      </c>
      <c r="B967" s="3" t="s">
        <v>2136</v>
      </c>
      <c r="C967" s="3" t="str">
        <f t="shared" si="1"/>
        <v>PT. Digital Solusi Pratama</v>
      </c>
      <c r="D967" s="3" t="s">
        <v>214</v>
      </c>
      <c r="E967" s="3" t="s">
        <v>215</v>
      </c>
      <c r="F967" s="3" t="s">
        <v>227</v>
      </c>
      <c r="G967" s="3" t="s">
        <v>43</v>
      </c>
      <c r="H967" s="3" t="str">
        <f t="array" ref="H967">XLOOKUP(G:G,'Account Manager Data'!A:A,'Account Manager Data'!B:B,0)</f>
        <v>Eko Prasetyo</v>
      </c>
      <c r="I967" s="11" t="str">
        <f t="array" ref="I967">XLOOKUP($G:$G,'Account Manager Data'!$A:$A,'Account Manager Data'!C:C)</f>
        <v>Papua</v>
      </c>
      <c r="J967" s="17">
        <v>4089157.0</v>
      </c>
      <c r="K967" s="17">
        <v>561981.0</v>
      </c>
      <c r="L967" s="17">
        <v>8132697.0</v>
      </c>
      <c r="M967" s="17">
        <v>1.000844E7</v>
      </c>
      <c r="N967" s="17">
        <v>1.1713988E7</v>
      </c>
      <c r="O967" s="17">
        <v>3668528.0</v>
      </c>
      <c r="P967" s="17">
        <v>1.3403437E7</v>
      </c>
      <c r="Q967" s="17">
        <v>5726126.0</v>
      </c>
      <c r="R967" s="17">
        <v>1.5171475E7</v>
      </c>
      <c r="S967" s="17">
        <v>1.1702978E7</v>
      </c>
      <c r="T967" s="17">
        <v>1.8444951E7</v>
      </c>
      <c r="U967" s="17">
        <v>4819954.0</v>
      </c>
      <c r="V967" s="11">
        <f t="array" ref="V967">XLOOKUP(A:A,'Raw Revenue'!A:A,'Raw Revenue'!B:B,0)
</f>
        <v>0</v>
      </c>
      <c r="W967" s="11">
        <f t="array" ref="W967">XLOOKUP(A:A,'Raw Revenue'!C:C,'Raw Revenue'!D:D,0)</f>
        <v>0</v>
      </c>
      <c r="X967" s="11">
        <f t="array" ref="X967">XLOOKUP(A:A,'Raw Revenue'!E:E,'Raw Revenue'!F:F,0)</f>
        <v>0</v>
      </c>
      <c r="Y967" s="11">
        <f t="array" ref="Y967">XLOOKUP(A:A,'Raw Revenue'!G:G,'Raw Revenue'!H:H,0)</f>
        <v>0</v>
      </c>
      <c r="Z967" s="11">
        <f t="array" ref="Z967">XLOOKUP(A:A,'Raw Revenue'!I:I,'Raw Revenue'!J:J,0)</f>
        <v>0</v>
      </c>
      <c r="AA967" s="11">
        <f t="array" ref="AA967">XLOOKUP(A:A,'Raw Revenue'!K:K,'Raw Revenue'!L:L,0)</f>
        <v>0</v>
      </c>
      <c r="AB967" s="11">
        <f t="array" ref="AB967">XLOOKUP(A:A,'Raw Revenue'!M:M,'Raw Revenue'!N:N,0)</f>
        <v>0</v>
      </c>
      <c r="AC967" s="3">
        <v>0.0</v>
      </c>
      <c r="AD967" s="3">
        <v>0.0</v>
      </c>
      <c r="AE967" s="3">
        <v>0.0</v>
      </c>
      <c r="AF967" s="3">
        <v>0.0</v>
      </c>
      <c r="AG967" s="3">
        <v>0.0</v>
      </c>
    </row>
    <row r="968">
      <c r="A968" s="3" t="s">
        <v>2137</v>
      </c>
      <c r="B968" s="3" t="s">
        <v>2138</v>
      </c>
      <c r="C968" s="3" t="str">
        <f t="shared" si="1"/>
        <v>PT. Global Niaga Abadi</v>
      </c>
      <c r="D968" s="3" t="s">
        <v>130</v>
      </c>
      <c r="E968" s="3" t="s">
        <v>104</v>
      </c>
      <c r="F968" s="3" t="s">
        <v>252</v>
      </c>
      <c r="G968" s="3" t="s">
        <v>70</v>
      </c>
      <c r="H968" s="3" t="str">
        <f t="array" ref="H968">XLOOKUP(G:G,'Account Manager Data'!A:A,'Account Manager Data'!B:B,0)</f>
        <v>Yusuf Hidayat</v>
      </c>
      <c r="I968" s="11" t="str">
        <f t="array" ref="I968">XLOOKUP($G:$G,'Account Manager Data'!$A:$A,'Account Manager Data'!C:C)</f>
        <v>Sumatera</v>
      </c>
      <c r="J968" s="17">
        <v>5277830.0</v>
      </c>
      <c r="K968" s="17">
        <v>3843903.0</v>
      </c>
      <c r="L968" s="17">
        <v>4038493.0</v>
      </c>
      <c r="M968" s="17">
        <v>8244972.0</v>
      </c>
      <c r="N968" s="17">
        <v>1.045944E7</v>
      </c>
      <c r="O968" s="17">
        <v>2781543.0</v>
      </c>
      <c r="P968" s="17">
        <v>9278322.0</v>
      </c>
      <c r="Q968" s="17">
        <v>1.0490913E7</v>
      </c>
      <c r="R968" s="17">
        <v>1.0930882E7</v>
      </c>
      <c r="S968" s="17">
        <v>0.0</v>
      </c>
      <c r="T968" s="17">
        <v>1.2158805E7</v>
      </c>
      <c r="U968" s="17">
        <v>0.0</v>
      </c>
      <c r="V968" s="11">
        <f t="array" ref="V968">XLOOKUP(A:A,'Raw Revenue'!A:A,'Raw Revenue'!B:B,0)
</f>
        <v>0</v>
      </c>
      <c r="W968" s="11">
        <f t="array" ref="W968">XLOOKUP(A:A,'Raw Revenue'!C:C,'Raw Revenue'!D:D,0)</f>
        <v>0</v>
      </c>
      <c r="X968" s="11">
        <f t="array" ref="X968">XLOOKUP(A:A,'Raw Revenue'!E:E,'Raw Revenue'!F:F,0)</f>
        <v>0</v>
      </c>
      <c r="Y968" s="11">
        <f t="array" ref="Y968">XLOOKUP(A:A,'Raw Revenue'!G:G,'Raw Revenue'!H:H,0)</f>
        <v>0</v>
      </c>
      <c r="Z968" s="11">
        <f t="array" ref="Z968">XLOOKUP(A:A,'Raw Revenue'!I:I,'Raw Revenue'!J:J,0)</f>
        <v>0</v>
      </c>
      <c r="AA968" s="11">
        <f t="array" ref="AA968">XLOOKUP(A:A,'Raw Revenue'!K:K,'Raw Revenue'!L:L,0)</f>
        <v>0</v>
      </c>
      <c r="AB968" s="11">
        <f t="array" ref="AB968">XLOOKUP(A:A,'Raw Revenue'!M:M,'Raw Revenue'!N:N,0)</f>
        <v>0</v>
      </c>
      <c r="AC968" s="3">
        <v>0.0</v>
      </c>
      <c r="AD968" s="3">
        <v>0.0</v>
      </c>
      <c r="AE968" s="3">
        <v>0.0</v>
      </c>
      <c r="AF968" s="3">
        <v>0.0</v>
      </c>
      <c r="AG968" s="3">
        <v>0.0</v>
      </c>
    </row>
    <row r="969">
      <c r="A969" s="3" t="s">
        <v>473</v>
      </c>
      <c r="B969" s="3" t="s">
        <v>2139</v>
      </c>
      <c r="C969" s="3" t="str">
        <f t="shared" si="1"/>
        <v>PT. Indo Makmur Sentosa</v>
      </c>
      <c r="D969" s="3" t="s">
        <v>103</v>
      </c>
      <c r="E969" s="3" t="s">
        <v>196</v>
      </c>
      <c r="F969" s="3" t="s">
        <v>260</v>
      </c>
      <c r="G969" s="3" t="s">
        <v>63</v>
      </c>
      <c r="H969" s="3" t="str">
        <f t="array" ref="H969">XLOOKUP(G:G,'Account Manager Data'!A:A,'Account Manager Data'!B:B,0)</f>
        <v>Hendra Gunawan</v>
      </c>
      <c r="I969" s="11" t="str">
        <f t="array" ref="I969">XLOOKUP($G:$G,'Account Manager Data'!$A:$A,'Account Manager Data'!C:C)</f>
        <v>Kalimantan</v>
      </c>
      <c r="J969" s="17">
        <v>1432395.0</v>
      </c>
      <c r="K969" s="17">
        <v>0.0</v>
      </c>
      <c r="L969" s="17">
        <v>9851069.0</v>
      </c>
      <c r="M969" s="17">
        <v>0.0</v>
      </c>
      <c r="N969" s="17">
        <v>305050.0</v>
      </c>
      <c r="O969" s="17">
        <v>5507610.0</v>
      </c>
      <c r="P969" s="17">
        <v>1.258771E7</v>
      </c>
      <c r="Q969" s="17">
        <v>1.1837368E7</v>
      </c>
      <c r="R969" s="17">
        <v>1.277188E7</v>
      </c>
      <c r="S969" s="17">
        <v>0.0</v>
      </c>
      <c r="T969" s="17">
        <v>713536.0</v>
      </c>
      <c r="U969" s="17">
        <v>0.0</v>
      </c>
      <c r="V969" s="11">
        <f t="array" ref="V969">XLOOKUP(A:A,'Raw Revenue'!A:A,'Raw Revenue'!B:B,0)
</f>
        <v>10608776.04</v>
      </c>
      <c r="W969" s="11">
        <f t="array" ref="W969">XLOOKUP(A:A,'Raw Revenue'!C:C,'Raw Revenue'!D:D,0)</f>
        <v>10608776.04</v>
      </c>
      <c r="X969" s="11">
        <f t="array" ref="X969">XLOOKUP(A:A,'Raw Revenue'!E:E,'Raw Revenue'!F:F,0)</f>
        <v>21217552.09</v>
      </c>
      <c r="Y969" s="11">
        <f t="array" ref="Y969">XLOOKUP(A:A,'Raw Revenue'!G:G,'Raw Revenue'!H:H,0)</f>
        <v>17327667.54</v>
      </c>
      <c r="Z969" s="11">
        <f t="array" ref="Z969">XLOOKUP(A:A,'Raw Revenue'!I:I,'Raw Revenue'!J:J,0)</f>
        <v>15559538.2</v>
      </c>
      <c r="AA969" s="11">
        <f t="array" ref="AA969">XLOOKUP(A:A,'Raw Revenue'!K:K,'Raw Revenue'!L:L,0)</f>
        <v>39782910.17</v>
      </c>
      <c r="AB969" s="11">
        <f t="array" ref="AB969">XLOOKUP(A:A,'Raw Revenue'!M:M,'Raw Revenue'!N:N,0)</f>
        <v>36600277.35</v>
      </c>
      <c r="AC969" s="3">
        <v>0.0</v>
      </c>
      <c r="AD969" s="3">
        <v>0.0</v>
      </c>
      <c r="AE969" s="3">
        <v>0.0</v>
      </c>
      <c r="AF969" s="3">
        <v>0.0</v>
      </c>
      <c r="AG969" s="3">
        <v>0.0</v>
      </c>
    </row>
    <row r="970">
      <c r="A970" s="3" t="s">
        <v>2140</v>
      </c>
      <c r="B970" s="3" t="s">
        <v>2141</v>
      </c>
      <c r="C970" s="3" t="str">
        <f t="shared" si="1"/>
        <v>PT. Citra Mandiri Utama</v>
      </c>
      <c r="D970" s="3" t="s">
        <v>214</v>
      </c>
      <c r="E970" s="3" t="s">
        <v>187</v>
      </c>
      <c r="F970" s="3" t="s">
        <v>188</v>
      </c>
      <c r="G970" s="3" t="s">
        <v>35</v>
      </c>
      <c r="H970" s="3" t="str">
        <f t="array" ref="H970">XLOOKUP(G:G,'Account Manager Data'!A:A,'Account Manager Data'!B:B,0)</f>
        <v>Ahmad Fauzi</v>
      </c>
      <c r="I970" s="11" t="str">
        <f t="array" ref="I970">XLOOKUP($G:$G,'Account Manager Data'!$A:$A,'Account Manager Data'!C:C)</f>
        <v>Sumatera</v>
      </c>
      <c r="J970" s="17">
        <v>7088869.0</v>
      </c>
      <c r="K970" s="17">
        <v>4580001.0</v>
      </c>
      <c r="L970" s="17">
        <v>3466557.0</v>
      </c>
      <c r="M970" s="17">
        <v>1.0454352E7</v>
      </c>
      <c r="N970" s="17">
        <v>0.0</v>
      </c>
      <c r="O970" s="17">
        <v>9344495.0</v>
      </c>
      <c r="P970" s="17">
        <v>2711212.0</v>
      </c>
      <c r="Q970" s="17">
        <v>1188807.0</v>
      </c>
      <c r="R970" s="17">
        <v>1.5393561E7</v>
      </c>
      <c r="S970" s="17">
        <v>2252270.0</v>
      </c>
      <c r="T970" s="17">
        <v>6110606.0</v>
      </c>
      <c r="U970" s="17">
        <v>1462954.0</v>
      </c>
      <c r="V970" s="11">
        <f t="array" ref="V970">XLOOKUP(A:A,'Raw Revenue'!A:A,'Raw Revenue'!B:B,0)
</f>
        <v>0</v>
      </c>
      <c r="W970" s="11">
        <f t="array" ref="W970">XLOOKUP(A:A,'Raw Revenue'!C:C,'Raw Revenue'!D:D,0)</f>
        <v>0</v>
      </c>
      <c r="X970" s="11">
        <f t="array" ref="X970">XLOOKUP(A:A,'Raw Revenue'!E:E,'Raw Revenue'!F:F,0)</f>
        <v>0</v>
      </c>
      <c r="Y970" s="11">
        <f t="array" ref="Y970">XLOOKUP(A:A,'Raw Revenue'!G:G,'Raw Revenue'!H:H,0)</f>
        <v>0</v>
      </c>
      <c r="Z970" s="11">
        <f t="array" ref="Z970">XLOOKUP(A:A,'Raw Revenue'!I:I,'Raw Revenue'!J:J,0)</f>
        <v>0</v>
      </c>
      <c r="AA970" s="11">
        <f t="array" ref="AA970">XLOOKUP(A:A,'Raw Revenue'!K:K,'Raw Revenue'!L:L,0)</f>
        <v>0</v>
      </c>
      <c r="AB970" s="11">
        <f t="array" ref="AB970">XLOOKUP(A:A,'Raw Revenue'!M:M,'Raw Revenue'!N:N,0)</f>
        <v>0</v>
      </c>
      <c r="AC970" s="3">
        <v>0.0</v>
      </c>
      <c r="AD970" s="3">
        <v>0.0</v>
      </c>
      <c r="AE970" s="3">
        <v>0.0</v>
      </c>
      <c r="AF970" s="3">
        <v>0.0</v>
      </c>
      <c r="AG970" s="3">
        <v>0.0</v>
      </c>
    </row>
    <row r="971">
      <c r="A971" s="3" t="s">
        <v>2142</v>
      </c>
      <c r="B971" s="3" t="s">
        <v>2143</v>
      </c>
      <c r="C971" s="3" t="str">
        <f t="shared" si="1"/>
        <v>PT. Sinar Dunia Baru</v>
      </c>
      <c r="D971" s="3" t="s">
        <v>195</v>
      </c>
      <c r="E971" s="3" t="s">
        <v>196</v>
      </c>
      <c r="F971" s="3" t="s">
        <v>197</v>
      </c>
      <c r="G971" s="3" t="s">
        <v>27</v>
      </c>
      <c r="H971" s="3" t="str">
        <f t="array" ref="H971">XLOOKUP(G:G,'Account Manager Data'!A:A,'Account Manager Data'!B:B,0)</f>
        <v>Dedi Kurniawan</v>
      </c>
      <c r="I971" s="11" t="str">
        <f t="array" ref="I971">XLOOKUP($G:$G,'Account Manager Data'!$A:$A,'Account Manager Data'!C:C)</f>
        <v>Kalimantan</v>
      </c>
      <c r="J971" s="17">
        <v>4897460.0</v>
      </c>
      <c r="K971" s="17">
        <v>4866405.0</v>
      </c>
      <c r="L971" s="17">
        <v>3966647.0</v>
      </c>
      <c r="M971" s="17">
        <v>7638463.0</v>
      </c>
      <c r="N971" s="17">
        <v>5322916.0</v>
      </c>
      <c r="O971" s="17">
        <v>2713115.0</v>
      </c>
      <c r="P971" s="17">
        <v>1.5109123E7</v>
      </c>
      <c r="Q971" s="17">
        <v>9080387.0</v>
      </c>
      <c r="R971" s="17">
        <v>1.5882498E7</v>
      </c>
      <c r="S971" s="17">
        <v>1.5188253E7</v>
      </c>
      <c r="T971" s="17">
        <v>0.0</v>
      </c>
      <c r="U971" s="17">
        <v>1.5043178E7</v>
      </c>
      <c r="V971" s="11">
        <f t="array" ref="V971">XLOOKUP(A:A,'Raw Revenue'!A:A,'Raw Revenue'!B:B,0)
</f>
        <v>0</v>
      </c>
      <c r="W971" s="11">
        <f t="array" ref="W971">XLOOKUP(A:A,'Raw Revenue'!C:C,'Raw Revenue'!D:D,0)</f>
        <v>0</v>
      </c>
      <c r="X971" s="11">
        <f t="array" ref="X971">XLOOKUP(A:A,'Raw Revenue'!E:E,'Raw Revenue'!F:F,0)</f>
        <v>0</v>
      </c>
      <c r="Y971" s="11">
        <f t="array" ref="Y971">XLOOKUP(A:A,'Raw Revenue'!G:G,'Raw Revenue'!H:H,0)</f>
        <v>0</v>
      </c>
      <c r="Z971" s="11">
        <f t="array" ref="Z971">XLOOKUP(A:A,'Raw Revenue'!I:I,'Raw Revenue'!J:J,0)</f>
        <v>0</v>
      </c>
      <c r="AA971" s="11">
        <f t="array" ref="AA971">XLOOKUP(A:A,'Raw Revenue'!K:K,'Raw Revenue'!L:L,0)</f>
        <v>0</v>
      </c>
      <c r="AB971" s="11">
        <f t="array" ref="AB971">XLOOKUP(A:A,'Raw Revenue'!M:M,'Raw Revenue'!N:N,0)</f>
        <v>0</v>
      </c>
      <c r="AC971" s="3">
        <v>0.0</v>
      </c>
      <c r="AD971" s="3">
        <v>0.0</v>
      </c>
      <c r="AE971" s="3">
        <v>0.0</v>
      </c>
      <c r="AF971" s="3">
        <v>0.0</v>
      </c>
      <c r="AG971" s="3">
        <v>0.0</v>
      </c>
    </row>
    <row r="972">
      <c r="A972" s="3" t="s">
        <v>2144</v>
      </c>
      <c r="B972" s="3" t="s">
        <v>2145</v>
      </c>
      <c r="C972" s="3" t="str">
        <f t="shared" si="1"/>
        <v>CV. Karya Utama Mandiri</v>
      </c>
      <c r="D972" s="3" t="s">
        <v>195</v>
      </c>
      <c r="E972" s="3" t="s">
        <v>104</v>
      </c>
      <c r="F972" s="3" t="s">
        <v>134</v>
      </c>
      <c r="G972" s="3" t="s">
        <v>15</v>
      </c>
      <c r="H972" s="3" t="str">
        <f t="array" ref="H972">XLOOKUP(G:G,'Account Manager Data'!A:A,'Account Manager Data'!B:B,0)</f>
        <v>Rizky Maulana</v>
      </c>
      <c r="I972" s="11" t="str">
        <f t="array" ref="I972">XLOOKUP($G:$G,'Account Manager Data'!$A:$A,'Account Manager Data'!C:C)</f>
        <v>Jawa</v>
      </c>
      <c r="J972" s="17">
        <v>5780247.0</v>
      </c>
      <c r="K972" s="17">
        <v>4168395.0</v>
      </c>
      <c r="L972" s="17">
        <v>5878071.0</v>
      </c>
      <c r="M972" s="17">
        <v>9989391.0</v>
      </c>
      <c r="N972" s="17">
        <v>8121192.0</v>
      </c>
      <c r="O972" s="17">
        <v>9668611.0</v>
      </c>
      <c r="P972" s="17">
        <v>8001326.0</v>
      </c>
      <c r="Q972" s="17">
        <v>640542.0</v>
      </c>
      <c r="R972" s="17">
        <v>2441913.0</v>
      </c>
      <c r="S972" s="17">
        <v>1050024.0</v>
      </c>
      <c r="T972" s="17">
        <v>259196.0</v>
      </c>
      <c r="U972" s="17">
        <v>4032174.0</v>
      </c>
      <c r="V972" s="11">
        <f t="array" ref="V972">XLOOKUP(A:A,'Raw Revenue'!A:A,'Raw Revenue'!B:B,0)
</f>
        <v>0</v>
      </c>
      <c r="W972" s="11">
        <f t="array" ref="W972">XLOOKUP(A:A,'Raw Revenue'!C:C,'Raw Revenue'!D:D,0)</f>
        <v>0</v>
      </c>
      <c r="X972" s="11">
        <f t="array" ref="X972">XLOOKUP(A:A,'Raw Revenue'!E:E,'Raw Revenue'!F:F,0)</f>
        <v>0</v>
      </c>
      <c r="Y972" s="11">
        <f t="array" ref="Y972">XLOOKUP(A:A,'Raw Revenue'!G:G,'Raw Revenue'!H:H,0)</f>
        <v>0</v>
      </c>
      <c r="Z972" s="11">
        <f t="array" ref="Z972">XLOOKUP(A:A,'Raw Revenue'!I:I,'Raw Revenue'!J:J,0)</f>
        <v>0</v>
      </c>
      <c r="AA972" s="11">
        <f t="array" ref="AA972">XLOOKUP(A:A,'Raw Revenue'!K:K,'Raw Revenue'!L:L,0)</f>
        <v>0</v>
      </c>
      <c r="AB972" s="11">
        <f t="array" ref="AB972">XLOOKUP(A:A,'Raw Revenue'!M:M,'Raw Revenue'!N:N,0)</f>
        <v>0</v>
      </c>
      <c r="AC972" s="3">
        <v>0.0</v>
      </c>
      <c r="AD972" s="3">
        <v>0.0</v>
      </c>
      <c r="AE972" s="3">
        <v>0.0</v>
      </c>
      <c r="AF972" s="3">
        <v>0.0</v>
      </c>
      <c r="AG972" s="3">
        <v>0.0</v>
      </c>
    </row>
    <row r="973">
      <c r="A973" s="3" t="s">
        <v>2146</v>
      </c>
      <c r="B973" s="3" t="s">
        <v>2147</v>
      </c>
      <c r="C973" s="3" t="str">
        <f t="shared" si="1"/>
        <v>PT. Pratama Jaya Sentosa</v>
      </c>
      <c r="D973" s="3" t="s">
        <v>214</v>
      </c>
      <c r="E973" s="3" t="s">
        <v>85</v>
      </c>
      <c r="F973" s="3" t="s">
        <v>407</v>
      </c>
      <c r="G973" s="3" t="s">
        <v>53</v>
      </c>
      <c r="H973" s="3" t="str">
        <f t="array" ref="H973">XLOOKUP(G:G,'Account Manager Data'!A:A,'Account Manager Data'!B:B,0)</f>
        <v>Fajar Ramadhan</v>
      </c>
      <c r="I973" s="11" t="str">
        <f t="array" ref="I973">XLOOKUP($G:$G,'Account Manager Data'!$A:$A,'Account Manager Data'!C:C)</f>
        <v>Sulawesi</v>
      </c>
      <c r="J973" s="17">
        <v>1744978.0</v>
      </c>
      <c r="K973" s="17">
        <v>3874683.0</v>
      </c>
      <c r="L973" s="17">
        <v>8957914.0</v>
      </c>
      <c r="M973" s="17">
        <v>1891132.0</v>
      </c>
      <c r="N973" s="17">
        <v>8346553.0</v>
      </c>
      <c r="O973" s="17">
        <v>4949658.0</v>
      </c>
      <c r="P973" s="17">
        <v>5682098.0</v>
      </c>
      <c r="Q973" s="17">
        <v>1.1915407E7</v>
      </c>
      <c r="R973" s="17">
        <v>1.0148289E7</v>
      </c>
      <c r="S973" s="17">
        <v>1.3705564E7</v>
      </c>
      <c r="T973" s="17">
        <v>5576842.0</v>
      </c>
      <c r="U973" s="17">
        <v>7535325.0</v>
      </c>
      <c r="V973" s="11">
        <f t="array" ref="V973">XLOOKUP(A:A,'Raw Revenue'!A:A,'Raw Revenue'!B:B,0)
</f>
        <v>0</v>
      </c>
      <c r="W973" s="11">
        <f t="array" ref="W973">XLOOKUP(A:A,'Raw Revenue'!C:C,'Raw Revenue'!D:D,0)</f>
        <v>0</v>
      </c>
      <c r="X973" s="11">
        <f t="array" ref="X973">XLOOKUP(A:A,'Raw Revenue'!E:E,'Raw Revenue'!F:F,0)</f>
        <v>0</v>
      </c>
      <c r="Y973" s="11">
        <f t="array" ref="Y973">XLOOKUP(A:A,'Raw Revenue'!G:G,'Raw Revenue'!H:H,0)</f>
        <v>0</v>
      </c>
      <c r="Z973" s="11">
        <f t="array" ref="Z973">XLOOKUP(A:A,'Raw Revenue'!I:I,'Raw Revenue'!J:J,0)</f>
        <v>0</v>
      </c>
      <c r="AA973" s="11">
        <f t="array" ref="AA973">XLOOKUP(A:A,'Raw Revenue'!K:K,'Raw Revenue'!L:L,0)</f>
        <v>0</v>
      </c>
      <c r="AB973" s="11">
        <f t="array" ref="AB973">XLOOKUP(A:A,'Raw Revenue'!M:M,'Raw Revenue'!N:N,0)</f>
        <v>0</v>
      </c>
      <c r="AC973" s="3">
        <v>0.0</v>
      </c>
      <c r="AD973" s="3">
        <v>0.0</v>
      </c>
      <c r="AE973" s="3">
        <v>0.0</v>
      </c>
      <c r="AF973" s="3">
        <v>0.0</v>
      </c>
      <c r="AG973" s="3">
        <v>0.0</v>
      </c>
    </row>
    <row r="974">
      <c r="A974" s="3" t="s">
        <v>2148</v>
      </c>
      <c r="B974" s="3" t="s">
        <v>2149</v>
      </c>
      <c r="C974" s="3" t="str">
        <f t="shared" si="1"/>
        <v>PT. Abadi Selamanya Jaya</v>
      </c>
      <c r="D974" s="3" t="s">
        <v>186</v>
      </c>
      <c r="E974" s="3" t="s">
        <v>196</v>
      </c>
      <c r="F974" s="3" t="s">
        <v>260</v>
      </c>
      <c r="G974" s="3" t="s">
        <v>76</v>
      </c>
      <c r="H974" s="3" t="str">
        <f t="array" ref="H974">XLOOKUP(G:G,'Account Manager Data'!A:A,'Account Manager Data'!B:B,0)</f>
        <v>Teguh Wijaya</v>
      </c>
      <c r="I974" s="11" t="str">
        <f t="array" ref="I974">XLOOKUP($G:$G,'Account Manager Data'!$A:$A,'Account Manager Data'!C:C)</f>
        <v>Sulawesi</v>
      </c>
      <c r="J974" s="17">
        <v>3358014.0</v>
      </c>
      <c r="K974" s="17">
        <v>669885.0</v>
      </c>
      <c r="L974" s="17">
        <v>2479760.0</v>
      </c>
      <c r="M974" s="17">
        <v>2053323.0</v>
      </c>
      <c r="N974" s="17">
        <v>6212661.0</v>
      </c>
      <c r="O974" s="17">
        <v>257139.0</v>
      </c>
      <c r="P974" s="17">
        <v>1.5058996E7</v>
      </c>
      <c r="Q974" s="17">
        <v>5139683.0</v>
      </c>
      <c r="R974" s="17">
        <v>0.0</v>
      </c>
      <c r="S974" s="17">
        <v>1.2709275E7</v>
      </c>
      <c r="T974" s="17">
        <v>1.6638482E7</v>
      </c>
      <c r="U974" s="17">
        <v>4113653.0</v>
      </c>
      <c r="V974" s="11">
        <f t="array" ref="V974">XLOOKUP(A:A,'Raw Revenue'!A:A,'Raw Revenue'!B:B,0)
</f>
        <v>0</v>
      </c>
      <c r="W974" s="11">
        <f t="array" ref="W974">XLOOKUP(A:A,'Raw Revenue'!C:C,'Raw Revenue'!D:D,0)</f>
        <v>0</v>
      </c>
      <c r="X974" s="11">
        <f t="array" ref="X974">XLOOKUP(A:A,'Raw Revenue'!E:E,'Raw Revenue'!F:F,0)</f>
        <v>0</v>
      </c>
      <c r="Y974" s="11">
        <f t="array" ref="Y974">XLOOKUP(A:A,'Raw Revenue'!G:G,'Raw Revenue'!H:H,0)</f>
        <v>0</v>
      </c>
      <c r="Z974" s="11">
        <f t="array" ref="Z974">XLOOKUP(A:A,'Raw Revenue'!I:I,'Raw Revenue'!J:J,0)</f>
        <v>0</v>
      </c>
      <c r="AA974" s="11">
        <f t="array" ref="AA974">XLOOKUP(A:A,'Raw Revenue'!K:K,'Raw Revenue'!L:L,0)</f>
        <v>0</v>
      </c>
      <c r="AB974" s="11">
        <f t="array" ref="AB974">XLOOKUP(A:A,'Raw Revenue'!M:M,'Raw Revenue'!N:N,0)</f>
        <v>0</v>
      </c>
      <c r="AC974" s="3">
        <v>0.0</v>
      </c>
      <c r="AD974" s="3">
        <v>0.0</v>
      </c>
      <c r="AE974" s="3">
        <v>0.0</v>
      </c>
      <c r="AF974" s="3">
        <v>0.0</v>
      </c>
      <c r="AG974" s="3">
        <v>0.0</v>
      </c>
    </row>
    <row r="975">
      <c r="A975" s="3" t="s">
        <v>447</v>
      </c>
      <c r="B975" s="3" t="s">
        <v>2150</v>
      </c>
      <c r="C975" s="3" t="str">
        <f t="shared" si="1"/>
        <v>PT. Mandiri Sejahtera Bersama</v>
      </c>
      <c r="D975" s="3" t="s">
        <v>103</v>
      </c>
      <c r="E975" s="3" t="s">
        <v>187</v>
      </c>
      <c r="F975" s="3" t="s">
        <v>269</v>
      </c>
      <c r="G975" s="3" t="s">
        <v>78</v>
      </c>
      <c r="H975" s="3" t="str">
        <f t="array" ref="H975">XLOOKUP(G:G,'Account Manager Data'!A:A,'Account Manager Data'!B:B,0)</f>
        <v>Ilham Saputra</v>
      </c>
      <c r="I975" s="11" t="str">
        <f t="array" ref="I975">XLOOKUP($G:$G,'Account Manager Data'!$A:$A,'Account Manager Data'!C:C)</f>
        <v>Jawa</v>
      </c>
      <c r="J975" s="17">
        <v>52290.0</v>
      </c>
      <c r="K975" s="17">
        <v>4274944.0</v>
      </c>
      <c r="L975" s="17">
        <v>9991597.0</v>
      </c>
      <c r="M975" s="17">
        <v>1.003886E7</v>
      </c>
      <c r="N975" s="17">
        <v>8079956.0</v>
      </c>
      <c r="O975" s="17">
        <v>1.3182823E7</v>
      </c>
      <c r="P975" s="17">
        <v>1.0038282E7</v>
      </c>
      <c r="Q975" s="17">
        <v>4078946.0</v>
      </c>
      <c r="R975" s="17">
        <v>1.4177105E7</v>
      </c>
      <c r="S975" s="17">
        <v>1.7187056E7</v>
      </c>
      <c r="T975" s="17">
        <v>1.0149967E7</v>
      </c>
      <c r="U975" s="17">
        <v>1504297.0</v>
      </c>
      <c r="V975" s="11">
        <f t="array" ref="V975">XLOOKUP(A:A,'Raw Revenue'!A:A,'Raw Revenue'!B:B,0)
</f>
        <v>357026.1169</v>
      </c>
      <c r="W975" s="11">
        <f t="array" ref="W975">XLOOKUP(A:A,'Raw Revenue'!C:C,'Raw Revenue'!D:D,0)</f>
        <v>178513.0584</v>
      </c>
      <c r="X975" s="11">
        <f t="array" ref="X975">XLOOKUP(A:A,'Raw Revenue'!E:E,'Raw Revenue'!F:F,0)</f>
        <v>107107.8351</v>
      </c>
      <c r="Y975" s="11">
        <f t="array" ref="Y975">XLOOKUP(A:A,'Raw Revenue'!G:G,'Raw Revenue'!H:H,0)</f>
        <v>1249591.409</v>
      </c>
      <c r="Z975" s="11">
        <f t="array" ref="Z975">XLOOKUP(A:A,'Raw Revenue'!I:I,'Raw Revenue'!J:J,0)</f>
        <v>285620.8935</v>
      </c>
      <c r="AA975" s="11">
        <f t="array" ref="AA975">XLOOKUP(A:A,'Raw Revenue'!K:K,'Raw Revenue'!L:L,0)</f>
        <v>8033.08763</v>
      </c>
      <c r="AB975" s="11">
        <f t="array" ref="AB975">XLOOKUP(A:A,'Raw Revenue'!M:M,'Raw Revenue'!N:N,0)</f>
        <v>1076433.742</v>
      </c>
      <c r="AC975" s="3">
        <v>0.0</v>
      </c>
      <c r="AD975" s="3">
        <v>0.0</v>
      </c>
      <c r="AE975" s="3">
        <v>0.0</v>
      </c>
      <c r="AF975" s="3">
        <v>0.0</v>
      </c>
      <c r="AG975" s="3">
        <v>0.0</v>
      </c>
    </row>
    <row r="976">
      <c r="A976" s="3" t="s">
        <v>2151</v>
      </c>
      <c r="B976" s="3" t="s">
        <v>2152</v>
      </c>
      <c r="C976" s="3" t="str">
        <f t="shared" si="1"/>
        <v>PT. Sejahtera Alam Indonesia</v>
      </c>
      <c r="D976" s="3" t="s">
        <v>214</v>
      </c>
      <c r="E976" s="3" t="s">
        <v>85</v>
      </c>
      <c r="F976" s="3" t="s">
        <v>407</v>
      </c>
      <c r="G976" s="3" t="s">
        <v>74</v>
      </c>
      <c r="H976" s="3" t="str">
        <f t="array" ref="H976">XLOOKUP(G:G,'Account Manager Data'!A:A,'Account Manager Data'!B:B,0)</f>
        <v>Budi Santoso</v>
      </c>
      <c r="I976" s="11" t="str">
        <f t="array" ref="I976">XLOOKUP($G:$G,'Account Manager Data'!$A:$A,'Account Manager Data'!C:C)</f>
        <v>Papua</v>
      </c>
      <c r="J976" s="17">
        <v>3016202.0</v>
      </c>
      <c r="K976" s="17">
        <v>2267437.0</v>
      </c>
      <c r="L976" s="17">
        <v>0.0</v>
      </c>
      <c r="M976" s="17">
        <v>1.1197357E7</v>
      </c>
      <c r="N976" s="17">
        <v>345188.0</v>
      </c>
      <c r="O976" s="17">
        <v>9931003.0</v>
      </c>
      <c r="P976" s="17">
        <v>7130199.0</v>
      </c>
      <c r="Q976" s="17">
        <v>860733.0</v>
      </c>
      <c r="R976" s="17">
        <v>6606450.0</v>
      </c>
      <c r="S976" s="17">
        <v>3744100.0</v>
      </c>
      <c r="T976" s="17">
        <v>1.7553059E7</v>
      </c>
      <c r="U976" s="17">
        <v>2817037.0</v>
      </c>
      <c r="V976" s="11">
        <f t="array" ref="V976">XLOOKUP(A:A,'Raw Revenue'!A:A,'Raw Revenue'!B:B,0)
</f>
        <v>0</v>
      </c>
      <c r="W976" s="11">
        <f t="array" ref="W976">XLOOKUP(A:A,'Raw Revenue'!C:C,'Raw Revenue'!D:D,0)</f>
        <v>0</v>
      </c>
      <c r="X976" s="11">
        <f t="array" ref="X976">XLOOKUP(A:A,'Raw Revenue'!E:E,'Raw Revenue'!F:F,0)</f>
        <v>0</v>
      </c>
      <c r="Y976" s="11">
        <f t="array" ref="Y976">XLOOKUP(A:A,'Raw Revenue'!G:G,'Raw Revenue'!H:H,0)</f>
        <v>0</v>
      </c>
      <c r="Z976" s="11">
        <f t="array" ref="Z976">XLOOKUP(A:A,'Raw Revenue'!I:I,'Raw Revenue'!J:J,0)</f>
        <v>0</v>
      </c>
      <c r="AA976" s="11">
        <f t="array" ref="AA976">XLOOKUP(A:A,'Raw Revenue'!K:K,'Raw Revenue'!L:L,0)</f>
        <v>0</v>
      </c>
      <c r="AB976" s="11">
        <f t="array" ref="AB976">XLOOKUP(A:A,'Raw Revenue'!M:M,'Raw Revenue'!N:N,0)</f>
        <v>0</v>
      </c>
      <c r="AC976" s="3">
        <v>0.0</v>
      </c>
      <c r="AD976" s="3">
        <v>0.0</v>
      </c>
      <c r="AE976" s="3">
        <v>0.0</v>
      </c>
      <c r="AF976" s="3">
        <v>0.0</v>
      </c>
      <c r="AG976" s="3">
        <v>0.0</v>
      </c>
    </row>
    <row r="977">
      <c r="A977" s="3" t="s">
        <v>2153</v>
      </c>
      <c r="B977" s="3" t="s">
        <v>2154</v>
      </c>
      <c r="C977" s="3" t="str">
        <f t="shared" si="1"/>
        <v>PT. Indah Kargo Logistik</v>
      </c>
      <c r="D977" s="3" t="s">
        <v>195</v>
      </c>
      <c r="E977" s="3" t="s">
        <v>196</v>
      </c>
      <c r="F977" s="3" t="s">
        <v>197</v>
      </c>
      <c r="G977" s="3" t="s">
        <v>43</v>
      </c>
      <c r="H977" s="3" t="str">
        <f t="array" ref="H977">XLOOKUP(G:G,'Account Manager Data'!A:A,'Account Manager Data'!B:B,0)</f>
        <v>Eko Prasetyo</v>
      </c>
      <c r="I977" s="11" t="str">
        <f t="array" ref="I977">XLOOKUP($G:$G,'Account Manager Data'!$A:$A,'Account Manager Data'!C:C)</f>
        <v>Papua</v>
      </c>
      <c r="J977" s="17">
        <v>3500387.0</v>
      </c>
      <c r="K977" s="17">
        <v>7931128.0</v>
      </c>
      <c r="L977" s="17">
        <v>1334312.0</v>
      </c>
      <c r="M977" s="17">
        <v>5516669.0</v>
      </c>
      <c r="N977" s="17">
        <v>6637864.0</v>
      </c>
      <c r="O977" s="17">
        <v>0.0</v>
      </c>
      <c r="P977" s="17">
        <v>1.6123007E7</v>
      </c>
      <c r="Q977" s="17">
        <v>4282671.0</v>
      </c>
      <c r="R977" s="17">
        <v>3310310.0</v>
      </c>
      <c r="S977" s="17">
        <v>1.3580138E7</v>
      </c>
      <c r="T977" s="17">
        <v>3196495.0</v>
      </c>
      <c r="U977" s="17">
        <v>1.715916E7</v>
      </c>
      <c r="V977" s="11">
        <f t="array" ref="V977">XLOOKUP(A:A,'Raw Revenue'!A:A,'Raw Revenue'!B:B,0)
</f>
        <v>0</v>
      </c>
      <c r="W977" s="11">
        <f t="array" ref="W977">XLOOKUP(A:A,'Raw Revenue'!C:C,'Raw Revenue'!D:D,0)</f>
        <v>0</v>
      </c>
      <c r="X977" s="11">
        <f t="array" ref="X977">XLOOKUP(A:A,'Raw Revenue'!E:E,'Raw Revenue'!F:F,0)</f>
        <v>0</v>
      </c>
      <c r="Y977" s="11">
        <f t="array" ref="Y977">XLOOKUP(A:A,'Raw Revenue'!G:G,'Raw Revenue'!H:H,0)</f>
        <v>0</v>
      </c>
      <c r="Z977" s="11">
        <f t="array" ref="Z977">XLOOKUP(A:A,'Raw Revenue'!I:I,'Raw Revenue'!J:J,0)</f>
        <v>0</v>
      </c>
      <c r="AA977" s="11">
        <f t="array" ref="AA977">XLOOKUP(A:A,'Raw Revenue'!K:K,'Raw Revenue'!L:L,0)</f>
        <v>0</v>
      </c>
      <c r="AB977" s="11">
        <f t="array" ref="AB977">XLOOKUP(A:A,'Raw Revenue'!M:M,'Raw Revenue'!N:N,0)</f>
        <v>0</v>
      </c>
      <c r="AC977" s="3">
        <v>0.0</v>
      </c>
      <c r="AD977" s="3">
        <v>0.0</v>
      </c>
      <c r="AE977" s="3">
        <v>0.0</v>
      </c>
      <c r="AF977" s="3">
        <v>0.0</v>
      </c>
      <c r="AG977" s="3">
        <v>0.0</v>
      </c>
    </row>
    <row r="978">
      <c r="A978" s="3" t="s">
        <v>2155</v>
      </c>
      <c r="B978" s="3" t="s">
        <v>2156</v>
      </c>
      <c r="C978" s="3" t="str">
        <f t="shared" si="1"/>
        <v>PT. Berkah Alam Semesta</v>
      </c>
      <c r="D978" s="3" t="s">
        <v>214</v>
      </c>
      <c r="E978" s="3" t="s">
        <v>187</v>
      </c>
      <c r="F978" s="3" t="s">
        <v>188</v>
      </c>
      <c r="G978" s="3" t="s">
        <v>70</v>
      </c>
      <c r="H978" s="3" t="str">
        <f t="array" ref="H978">XLOOKUP(G:G,'Account Manager Data'!A:A,'Account Manager Data'!B:B,0)</f>
        <v>Yusuf Hidayat</v>
      </c>
      <c r="I978" s="11" t="str">
        <f t="array" ref="I978">XLOOKUP($G:$G,'Account Manager Data'!$A:$A,'Account Manager Data'!C:C)</f>
        <v>Sumatera</v>
      </c>
      <c r="J978" s="17">
        <v>141254.0</v>
      </c>
      <c r="K978" s="17">
        <v>204623.0</v>
      </c>
      <c r="L978" s="17">
        <v>1.0065952E7</v>
      </c>
      <c r="M978" s="17">
        <v>7234609.0</v>
      </c>
      <c r="N978" s="17">
        <v>7306966.0</v>
      </c>
      <c r="O978" s="17">
        <v>2424550.0</v>
      </c>
      <c r="P978" s="17">
        <v>9014998.0</v>
      </c>
      <c r="Q978" s="17">
        <v>4386645.0</v>
      </c>
      <c r="R978" s="17">
        <v>1452123.0</v>
      </c>
      <c r="S978" s="17">
        <v>7470548.0</v>
      </c>
      <c r="T978" s="17">
        <v>1.442525E7</v>
      </c>
      <c r="U978" s="17">
        <v>1.1587221E7</v>
      </c>
      <c r="V978" s="11">
        <f t="array" ref="V978">XLOOKUP(A:A,'Raw Revenue'!A:A,'Raw Revenue'!B:B,0)
</f>
        <v>0</v>
      </c>
      <c r="W978" s="11">
        <f t="array" ref="W978">XLOOKUP(A:A,'Raw Revenue'!C:C,'Raw Revenue'!D:D,0)</f>
        <v>0</v>
      </c>
      <c r="X978" s="11">
        <f t="array" ref="X978">XLOOKUP(A:A,'Raw Revenue'!E:E,'Raw Revenue'!F:F,0)</f>
        <v>0</v>
      </c>
      <c r="Y978" s="11">
        <f t="array" ref="Y978">XLOOKUP(A:A,'Raw Revenue'!G:G,'Raw Revenue'!H:H,0)</f>
        <v>0</v>
      </c>
      <c r="Z978" s="11">
        <f t="array" ref="Z978">XLOOKUP(A:A,'Raw Revenue'!I:I,'Raw Revenue'!J:J,0)</f>
        <v>0</v>
      </c>
      <c r="AA978" s="11">
        <f t="array" ref="AA978">XLOOKUP(A:A,'Raw Revenue'!K:K,'Raw Revenue'!L:L,0)</f>
        <v>0</v>
      </c>
      <c r="AB978" s="11">
        <f t="array" ref="AB978">XLOOKUP(A:A,'Raw Revenue'!M:M,'Raw Revenue'!N:N,0)</f>
        <v>0</v>
      </c>
      <c r="AC978" s="3">
        <v>0.0</v>
      </c>
      <c r="AD978" s="3">
        <v>0.0</v>
      </c>
      <c r="AE978" s="3">
        <v>0.0</v>
      </c>
      <c r="AF978" s="3">
        <v>0.0</v>
      </c>
      <c r="AG978" s="3">
        <v>0.0</v>
      </c>
    </row>
    <row r="979">
      <c r="A979" s="3" t="s">
        <v>2157</v>
      </c>
      <c r="B979" s="3" t="s">
        <v>2158</v>
      </c>
      <c r="C979" s="3" t="str">
        <f t="shared" si="1"/>
        <v>PT. Cahaya Baru Indonesia</v>
      </c>
      <c r="D979" s="3" t="s">
        <v>130</v>
      </c>
      <c r="E979" s="3" t="s">
        <v>215</v>
      </c>
      <c r="F979" s="3" t="s">
        <v>216</v>
      </c>
      <c r="G979" s="3" t="s">
        <v>15</v>
      </c>
      <c r="H979" s="3" t="str">
        <f t="array" ref="H979">XLOOKUP(G:G,'Account Manager Data'!A:A,'Account Manager Data'!B:B,0)</f>
        <v>Rizky Maulana</v>
      </c>
      <c r="I979" s="11" t="str">
        <f t="array" ref="I979">XLOOKUP($G:$G,'Account Manager Data'!$A:$A,'Account Manager Data'!C:C)</f>
        <v>Jawa</v>
      </c>
      <c r="J979" s="17">
        <v>854593.0</v>
      </c>
      <c r="K979" s="17">
        <v>4023592.0</v>
      </c>
      <c r="L979" s="17">
        <v>0.0</v>
      </c>
      <c r="M979" s="17">
        <v>58740.0</v>
      </c>
      <c r="N979" s="17">
        <v>2571489.0</v>
      </c>
      <c r="O979" s="17">
        <v>90961.0</v>
      </c>
      <c r="P979" s="17">
        <v>8086793.0</v>
      </c>
      <c r="Q979" s="17">
        <v>1.2660187E7</v>
      </c>
      <c r="R979" s="17">
        <v>2784513.0</v>
      </c>
      <c r="S979" s="17">
        <v>1105516.0</v>
      </c>
      <c r="T979" s="17">
        <v>0.0</v>
      </c>
      <c r="U979" s="17">
        <v>1.8191536E7</v>
      </c>
      <c r="V979" s="11">
        <f t="array" ref="V979">XLOOKUP(A:A,'Raw Revenue'!A:A,'Raw Revenue'!B:B,0)
</f>
        <v>0</v>
      </c>
      <c r="W979" s="11">
        <f t="array" ref="W979">XLOOKUP(A:A,'Raw Revenue'!C:C,'Raw Revenue'!D:D,0)</f>
        <v>0</v>
      </c>
      <c r="X979" s="11">
        <f t="array" ref="X979">XLOOKUP(A:A,'Raw Revenue'!E:E,'Raw Revenue'!F:F,0)</f>
        <v>0</v>
      </c>
      <c r="Y979" s="11">
        <f t="array" ref="Y979">XLOOKUP(A:A,'Raw Revenue'!G:G,'Raw Revenue'!H:H,0)</f>
        <v>0</v>
      </c>
      <c r="Z979" s="11">
        <f t="array" ref="Z979">XLOOKUP(A:A,'Raw Revenue'!I:I,'Raw Revenue'!J:J,0)</f>
        <v>0</v>
      </c>
      <c r="AA979" s="11">
        <f t="array" ref="AA979">XLOOKUP(A:A,'Raw Revenue'!K:K,'Raw Revenue'!L:L,0)</f>
        <v>0</v>
      </c>
      <c r="AB979" s="11">
        <f t="array" ref="AB979">XLOOKUP(A:A,'Raw Revenue'!M:M,'Raw Revenue'!N:N,0)</f>
        <v>0</v>
      </c>
      <c r="AC979" s="3">
        <v>0.0</v>
      </c>
      <c r="AD979" s="3">
        <v>0.0</v>
      </c>
      <c r="AE979" s="3">
        <v>0.0</v>
      </c>
      <c r="AF979" s="3">
        <v>0.0</v>
      </c>
      <c r="AG979" s="3">
        <v>0.0</v>
      </c>
    </row>
    <row r="980">
      <c r="A980" s="3" t="s">
        <v>2159</v>
      </c>
      <c r="B980" s="3" t="s">
        <v>2160</v>
      </c>
      <c r="C980" s="3" t="str">
        <f t="shared" si="1"/>
        <v>PT. Mentari Pagi Sejahtera</v>
      </c>
      <c r="D980" s="3" t="s">
        <v>195</v>
      </c>
      <c r="E980" s="3" t="s">
        <v>104</v>
      </c>
      <c r="F980" s="3" t="s">
        <v>134</v>
      </c>
      <c r="G980" s="3" t="s">
        <v>63</v>
      </c>
      <c r="H980" s="3" t="str">
        <f t="array" ref="H980">XLOOKUP(G:G,'Account Manager Data'!A:A,'Account Manager Data'!B:B,0)</f>
        <v>Hendra Gunawan</v>
      </c>
      <c r="I980" s="11" t="str">
        <f t="array" ref="I980">XLOOKUP($G:$G,'Account Manager Data'!$A:$A,'Account Manager Data'!C:C)</f>
        <v>Kalimantan</v>
      </c>
      <c r="J980" s="17">
        <v>5833092.0</v>
      </c>
      <c r="K980" s="17">
        <v>7342575.0</v>
      </c>
      <c r="L980" s="17">
        <v>2423281.0</v>
      </c>
      <c r="M980" s="17">
        <v>6923171.0</v>
      </c>
      <c r="N980" s="17">
        <v>3173587.0</v>
      </c>
      <c r="O980" s="17">
        <v>6767009.0</v>
      </c>
      <c r="P980" s="17">
        <v>1.2958988E7</v>
      </c>
      <c r="Q980" s="17">
        <v>1.3135915E7</v>
      </c>
      <c r="R980" s="17">
        <v>7712606.0</v>
      </c>
      <c r="S980" s="17">
        <v>9719769.0</v>
      </c>
      <c r="T980" s="17">
        <v>1.6819501E7</v>
      </c>
      <c r="U980" s="17">
        <v>0.0</v>
      </c>
      <c r="V980" s="11">
        <f t="array" ref="V980">XLOOKUP(A:A,'Raw Revenue'!A:A,'Raw Revenue'!B:B,0)
</f>
        <v>0</v>
      </c>
      <c r="W980" s="11">
        <f t="array" ref="W980">XLOOKUP(A:A,'Raw Revenue'!C:C,'Raw Revenue'!D:D,0)</f>
        <v>0</v>
      </c>
      <c r="X980" s="11">
        <f t="array" ref="X980">XLOOKUP(A:A,'Raw Revenue'!E:E,'Raw Revenue'!F:F,0)</f>
        <v>0</v>
      </c>
      <c r="Y980" s="11">
        <f t="array" ref="Y980">XLOOKUP(A:A,'Raw Revenue'!G:G,'Raw Revenue'!H:H,0)</f>
        <v>0</v>
      </c>
      <c r="Z980" s="11">
        <f t="array" ref="Z980">XLOOKUP(A:A,'Raw Revenue'!I:I,'Raw Revenue'!J:J,0)</f>
        <v>0</v>
      </c>
      <c r="AA980" s="11">
        <f t="array" ref="AA980">XLOOKUP(A:A,'Raw Revenue'!K:K,'Raw Revenue'!L:L,0)</f>
        <v>0</v>
      </c>
      <c r="AB980" s="11">
        <f t="array" ref="AB980">XLOOKUP(A:A,'Raw Revenue'!M:M,'Raw Revenue'!N:N,0)</f>
        <v>0</v>
      </c>
      <c r="AC980" s="3">
        <v>0.0</v>
      </c>
      <c r="AD980" s="3">
        <v>0.0</v>
      </c>
      <c r="AE980" s="3">
        <v>0.0</v>
      </c>
      <c r="AF980" s="3">
        <v>0.0</v>
      </c>
      <c r="AG980" s="3">
        <v>0.0</v>
      </c>
    </row>
    <row r="981">
      <c r="A981" s="3" t="s">
        <v>2161</v>
      </c>
      <c r="B981" s="3" t="s">
        <v>2162</v>
      </c>
      <c r="C981" s="3" t="str">
        <f t="shared" si="1"/>
        <v>PT. Bintang Kejora Nusantara</v>
      </c>
      <c r="D981" s="3" t="s">
        <v>195</v>
      </c>
      <c r="E981" s="3" t="s">
        <v>104</v>
      </c>
      <c r="F981" s="3" t="s">
        <v>134</v>
      </c>
      <c r="G981" s="3" t="s">
        <v>53</v>
      </c>
      <c r="H981" s="3" t="str">
        <f t="array" ref="H981">XLOOKUP(G:G,'Account Manager Data'!A:A,'Account Manager Data'!B:B,0)</f>
        <v>Fajar Ramadhan</v>
      </c>
      <c r="I981" s="11" t="str">
        <f t="array" ref="I981">XLOOKUP($G:$G,'Account Manager Data'!$A:$A,'Account Manager Data'!C:C)</f>
        <v>Sulawesi</v>
      </c>
      <c r="J981" s="17">
        <v>4822174.0</v>
      </c>
      <c r="K981" s="17">
        <v>5138751.0</v>
      </c>
      <c r="L981" s="17">
        <v>5925937.0</v>
      </c>
      <c r="M981" s="17">
        <v>0.0</v>
      </c>
      <c r="N981" s="17">
        <v>1.0405458E7</v>
      </c>
      <c r="O981" s="17">
        <v>1.4955547E7</v>
      </c>
      <c r="P981" s="17">
        <v>1.0626335E7</v>
      </c>
      <c r="Q981" s="17">
        <v>550024.0</v>
      </c>
      <c r="R981" s="17">
        <v>3539627.0</v>
      </c>
      <c r="S981" s="17">
        <v>2779563.0</v>
      </c>
      <c r="T981" s="17">
        <v>9855174.0</v>
      </c>
      <c r="U981" s="17">
        <v>1.7745916E7</v>
      </c>
      <c r="V981" s="11">
        <f t="array" ref="V981">XLOOKUP(A:A,'Raw Revenue'!A:A,'Raw Revenue'!B:B,0)
</f>
        <v>0</v>
      </c>
      <c r="W981" s="11">
        <f t="array" ref="W981">XLOOKUP(A:A,'Raw Revenue'!C:C,'Raw Revenue'!D:D,0)</f>
        <v>0</v>
      </c>
      <c r="X981" s="11">
        <f t="array" ref="X981">XLOOKUP(A:A,'Raw Revenue'!E:E,'Raw Revenue'!F:F,0)</f>
        <v>0</v>
      </c>
      <c r="Y981" s="11">
        <f t="array" ref="Y981">XLOOKUP(A:A,'Raw Revenue'!G:G,'Raw Revenue'!H:H,0)</f>
        <v>0</v>
      </c>
      <c r="Z981" s="11">
        <f t="array" ref="Z981">XLOOKUP(A:A,'Raw Revenue'!I:I,'Raw Revenue'!J:J,0)</f>
        <v>0</v>
      </c>
      <c r="AA981" s="11">
        <f t="array" ref="AA981">XLOOKUP(A:A,'Raw Revenue'!K:K,'Raw Revenue'!L:L,0)</f>
        <v>0</v>
      </c>
      <c r="AB981" s="11">
        <f t="array" ref="AB981">XLOOKUP(A:A,'Raw Revenue'!M:M,'Raw Revenue'!N:N,0)</f>
        <v>0</v>
      </c>
      <c r="AC981" s="3">
        <v>0.0</v>
      </c>
      <c r="AD981" s="3">
        <v>0.0</v>
      </c>
      <c r="AE981" s="3">
        <v>0.0</v>
      </c>
      <c r="AF981" s="3">
        <v>0.0</v>
      </c>
      <c r="AG981" s="3">
        <v>0.0</v>
      </c>
    </row>
    <row r="982">
      <c r="A982" s="3" t="s">
        <v>2163</v>
      </c>
      <c r="B982" s="3" t="s">
        <v>2164</v>
      </c>
      <c r="C982" s="3" t="str">
        <f t="shared" si="1"/>
        <v>PT. Maju Jaya</v>
      </c>
      <c r="D982" s="3" t="s">
        <v>84</v>
      </c>
      <c r="E982" s="3" t="s">
        <v>215</v>
      </c>
      <c r="F982" s="3" t="s">
        <v>216</v>
      </c>
      <c r="G982" s="3" t="s">
        <v>27</v>
      </c>
      <c r="H982" s="3" t="str">
        <f t="array" ref="H982">XLOOKUP(G:G,'Account Manager Data'!A:A,'Account Manager Data'!B:B,0)</f>
        <v>Dedi Kurniawan</v>
      </c>
      <c r="I982" s="11" t="str">
        <f t="array" ref="I982">XLOOKUP($G:$G,'Account Manager Data'!$A:$A,'Account Manager Data'!C:C)</f>
        <v>Kalimantan</v>
      </c>
      <c r="J982" s="17">
        <v>7543887.0</v>
      </c>
      <c r="K982" s="17">
        <v>6318578.0</v>
      </c>
      <c r="L982" s="17">
        <v>1.0298019E7</v>
      </c>
      <c r="M982" s="17">
        <v>3126811.0</v>
      </c>
      <c r="N982" s="17">
        <v>344075.0</v>
      </c>
      <c r="O982" s="17">
        <v>1.3245397E7</v>
      </c>
      <c r="P982" s="17">
        <v>0.0</v>
      </c>
      <c r="Q982" s="17">
        <v>3042578.0</v>
      </c>
      <c r="R982" s="17">
        <v>1.4077303E7</v>
      </c>
      <c r="S982" s="17">
        <v>2211448.0</v>
      </c>
      <c r="T982" s="17">
        <v>9907167.0</v>
      </c>
      <c r="U982" s="17">
        <v>1.7848637E7</v>
      </c>
      <c r="V982" s="11">
        <f t="array" ref="V982">XLOOKUP(A:A,'Raw Revenue'!A:A,'Raw Revenue'!B:B,0)
</f>
        <v>0</v>
      </c>
      <c r="W982" s="11">
        <f t="array" ref="W982">XLOOKUP(A:A,'Raw Revenue'!C:C,'Raw Revenue'!D:D,0)</f>
        <v>0</v>
      </c>
      <c r="X982" s="11">
        <f t="array" ref="X982">XLOOKUP(A:A,'Raw Revenue'!E:E,'Raw Revenue'!F:F,0)</f>
        <v>0</v>
      </c>
      <c r="Y982" s="11">
        <f t="array" ref="Y982">XLOOKUP(A:A,'Raw Revenue'!G:G,'Raw Revenue'!H:H,0)</f>
        <v>0</v>
      </c>
      <c r="Z982" s="11">
        <f t="array" ref="Z982">XLOOKUP(A:A,'Raw Revenue'!I:I,'Raw Revenue'!J:J,0)</f>
        <v>0</v>
      </c>
      <c r="AA982" s="11">
        <f t="array" ref="AA982">XLOOKUP(A:A,'Raw Revenue'!K:K,'Raw Revenue'!L:L,0)</f>
        <v>0</v>
      </c>
      <c r="AB982" s="11">
        <f t="array" ref="AB982">XLOOKUP(A:A,'Raw Revenue'!M:M,'Raw Revenue'!N:N,0)</f>
        <v>0</v>
      </c>
      <c r="AC982" s="3">
        <v>0.0</v>
      </c>
      <c r="AD982" s="3">
        <v>0.0</v>
      </c>
      <c r="AE982" s="3">
        <v>0.0</v>
      </c>
      <c r="AF982" s="3">
        <v>0.0</v>
      </c>
      <c r="AG982" s="3">
        <v>0.0</v>
      </c>
    </row>
    <row r="983">
      <c r="A983" s="3" t="s">
        <v>2165</v>
      </c>
      <c r="B983" s="3" t="s">
        <v>2166</v>
      </c>
      <c r="C983" s="3" t="str">
        <f t="shared" si="1"/>
        <v>CV. Sumber Makmur</v>
      </c>
      <c r="D983" s="3" t="s">
        <v>186</v>
      </c>
      <c r="E983" s="3" t="s">
        <v>196</v>
      </c>
      <c r="F983" s="3" t="s">
        <v>197</v>
      </c>
      <c r="G983" s="3" t="s">
        <v>78</v>
      </c>
      <c r="H983" s="3" t="str">
        <f t="array" ref="H983">XLOOKUP(G:G,'Account Manager Data'!A:A,'Account Manager Data'!B:B,0)</f>
        <v>Ilham Saputra</v>
      </c>
      <c r="I983" s="11" t="str">
        <f t="array" ref="I983">XLOOKUP($G:$G,'Account Manager Data'!$A:$A,'Account Manager Data'!C:C)</f>
        <v>Jawa</v>
      </c>
      <c r="J983" s="17">
        <v>7981823.0</v>
      </c>
      <c r="K983" s="17">
        <v>4698491.0</v>
      </c>
      <c r="L983" s="17">
        <v>3571421.0</v>
      </c>
      <c r="M983" s="17">
        <v>5279917.0</v>
      </c>
      <c r="N983" s="17">
        <v>0.0</v>
      </c>
      <c r="O983" s="17">
        <v>2136290.0</v>
      </c>
      <c r="P983" s="17">
        <v>9476500.0</v>
      </c>
      <c r="Q983" s="17">
        <v>1.481265E7</v>
      </c>
      <c r="R983" s="17">
        <v>1.3690228E7</v>
      </c>
      <c r="S983" s="17">
        <v>9991870.0</v>
      </c>
      <c r="T983" s="17">
        <v>2558079.0</v>
      </c>
      <c r="U983" s="17">
        <v>1.4761489E7</v>
      </c>
      <c r="V983" s="11">
        <f t="array" ref="V983">XLOOKUP(A:A,'Raw Revenue'!A:A,'Raw Revenue'!B:B,0)
</f>
        <v>0</v>
      </c>
      <c r="W983" s="11">
        <f t="array" ref="W983">XLOOKUP(A:A,'Raw Revenue'!C:C,'Raw Revenue'!D:D,0)</f>
        <v>0</v>
      </c>
      <c r="X983" s="11">
        <f t="array" ref="X983">XLOOKUP(A:A,'Raw Revenue'!E:E,'Raw Revenue'!F:F,0)</f>
        <v>0</v>
      </c>
      <c r="Y983" s="11">
        <f t="array" ref="Y983">XLOOKUP(A:A,'Raw Revenue'!G:G,'Raw Revenue'!H:H,0)</f>
        <v>0</v>
      </c>
      <c r="Z983" s="11">
        <f t="array" ref="Z983">XLOOKUP(A:A,'Raw Revenue'!I:I,'Raw Revenue'!J:J,0)</f>
        <v>0</v>
      </c>
      <c r="AA983" s="11">
        <f t="array" ref="AA983">XLOOKUP(A:A,'Raw Revenue'!K:K,'Raw Revenue'!L:L,0)</f>
        <v>0</v>
      </c>
      <c r="AB983" s="11">
        <f t="array" ref="AB983">XLOOKUP(A:A,'Raw Revenue'!M:M,'Raw Revenue'!N:N,0)</f>
        <v>0</v>
      </c>
      <c r="AC983" s="3">
        <v>0.0</v>
      </c>
      <c r="AD983" s="3">
        <v>0.0</v>
      </c>
      <c r="AE983" s="3">
        <v>0.0</v>
      </c>
      <c r="AF983" s="3">
        <v>0.0</v>
      </c>
      <c r="AG983" s="3">
        <v>0.0</v>
      </c>
    </row>
    <row r="984">
      <c r="A984" s="3" t="s">
        <v>2167</v>
      </c>
      <c r="B984" s="3" t="s">
        <v>2168</v>
      </c>
      <c r="C984" s="3" t="str">
        <f t="shared" si="1"/>
        <v>PT. Teknologi Nusantara</v>
      </c>
      <c r="D984" s="3" t="s">
        <v>186</v>
      </c>
      <c r="E984" s="3" t="s">
        <v>215</v>
      </c>
      <c r="F984" s="3" t="s">
        <v>216</v>
      </c>
      <c r="G984" s="3" t="s">
        <v>35</v>
      </c>
      <c r="H984" s="3" t="str">
        <f t="array" ref="H984">XLOOKUP(G:G,'Account Manager Data'!A:A,'Account Manager Data'!B:B,0)</f>
        <v>Ahmad Fauzi</v>
      </c>
      <c r="I984" s="11" t="str">
        <f t="array" ref="I984">XLOOKUP($G:$G,'Account Manager Data'!$A:$A,'Account Manager Data'!C:C)</f>
        <v>Sumatera</v>
      </c>
      <c r="J984" s="17">
        <v>8146354.0</v>
      </c>
      <c r="K984" s="17">
        <v>6359754.0</v>
      </c>
      <c r="L984" s="17">
        <v>4632541.0</v>
      </c>
      <c r="M984" s="17">
        <v>9492043.0</v>
      </c>
      <c r="N984" s="17">
        <v>363945.0</v>
      </c>
      <c r="O984" s="17">
        <v>1745982.0</v>
      </c>
      <c r="P984" s="17">
        <v>1124821.0</v>
      </c>
      <c r="Q984" s="17">
        <v>1.2610853E7</v>
      </c>
      <c r="R984" s="17">
        <v>1.0858595E7</v>
      </c>
      <c r="S984" s="17">
        <v>1.2141683E7</v>
      </c>
      <c r="T984" s="17">
        <v>2475113.0</v>
      </c>
      <c r="U984" s="17">
        <v>5985364.0</v>
      </c>
      <c r="V984" s="11">
        <f t="array" ref="V984">XLOOKUP(A:A,'Raw Revenue'!A:A,'Raw Revenue'!B:B,0)
</f>
        <v>0</v>
      </c>
      <c r="W984" s="11">
        <f t="array" ref="W984">XLOOKUP(A:A,'Raw Revenue'!C:C,'Raw Revenue'!D:D,0)</f>
        <v>0</v>
      </c>
      <c r="X984" s="11">
        <f t="array" ref="X984">XLOOKUP(A:A,'Raw Revenue'!E:E,'Raw Revenue'!F:F,0)</f>
        <v>0</v>
      </c>
      <c r="Y984" s="11">
        <f t="array" ref="Y984">XLOOKUP(A:A,'Raw Revenue'!G:G,'Raw Revenue'!H:H,0)</f>
        <v>0</v>
      </c>
      <c r="Z984" s="11">
        <f t="array" ref="Z984">XLOOKUP(A:A,'Raw Revenue'!I:I,'Raw Revenue'!J:J,0)</f>
        <v>0</v>
      </c>
      <c r="AA984" s="11">
        <f t="array" ref="AA984">XLOOKUP(A:A,'Raw Revenue'!K:K,'Raw Revenue'!L:L,0)</f>
        <v>0</v>
      </c>
      <c r="AB984" s="11">
        <f t="array" ref="AB984">XLOOKUP(A:A,'Raw Revenue'!M:M,'Raw Revenue'!N:N,0)</f>
        <v>0</v>
      </c>
      <c r="AC984" s="3">
        <v>0.0</v>
      </c>
      <c r="AD984" s="3">
        <v>0.0</v>
      </c>
      <c r="AE984" s="3">
        <v>0.0</v>
      </c>
      <c r="AF984" s="3">
        <v>0.0</v>
      </c>
      <c r="AG984" s="3">
        <v>0.0</v>
      </c>
    </row>
    <row r="985">
      <c r="A985" s="3" t="s">
        <v>2169</v>
      </c>
      <c r="B985" s="3" t="s">
        <v>2170</v>
      </c>
      <c r="C985" s="3" t="str">
        <f t="shared" si="1"/>
        <v>PT. Bakti Indonesia</v>
      </c>
      <c r="D985" s="3" t="s">
        <v>186</v>
      </c>
      <c r="E985" s="3" t="s">
        <v>85</v>
      </c>
      <c r="F985" s="3" t="s">
        <v>86</v>
      </c>
      <c r="G985" s="3" t="s">
        <v>74</v>
      </c>
      <c r="H985" s="3" t="str">
        <f t="array" ref="H985">XLOOKUP(G:G,'Account Manager Data'!A:A,'Account Manager Data'!B:B,0)</f>
        <v>Budi Santoso</v>
      </c>
      <c r="I985" s="11" t="str">
        <f t="array" ref="I985">XLOOKUP($G:$G,'Account Manager Data'!$A:$A,'Account Manager Data'!C:C)</f>
        <v>Papua</v>
      </c>
      <c r="J985" s="17">
        <v>6746897.0</v>
      </c>
      <c r="K985" s="17">
        <v>7200805.0</v>
      </c>
      <c r="L985" s="17">
        <v>1103188.0</v>
      </c>
      <c r="M985" s="17">
        <v>3640855.0</v>
      </c>
      <c r="N985" s="17">
        <v>0.0</v>
      </c>
      <c r="O985" s="17">
        <v>7421699.0</v>
      </c>
      <c r="P985" s="17">
        <v>1.5650242E7</v>
      </c>
      <c r="Q985" s="17">
        <v>1.0103814E7</v>
      </c>
      <c r="R985" s="17">
        <v>1.4436783E7</v>
      </c>
      <c r="S985" s="17">
        <v>1.069385E7</v>
      </c>
      <c r="T985" s="17">
        <v>1.8111045E7</v>
      </c>
      <c r="U985" s="17">
        <v>5502153.0</v>
      </c>
      <c r="V985" s="11">
        <f t="array" ref="V985">XLOOKUP(A:A,'Raw Revenue'!A:A,'Raw Revenue'!B:B,0)
</f>
        <v>0</v>
      </c>
      <c r="W985" s="11">
        <f t="array" ref="W985">XLOOKUP(A:A,'Raw Revenue'!C:C,'Raw Revenue'!D:D,0)</f>
        <v>0</v>
      </c>
      <c r="X985" s="11">
        <f t="array" ref="X985">XLOOKUP(A:A,'Raw Revenue'!E:E,'Raw Revenue'!F:F,0)</f>
        <v>0</v>
      </c>
      <c r="Y985" s="11">
        <f t="array" ref="Y985">XLOOKUP(A:A,'Raw Revenue'!G:G,'Raw Revenue'!H:H,0)</f>
        <v>0</v>
      </c>
      <c r="Z985" s="11">
        <f t="array" ref="Z985">XLOOKUP(A:A,'Raw Revenue'!I:I,'Raw Revenue'!J:J,0)</f>
        <v>0</v>
      </c>
      <c r="AA985" s="11">
        <f t="array" ref="AA985">XLOOKUP(A:A,'Raw Revenue'!K:K,'Raw Revenue'!L:L,0)</f>
        <v>0</v>
      </c>
      <c r="AB985" s="11">
        <f t="array" ref="AB985">XLOOKUP(A:A,'Raw Revenue'!M:M,'Raw Revenue'!N:N,0)</f>
        <v>0</v>
      </c>
      <c r="AC985" s="3">
        <v>0.0</v>
      </c>
      <c r="AD985" s="3">
        <v>0.0</v>
      </c>
      <c r="AE985" s="3">
        <v>0.0</v>
      </c>
      <c r="AF985" s="3">
        <v>0.0</v>
      </c>
      <c r="AG985" s="3">
        <v>0.0</v>
      </c>
    </row>
    <row r="986">
      <c r="A986" s="3" t="s">
        <v>2171</v>
      </c>
      <c r="B986" s="3" t="s">
        <v>2172</v>
      </c>
      <c r="C986" s="3" t="str">
        <f t="shared" si="1"/>
        <v>CV. Amanah Sejahtera</v>
      </c>
      <c r="D986" s="3" t="s">
        <v>130</v>
      </c>
      <c r="E986" s="3" t="s">
        <v>85</v>
      </c>
      <c r="F986" s="3" t="s">
        <v>86</v>
      </c>
      <c r="G986" s="3" t="s">
        <v>43</v>
      </c>
      <c r="H986" s="3" t="str">
        <f t="array" ref="H986">XLOOKUP(G:G,'Account Manager Data'!A:A,'Account Manager Data'!B:B,0)</f>
        <v>Eko Prasetyo</v>
      </c>
      <c r="I986" s="11" t="str">
        <f t="array" ref="I986">XLOOKUP($G:$G,'Account Manager Data'!$A:$A,'Account Manager Data'!C:C)</f>
        <v>Papua</v>
      </c>
      <c r="J986" s="17">
        <v>4362356.0</v>
      </c>
      <c r="K986" s="17">
        <v>4773031.0</v>
      </c>
      <c r="L986" s="17">
        <v>2566178.0</v>
      </c>
      <c r="M986" s="17">
        <v>9056944.0</v>
      </c>
      <c r="N986" s="17">
        <v>4278414.0</v>
      </c>
      <c r="O986" s="17">
        <v>1.2720042E7</v>
      </c>
      <c r="P986" s="17">
        <v>6839066.0</v>
      </c>
      <c r="Q986" s="17">
        <v>9470999.0</v>
      </c>
      <c r="R986" s="17">
        <v>1.4500288E7</v>
      </c>
      <c r="S986" s="17">
        <v>1.1218524E7</v>
      </c>
      <c r="T986" s="17">
        <v>416.0</v>
      </c>
      <c r="U986" s="17">
        <v>0.0</v>
      </c>
      <c r="V986" s="11">
        <f t="array" ref="V986">XLOOKUP(A:A,'Raw Revenue'!A:A,'Raw Revenue'!B:B,0)
</f>
        <v>0</v>
      </c>
      <c r="W986" s="11">
        <f t="array" ref="W986">XLOOKUP(A:A,'Raw Revenue'!C:C,'Raw Revenue'!D:D,0)</f>
        <v>0</v>
      </c>
      <c r="X986" s="11">
        <f t="array" ref="X986">XLOOKUP(A:A,'Raw Revenue'!E:E,'Raw Revenue'!F:F,0)</f>
        <v>0</v>
      </c>
      <c r="Y986" s="11">
        <f t="array" ref="Y986">XLOOKUP(A:A,'Raw Revenue'!G:G,'Raw Revenue'!H:H,0)</f>
        <v>0</v>
      </c>
      <c r="Z986" s="11">
        <f t="array" ref="Z986">XLOOKUP(A:A,'Raw Revenue'!I:I,'Raw Revenue'!J:J,0)</f>
        <v>0</v>
      </c>
      <c r="AA986" s="11">
        <f t="array" ref="AA986">XLOOKUP(A:A,'Raw Revenue'!K:K,'Raw Revenue'!L:L,0)</f>
        <v>0</v>
      </c>
      <c r="AB986" s="11">
        <f t="array" ref="AB986">XLOOKUP(A:A,'Raw Revenue'!M:M,'Raw Revenue'!N:N,0)</f>
        <v>0</v>
      </c>
      <c r="AC986" s="3">
        <v>0.0</v>
      </c>
      <c r="AD986" s="3">
        <v>0.0</v>
      </c>
      <c r="AE986" s="3">
        <v>0.0</v>
      </c>
      <c r="AF986" s="3">
        <v>0.0</v>
      </c>
      <c r="AG986" s="3">
        <v>0.0</v>
      </c>
    </row>
    <row r="987">
      <c r="A987" s="3" t="s">
        <v>475</v>
      </c>
      <c r="B987" s="3" t="s">
        <v>2173</v>
      </c>
      <c r="C987" s="3" t="str">
        <f t="shared" si="1"/>
        <v>PT. Digital Solusi Pratama</v>
      </c>
      <c r="D987" s="3" t="s">
        <v>103</v>
      </c>
      <c r="E987" s="3" t="s">
        <v>187</v>
      </c>
      <c r="F987" s="3" t="s">
        <v>295</v>
      </c>
      <c r="G987" s="3" t="s">
        <v>76</v>
      </c>
      <c r="H987" s="3" t="str">
        <f t="array" ref="H987">XLOOKUP(G:G,'Account Manager Data'!A:A,'Account Manager Data'!B:B,0)</f>
        <v>Teguh Wijaya</v>
      </c>
      <c r="I987" s="11" t="str">
        <f t="array" ref="I987">XLOOKUP($G:$G,'Account Manager Data'!$A:$A,'Account Manager Data'!C:C)</f>
        <v>Sulawesi</v>
      </c>
      <c r="J987" s="17">
        <v>6417699.0</v>
      </c>
      <c r="K987" s="17">
        <v>4407876.0</v>
      </c>
      <c r="L987" s="17">
        <v>3901452.0</v>
      </c>
      <c r="M987" s="17">
        <v>7898638.0</v>
      </c>
      <c r="N987" s="17">
        <v>1500029.0</v>
      </c>
      <c r="O987" s="17">
        <v>430085.0</v>
      </c>
      <c r="P987" s="17">
        <v>1.5058445E7</v>
      </c>
      <c r="Q987" s="17">
        <v>1.4582031E7</v>
      </c>
      <c r="R987" s="17">
        <v>1662280.0</v>
      </c>
      <c r="S987" s="17">
        <v>1.2163008E7</v>
      </c>
      <c r="T987" s="17">
        <v>1.7289757E7</v>
      </c>
      <c r="U987" s="17">
        <v>5803159.0</v>
      </c>
      <c r="V987" s="11">
        <f t="array" ref="V987">XLOOKUP(A:A,'Raw Revenue'!A:A,'Raw Revenue'!B:B,0)
</f>
        <v>421939.9563</v>
      </c>
      <c r="W987" s="11">
        <f t="array" ref="W987">XLOOKUP(A:A,'Raw Revenue'!C:C,'Raw Revenue'!D:D,0)</f>
        <v>210969.9782</v>
      </c>
      <c r="X987" s="11">
        <f t="array" ref="X987">XLOOKUP(A:A,'Raw Revenue'!E:E,'Raw Revenue'!F:F,0)</f>
        <v>126581.9869</v>
      </c>
      <c r="Y987" s="11">
        <f t="array" ref="Y987">XLOOKUP(A:A,'Raw Revenue'!G:G,'Raw Revenue'!H:H,0)</f>
        <v>1476789.847</v>
      </c>
      <c r="Z987" s="11">
        <f t="array" ref="Z987">XLOOKUP(A:A,'Raw Revenue'!I:I,'Raw Revenue'!J:J,0)</f>
        <v>337551.9651</v>
      </c>
      <c r="AA987" s="11">
        <f t="array" ref="AA987">XLOOKUP(A:A,'Raw Revenue'!K:K,'Raw Revenue'!L:L,0)</f>
        <v>9493.649017</v>
      </c>
      <c r="AB987" s="11">
        <f t="array" ref="AB987">XLOOKUP(A:A,'Raw Revenue'!M:M,'Raw Revenue'!N:N,0)</f>
        <v>1272148.968</v>
      </c>
      <c r="AC987" s="3">
        <v>0.0</v>
      </c>
      <c r="AD987" s="3">
        <v>0.0</v>
      </c>
      <c r="AE987" s="3">
        <v>0.0</v>
      </c>
      <c r="AF987" s="3">
        <v>0.0</v>
      </c>
      <c r="AG987" s="3">
        <v>0.0</v>
      </c>
    </row>
    <row r="988">
      <c r="A988" s="3" t="s">
        <v>2174</v>
      </c>
      <c r="B988" s="3" t="s">
        <v>2175</v>
      </c>
      <c r="C988" s="3" t="str">
        <f t="shared" si="1"/>
        <v>PT. Global Niaga Abadi</v>
      </c>
      <c r="D988" s="3" t="s">
        <v>130</v>
      </c>
      <c r="E988" s="3" t="s">
        <v>85</v>
      </c>
      <c r="F988" s="3" t="s">
        <v>407</v>
      </c>
      <c r="G988" s="3" t="s">
        <v>70</v>
      </c>
      <c r="H988" s="3" t="str">
        <f t="array" ref="H988">XLOOKUP(G:G,'Account Manager Data'!A:A,'Account Manager Data'!B:B,0)</f>
        <v>Yusuf Hidayat</v>
      </c>
      <c r="I988" s="11" t="str">
        <f t="array" ref="I988">XLOOKUP($G:$G,'Account Manager Data'!$A:$A,'Account Manager Data'!C:C)</f>
        <v>Sumatera</v>
      </c>
      <c r="J988" s="17">
        <v>4744374.0</v>
      </c>
      <c r="K988" s="17">
        <v>2892299.0</v>
      </c>
      <c r="L988" s="17">
        <v>9338994.0</v>
      </c>
      <c r="M988" s="17">
        <v>5244982.0</v>
      </c>
      <c r="N988" s="17">
        <v>3608297.0</v>
      </c>
      <c r="O988" s="17">
        <v>1.2516028E7</v>
      </c>
      <c r="P988" s="17">
        <v>1.550004E7</v>
      </c>
      <c r="Q988" s="17">
        <v>9966468.0</v>
      </c>
      <c r="R988" s="17">
        <v>0.0</v>
      </c>
      <c r="S988" s="17">
        <v>1.1787188E7</v>
      </c>
      <c r="T988" s="17">
        <v>7230121.0</v>
      </c>
      <c r="U988" s="17">
        <v>1.1892534E7</v>
      </c>
      <c r="V988" s="11">
        <f t="array" ref="V988">XLOOKUP(A:A,'Raw Revenue'!A:A,'Raw Revenue'!B:B,0)
</f>
        <v>0</v>
      </c>
      <c r="W988" s="11">
        <f t="array" ref="W988">XLOOKUP(A:A,'Raw Revenue'!C:C,'Raw Revenue'!D:D,0)</f>
        <v>0</v>
      </c>
      <c r="X988" s="11">
        <f t="array" ref="X988">XLOOKUP(A:A,'Raw Revenue'!E:E,'Raw Revenue'!F:F,0)</f>
        <v>0</v>
      </c>
      <c r="Y988" s="11">
        <f t="array" ref="Y988">XLOOKUP(A:A,'Raw Revenue'!G:G,'Raw Revenue'!H:H,0)</f>
        <v>0</v>
      </c>
      <c r="Z988" s="11">
        <f t="array" ref="Z988">XLOOKUP(A:A,'Raw Revenue'!I:I,'Raw Revenue'!J:J,0)</f>
        <v>0</v>
      </c>
      <c r="AA988" s="11">
        <f t="array" ref="AA988">XLOOKUP(A:A,'Raw Revenue'!K:K,'Raw Revenue'!L:L,0)</f>
        <v>0</v>
      </c>
      <c r="AB988" s="11">
        <f t="array" ref="AB988">XLOOKUP(A:A,'Raw Revenue'!M:M,'Raw Revenue'!N:N,0)</f>
        <v>0</v>
      </c>
      <c r="AC988" s="3">
        <v>0.0</v>
      </c>
      <c r="AD988" s="3">
        <v>0.0</v>
      </c>
      <c r="AE988" s="3">
        <v>0.0</v>
      </c>
      <c r="AF988" s="3">
        <v>0.0</v>
      </c>
      <c r="AG988" s="3">
        <v>0.0</v>
      </c>
    </row>
    <row r="989">
      <c r="A989" s="3" t="s">
        <v>2176</v>
      </c>
      <c r="B989" s="3" t="s">
        <v>2177</v>
      </c>
      <c r="C989" s="3" t="str">
        <f t="shared" si="1"/>
        <v>PT. Indo Makmur Sentosa</v>
      </c>
      <c r="D989" s="3" t="s">
        <v>186</v>
      </c>
      <c r="E989" s="3" t="s">
        <v>215</v>
      </c>
      <c r="F989" s="3" t="s">
        <v>216</v>
      </c>
      <c r="G989" s="3" t="s">
        <v>27</v>
      </c>
      <c r="H989" s="3" t="str">
        <f t="array" ref="H989">XLOOKUP(G:G,'Account Manager Data'!A:A,'Account Manager Data'!B:B,0)</f>
        <v>Dedi Kurniawan</v>
      </c>
      <c r="I989" s="11" t="str">
        <f t="array" ref="I989">XLOOKUP($G:$G,'Account Manager Data'!$A:$A,'Account Manager Data'!C:C)</f>
        <v>Kalimantan</v>
      </c>
      <c r="J989" s="17">
        <v>2114383.0</v>
      </c>
      <c r="K989" s="17">
        <v>5707322.0</v>
      </c>
      <c r="L989" s="17">
        <v>8816.0</v>
      </c>
      <c r="M989" s="17">
        <v>6914773.0</v>
      </c>
      <c r="N989" s="17">
        <v>5092492.0</v>
      </c>
      <c r="O989" s="17">
        <v>3615720.0</v>
      </c>
      <c r="P989" s="17">
        <v>3896902.0</v>
      </c>
      <c r="Q989" s="17">
        <v>1.1549784E7</v>
      </c>
      <c r="R989" s="17">
        <v>5603379.0</v>
      </c>
      <c r="S989" s="17">
        <v>6500091.0</v>
      </c>
      <c r="T989" s="17">
        <v>1.1184486E7</v>
      </c>
      <c r="U989" s="17">
        <v>4308335.0</v>
      </c>
      <c r="V989" s="11">
        <f t="array" ref="V989">XLOOKUP(A:A,'Raw Revenue'!A:A,'Raw Revenue'!B:B,0)
</f>
        <v>0</v>
      </c>
      <c r="W989" s="11">
        <f t="array" ref="W989">XLOOKUP(A:A,'Raw Revenue'!C:C,'Raw Revenue'!D:D,0)</f>
        <v>0</v>
      </c>
      <c r="X989" s="11">
        <f t="array" ref="X989">XLOOKUP(A:A,'Raw Revenue'!E:E,'Raw Revenue'!F:F,0)</f>
        <v>0</v>
      </c>
      <c r="Y989" s="11">
        <f t="array" ref="Y989">XLOOKUP(A:A,'Raw Revenue'!G:G,'Raw Revenue'!H:H,0)</f>
        <v>0</v>
      </c>
      <c r="Z989" s="11">
        <f t="array" ref="Z989">XLOOKUP(A:A,'Raw Revenue'!I:I,'Raw Revenue'!J:J,0)</f>
        <v>0</v>
      </c>
      <c r="AA989" s="11">
        <f t="array" ref="AA989">XLOOKUP(A:A,'Raw Revenue'!K:K,'Raw Revenue'!L:L,0)</f>
        <v>0</v>
      </c>
      <c r="AB989" s="11">
        <f t="array" ref="AB989">XLOOKUP(A:A,'Raw Revenue'!M:M,'Raw Revenue'!N:N,0)</f>
        <v>0</v>
      </c>
      <c r="AC989" s="3">
        <v>0.0</v>
      </c>
      <c r="AD989" s="3">
        <v>0.0</v>
      </c>
      <c r="AE989" s="3">
        <v>0.0</v>
      </c>
      <c r="AF989" s="3">
        <v>0.0</v>
      </c>
      <c r="AG989" s="3">
        <v>0.0</v>
      </c>
    </row>
    <row r="990">
      <c r="A990" s="3" t="s">
        <v>2178</v>
      </c>
      <c r="B990" s="3" t="s">
        <v>2179</v>
      </c>
      <c r="C990" s="3" t="str">
        <f t="shared" si="1"/>
        <v>PT. Citra Mandiri Utama</v>
      </c>
      <c r="D990" s="3" t="s">
        <v>84</v>
      </c>
      <c r="E990" s="3" t="s">
        <v>215</v>
      </c>
      <c r="F990" s="3" t="s">
        <v>300</v>
      </c>
      <c r="G990" s="3" t="s">
        <v>15</v>
      </c>
      <c r="H990" s="3" t="str">
        <f t="array" ref="H990">XLOOKUP(G:G,'Account Manager Data'!A:A,'Account Manager Data'!B:B,0)</f>
        <v>Rizky Maulana</v>
      </c>
      <c r="I990" s="11" t="str">
        <f t="array" ref="I990">XLOOKUP($G:$G,'Account Manager Data'!$A:$A,'Account Manager Data'!C:C)</f>
        <v>Jawa</v>
      </c>
      <c r="J990" s="17">
        <v>7531582.0</v>
      </c>
      <c r="K990" s="17">
        <v>5182906.0</v>
      </c>
      <c r="L990" s="17">
        <v>2713712.0</v>
      </c>
      <c r="M990" s="17">
        <v>9349777.0</v>
      </c>
      <c r="N990" s="17">
        <v>0.0</v>
      </c>
      <c r="O990" s="17">
        <v>1.4177499E7</v>
      </c>
      <c r="P990" s="17">
        <v>5629057.0</v>
      </c>
      <c r="Q990" s="17">
        <v>8699189.0</v>
      </c>
      <c r="R990" s="17">
        <v>3718546.0</v>
      </c>
      <c r="S990" s="17">
        <v>5338942.0</v>
      </c>
      <c r="T990" s="17">
        <v>5958036.0</v>
      </c>
      <c r="U990" s="17">
        <v>457721.0</v>
      </c>
      <c r="V990" s="11">
        <f t="array" ref="V990">XLOOKUP(A:A,'Raw Revenue'!A:A,'Raw Revenue'!B:B,0)
</f>
        <v>0</v>
      </c>
      <c r="W990" s="11">
        <f t="array" ref="W990">XLOOKUP(A:A,'Raw Revenue'!C:C,'Raw Revenue'!D:D,0)</f>
        <v>0</v>
      </c>
      <c r="X990" s="11">
        <f t="array" ref="X990">XLOOKUP(A:A,'Raw Revenue'!E:E,'Raw Revenue'!F:F,0)</f>
        <v>0</v>
      </c>
      <c r="Y990" s="11">
        <f t="array" ref="Y990">XLOOKUP(A:A,'Raw Revenue'!G:G,'Raw Revenue'!H:H,0)</f>
        <v>0</v>
      </c>
      <c r="Z990" s="11">
        <f t="array" ref="Z990">XLOOKUP(A:A,'Raw Revenue'!I:I,'Raw Revenue'!J:J,0)</f>
        <v>0</v>
      </c>
      <c r="AA990" s="11">
        <f t="array" ref="AA990">XLOOKUP(A:A,'Raw Revenue'!K:K,'Raw Revenue'!L:L,0)</f>
        <v>0</v>
      </c>
      <c r="AB990" s="11">
        <f t="array" ref="AB990">XLOOKUP(A:A,'Raw Revenue'!M:M,'Raw Revenue'!N:N,0)</f>
        <v>0</v>
      </c>
      <c r="AC990" s="3">
        <v>0.0</v>
      </c>
      <c r="AD990" s="3">
        <v>0.0</v>
      </c>
      <c r="AE990" s="3">
        <v>0.0</v>
      </c>
      <c r="AF990" s="3">
        <v>0.0</v>
      </c>
      <c r="AG990" s="3">
        <v>0.0</v>
      </c>
    </row>
    <row r="991">
      <c r="A991" s="3" t="s">
        <v>2180</v>
      </c>
      <c r="B991" s="3" t="s">
        <v>2181</v>
      </c>
      <c r="C991" s="3" t="str">
        <f t="shared" si="1"/>
        <v>PT. Sinar Dunia Baru</v>
      </c>
      <c r="D991" s="3" t="s">
        <v>214</v>
      </c>
      <c r="E991" s="3" t="s">
        <v>85</v>
      </c>
      <c r="F991" s="3" t="s">
        <v>248</v>
      </c>
      <c r="G991" s="3" t="s">
        <v>63</v>
      </c>
      <c r="H991" s="3" t="str">
        <f t="array" ref="H991">XLOOKUP(G:G,'Account Manager Data'!A:A,'Account Manager Data'!B:B,0)</f>
        <v>Hendra Gunawan</v>
      </c>
      <c r="I991" s="11" t="str">
        <f t="array" ref="I991">XLOOKUP($G:$G,'Account Manager Data'!$A:$A,'Account Manager Data'!C:C)</f>
        <v>Kalimantan</v>
      </c>
      <c r="J991" s="17">
        <v>5230602.0</v>
      </c>
      <c r="K991" s="17">
        <v>5917130.0</v>
      </c>
      <c r="L991" s="17">
        <v>2649897.0</v>
      </c>
      <c r="M991" s="17">
        <v>356713.0</v>
      </c>
      <c r="N991" s="17">
        <v>9682351.0</v>
      </c>
      <c r="O991" s="17">
        <v>4301020.0</v>
      </c>
      <c r="P991" s="17">
        <v>2176835.0</v>
      </c>
      <c r="Q991" s="17">
        <v>5840310.0</v>
      </c>
      <c r="R991" s="17">
        <v>1.4978172E7</v>
      </c>
      <c r="S991" s="17">
        <v>1.0614275E7</v>
      </c>
      <c r="T991" s="17">
        <v>1.0432893E7</v>
      </c>
      <c r="U991" s="17">
        <v>7452511.0</v>
      </c>
      <c r="V991" s="11">
        <f t="array" ref="V991">XLOOKUP(A:A,'Raw Revenue'!A:A,'Raw Revenue'!B:B,0)
</f>
        <v>0</v>
      </c>
      <c r="W991" s="11">
        <f t="array" ref="W991">XLOOKUP(A:A,'Raw Revenue'!C:C,'Raw Revenue'!D:D,0)</f>
        <v>0</v>
      </c>
      <c r="X991" s="11">
        <f t="array" ref="X991">XLOOKUP(A:A,'Raw Revenue'!E:E,'Raw Revenue'!F:F,0)</f>
        <v>0</v>
      </c>
      <c r="Y991" s="11">
        <f t="array" ref="Y991">XLOOKUP(A:A,'Raw Revenue'!G:G,'Raw Revenue'!H:H,0)</f>
        <v>0</v>
      </c>
      <c r="Z991" s="11">
        <f t="array" ref="Z991">XLOOKUP(A:A,'Raw Revenue'!I:I,'Raw Revenue'!J:J,0)</f>
        <v>0</v>
      </c>
      <c r="AA991" s="11">
        <f t="array" ref="AA991">XLOOKUP(A:A,'Raw Revenue'!K:K,'Raw Revenue'!L:L,0)</f>
        <v>0</v>
      </c>
      <c r="AB991" s="11">
        <f t="array" ref="AB991">XLOOKUP(A:A,'Raw Revenue'!M:M,'Raw Revenue'!N:N,0)</f>
        <v>0</v>
      </c>
      <c r="AC991" s="3">
        <v>0.0</v>
      </c>
      <c r="AD991" s="3">
        <v>0.0</v>
      </c>
      <c r="AE991" s="3">
        <v>0.0</v>
      </c>
      <c r="AF991" s="3">
        <v>0.0</v>
      </c>
      <c r="AG991" s="3">
        <v>0.0</v>
      </c>
    </row>
    <row r="992">
      <c r="A992" s="3" t="s">
        <v>2182</v>
      </c>
      <c r="B992" s="3" t="s">
        <v>2183</v>
      </c>
      <c r="C992" s="3" t="str">
        <f t="shared" si="1"/>
        <v>CV. Karya Utama Mandiri</v>
      </c>
      <c r="D992" s="3" t="s">
        <v>84</v>
      </c>
      <c r="E992" s="3" t="s">
        <v>196</v>
      </c>
      <c r="F992" s="3" t="s">
        <v>197</v>
      </c>
      <c r="G992" s="3" t="s">
        <v>78</v>
      </c>
      <c r="H992" s="3" t="str">
        <f t="array" ref="H992">XLOOKUP(G:G,'Account Manager Data'!A:A,'Account Manager Data'!B:B,0)</f>
        <v>Ilham Saputra</v>
      </c>
      <c r="I992" s="11" t="str">
        <f t="array" ref="I992">XLOOKUP($G:$G,'Account Manager Data'!$A:$A,'Account Manager Data'!C:C)</f>
        <v>Jawa</v>
      </c>
      <c r="J992" s="17">
        <v>2555858.0</v>
      </c>
      <c r="K992" s="17">
        <v>6731236.0</v>
      </c>
      <c r="L992" s="17">
        <v>5981147.0</v>
      </c>
      <c r="M992" s="17">
        <v>6634860.0</v>
      </c>
      <c r="N992" s="17">
        <v>45766.0</v>
      </c>
      <c r="O992" s="17">
        <v>0.0</v>
      </c>
      <c r="P992" s="17">
        <v>0.0</v>
      </c>
      <c r="Q992" s="17">
        <v>1.3890343E7</v>
      </c>
      <c r="R992" s="17">
        <v>1303684.0</v>
      </c>
      <c r="S992" s="17">
        <v>7430827.0</v>
      </c>
      <c r="T992" s="17">
        <v>7209360.0</v>
      </c>
      <c r="U992" s="17">
        <v>1.6057114E7</v>
      </c>
      <c r="V992" s="11">
        <f t="array" ref="V992">XLOOKUP(A:A,'Raw Revenue'!A:A,'Raw Revenue'!B:B,0)
</f>
        <v>0</v>
      </c>
      <c r="W992" s="11">
        <f t="array" ref="W992">XLOOKUP(A:A,'Raw Revenue'!C:C,'Raw Revenue'!D:D,0)</f>
        <v>0</v>
      </c>
      <c r="X992" s="11">
        <f t="array" ref="X992">XLOOKUP(A:A,'Raw Revenue'!E:E,'Raw Revenue'!F:F,0)</f>
        <v>0</v>
      </c>
      <c r="Y992" s="11">
        <f t="array" ref="Y992">XLOOKUP(A:A,'Raw Revenue'!G:G,'Raw Revenue'!H:H,0)</f>
        <v>0</v>
      </c>
      <c r="Z992" s="11">
        <f t="array" ref="Z992">XLOOKUP(A:A,'Raw Revenue'!I:I,'Raw Revenue'!J:J,0)</f>
        <v>0</v>
      </c>
      <c r="AA992" s="11">
        <f t="array" ref="AA992">XLOOKUP(A:A,'Raw Revenue'!K:K,'Raw Revenue'!L:L,0)</f>
        <v>0</v>
      </c>
      <c r="AB992" s="11">
        <f t="array" ref="AB992">XLOOKUP(A:A,'Raw Revenue'!M:M,'Raw Revenue'!N:N,0)</f>
        <v>0</v>
      </c>
      <c r="AC992" s="3">
        <v>0.0</v>
      </c>
      <c r="AD992" s="3">
        <v>0.0</v>
      </c>
      <c r="AE992" s="3">
        <v>0.0</v>
      </c>
      <c r="AF992" s="3">
        <v>0.0</v>
      </c>
      <c r="AG992" s="3">
        <v>0.0</v>
      </c>
    </row>
    <row r="993">
      <c r="A993" s="3" t="s">
        <v>2184</v>
      </c>
      <c r="B993" s="3" t="s">
        <v>2185</v>
      </c>
      <c r="C993" s="3" t="str">
        <f t="shared" si="1"/>
        <v>PT. Pratama Jaya Sentosa</v>
      </c>
      <c r="D993" s="3" t="s">
        <v>195</v>
      </c>
      <c r="E993" s="3" t="s">
        <v>104</v>
      </c>
      <c r="F993" s="3" t="s">
        <v>134</v>
      </c>
      <c r="G993" s="3" t="s">
        <v>53</v>
      </c>
      <c r="H993" s="3" t="str">
        <f t="array" ref="H993">XLOOKUP(G:G,'Account Manager Data'!A:A,'Account Manager Data'!B:B,0)</f>
        <v>Fajar Ramadhan</v>
      </c>
      <c r="I993" s="11" t="str">
        <f t="array" ref="I993">XLOOKUP($G:$G,'Account Manager Data'!$A:$A,'Account Manager Data'!C:C)</f>
        <v>Sulawesi</v>
      </c>
      <c r="J993" s="17">
        <v>8110843.0</v>
      </c>
      <c r="K993" s="17">
        <v>7172368.0</v>
      </c>
      <c r="L993" s="17">
        <v>937795.0</v>
      </c>
      <c r="M993" s="17">
        <v>9302869.0</v>
      </c>
      <c r="N993" s="17">
        <v>1833912.0</v>
      </c>
      <c r="O993" s="17">
        <v>9977071.0</v>
      </c>
      <c r="P993" s="17">
        <v>6445259.0</v>
      </c>
      <c r="Q993" s="17">
        <v>4229505.0</v>
      </c>
      <c r="R993" s="17">
        <v>3011061.0</v>
      </c>
      <c r="S993" s="17">
        <v>1454961.0</v>
      </c>
      <c r="T993" s="17">
        <v>1.3264058E7</v>
      </c>
      <c r="U993" s="17">
        <v>1.2905393E7</v>
      </c>
      <c r="V993" s="11">
        <f t="array" ref="V993">XLOOKUP(A:A,'Raw Revenue'!A:A,'Raw Revenue'!B:B,0)
</f>
        <v>0</v>
      </c>
      <c r="W993" s="11">
        <f t="array" ref="W993">XLOOKUP(A:A,'Raw Revenue'!C:C,'Raw Revenue'!D:D,0)</f>
        <v>0</v>
      </c>
      <c r="X993" s="11">
        <f t="array" ref="X993">XLOOKUP(A:A,'Raw Revenue'!E:E,'Raw Revenue'!F:F,0)</f>
        <v>0</v>
      </c>
      <c r="Y993" s="11">
        <f t="array" ref="Y993">XLOOKUP(A:A,'Raw Revenue'!G:G,'Raw Revenue'!H:H,0)</f>
        <v>0</v>
      </c>
      <c r="Z993" s="11">
        <f t="array" ref="Z993">XLOOKUP(A:A,'Raw Revenue'!I:I,'Raw Revenue'!J:J,0)</f>
        <v>0</v>
      </c>
      <c r="AA993" s="11">
        <f t="array" ref="AA993">XLOOKUP(A:A,'Raw Revenue'!K:K,'Raw Revenue'!L:L,0)</f>
        <v>0</v>
      </c>
      <c r="AB993" s="11">
        <f t="array" ref="AB993">XLOOKUP(A:A,'Raw Revenue'!M:M,'Raw Revenue'!N:N,0)</f>
        <v>0</v>
      </c>
      <c r="AC993" s="3">
        <v>0.0</v>
      </c>
      <c r="AD993" s="3">
        <v>0.0</v>
      </c>
      <c r="AE993" s="3">
        <v>0.0</v>
      </c>
      <c r="AF993" s="3">
        <v>0.0</v>
      </c>
      <c r="AG993" s="3">
        <v>0.0</v>
      </c>
    </row>
    <row r="994">
      <c r="A994" s="3" t="s">
        <v>2186</v>
      </c>
      <c r="B994" s="3" t="s">
        <v>2187</v>
      </c>
      <c r="C994" s="3" t="str">
        <f t="shared" si="1"/>
        <v>PT. Abadi Selamanya Jaya</v>
      </c>
      <c r="D994" s="3" t="s">
        <v>130</v>
      </c>
      <c r="E994" s="3" t="s">
        <v>187</v>
      </c>
      <c r="F994" s="3" t="s">
        <v>269</v>
      </c>
      <c r="G994" s="3" t="s">
        <v>35</v>
      </c>
      <c r="H994" s="3" t="str">
        <f t="array" ref="H994">XLOOKUP(G:G,'Account Manager Data'!A:A,'Account Manager Data'!B:B,0)</f>
        <v>Ahmad Fauzi</v>
      </c>
      <c r="I994" s="11" t="str">
        <f t="array" ref="I994">XLOOKUP($G:$G,'Account Manager Data'!$A:$A,'Account Manager Data'!C:C)</f>
        <v>Sumatera</v>
      </c>
      <c r="J994" s="17">
        <v>6502246.0</v>
      </c>
      <c r="K994" s="17">
        <v>8687240.0</v>
      </c>
      <c r="L994" s="17">
        <v>4225100.0</v>
      </c>
      <c r="M994" s="17">
        <v>136067.0</v>
      </c>
      <c r="N994" s="17">
        <v>4269379.0</v>
      </c>
      <c r="O994" s="17">
        <v>9462395.0</v>
      </c>
      <c r="P994" s="17">
        <v>5922130.0</v>
      </c>
      <c r="Q994" s="17">
        <v>5608030.0</v>
      </c>
      <c r="R994" s="17">
        <v>6343045.0</v>
      </c>
      <c r="S994" s="17">
        <v>7722366.0</v>
      </c>
      <c r="T994" s="17">
        <v>7390036.0</v>
      </c>
      <c r="U994" s="17">
        <v>7496217.0</v>
      </c>
      <c r="V994" s="11">
        <f t="array" ref="V994">XLOOKUP(A:A,'Raw Revenue'!A:A,'Raw Revenue'!B:B,0)
</f>
        <v>0</v>
      </c>
      <c r="W994" s="11">
        <f t="array" ref="W994">XLOOKUP(A:A,'Raw Revenue'!C:C,'Raw Revenue'!D:D,0)</f>
        <v>0</v>
      </c>
      <c r="X994" s="11">
        <f t="array" ref="X994">XLOOKUP(A:A,'Raw Revenue'!E:E,'Raw Revenue'!F:F,0)</f>
        <v>0</v>
      </c>
      <c r="Y994" s="11">
        <f t="array" ref="Y994">XLOOKUP(A:A,'Raw Revenue'!G:G,'Raw Revenue'!H:H,0)</f>
        <v>0</v>
      </c>
      <c r="Z994" s="11">
        <f t="array" ref="Z994">XLOOKUP(A:A,'Raw Revenue'!I:I,'Raw Revenue'!J:J,0)</f>
        <v>0</v>
      </c>
      <c r="AA994" s="11">
        <f t="array" ref="AA994">XLOOKUP(A:A,'Raw Revenue'!K:K,'Raw Revenue'!L:L,0)</f>
        <v>0</v>
      </c>
      <c r="AB994" s="11">
        <f t="array" ref="AB994">XLOOKUP(A:A,'Raw Revenue'!M:M,'Raw Revenue'!N:N,0)</f>
        <v>0</v>
      </c>
      <c r="AC994" s="3">
        <v>0.0</v>
      </c>
      <c r="AD994" s="3">
        <v>0.0</v>
      </c>
      <c r="AE994" s="3">
        <v>0.0</v>
      </c>
      <c r="AF994" s="3">
        <v>0.0</v>
      </c>
      <c r="AG994" s="3">
        <v>0.0</v>
      </c>
    </row>
    <row r="995">
      <c r="A995" s="3" t="s">
        <v>2188</v>
      </c>
      <c r="B995" s="3" t="s">
        <v>2189</v>
      </c>
      <c r="C995" s="3" t="str">
        <f t="shared" si="1"/>
        <v>PT. Mandiri Sejahtera Bersama</v>
      </c>
      <c r="D995" s="3" t="s">
        <v>130</v>
      </c>
      <c r="E995" s="3" t="s">
        <v>85</v>
      </c>
      <c r="F995" s="3" t="s">
        <v>248</v>
      </c>
      <c r="G995" s="3" t="s">
        <v>43</v>
      </c>
      <c r="H995" s="3" t="str">
        <f t="array" ref="H995">XLOOKUP(G:G,'Account Manager Data'!A:A,'Account Manager Data'!B:B,0)</f>
        <v>Eko Prasetyo</v>
      </c>
      <c r="I995" s="11" t="str">
        <f t="array" ref="I995">XLOOKUP($G:$G,'Account Manager Data'!$A:$A,'Account Manager Data'!C:C)</f>
        <v>Papua</v>
      </c>
      <c r="J995" s="17">
        <v>3992695.0</v>
      </c>
      <c r="K995" s="17">
        <v>3222041.0</v>
      </c>
      <c r="L995" s="17">
        <v>5268745.0</v>
      </c>
      <c r="M995" s="17">
        <v>1027491.0</v>
      </c>
      <c r="N995" s="17">
        <v>1.1175699E7</v>
      </c>
      <c r="O995" s="17">
        <v>3921651.0</v>
      </c>
      <c r="P995" s="17">
        <v>7072754.0</v>
      </c>
      <c r="Q995" s="17">
        <v>8910760.0</v>
      </c>
      <c r="R995" s="17">
        <v>1.1841452E7</v>
      </c>
      <c r="S995" s="17">
        <v>7062907.0</v>
      </c>
      <c r="T995" s="17">
        <v>1.5277432E7</v>
      </c>
      <c r="U995" s="17">
        <v>1.2660643E7</v>
      </c>
      <c r="V995" s="11">
        <f t="array" ref="V995">XLOOKUP(A:A,'Raw Revenue'!A:A,'Raw Revenue'!B:B,0)
</f>
        <v>0</v>
      </c>
      <c r="W995" s="11">
        <f t="array" ref="W995">XLOOKUP(A:A,'Raw Revenue'!C:C,'Raw Revenue'!D:D,0)</f>
        <v>0</v>
      </c>
      <c r="X995" s="11">
        <f t="array" ref="X995">XLOOKUP(A:A,'Raw Revenue'!E:E,'Raw Revenue'!F:F,0)</f>
        <v>0</v>
      </c>
      <c r="Y995" s="11">
        <f t="array" ref="Y995">XLOOKUP(A:A,'Raw Revenue'!G:G,'Raw Revenue'!H:H,0)</f>
        <v>0</v>
      </c>
      <c r="Z995" s="11">
        <f t="array" ref="Z995">XLOOKUP(A:A,'Raw Revenue'!I:I,'Raw Revenue'!J:J,0)</f>
        <v>0</v>
      </c>
      <c r="AA995" s="11">
        <f t="array" ref="AA995">XLOOKUP(A:A,'Raw Revenue'!K:K,'Raw Revenue'!L:L,0)</f>
        <v>0</v>
      </c>
      <c r="AB995" s="11">
        <f t="array" ref="AB995">XLOOKUP(A:A,'Raw Revenue'!M:M,'Raw Revenue'!N:N,0)</f>
        <v>0</v>
      </c>
      <c r="AC995" s="3">
        <v>0.0</v>
      </c>
      <c r="AD995" s="3">
        <v>0.0</v>
      </c>
      <c r="AE995" s="3">
        <v>0.0</v>
      </c>
      <c r="AF995" s="3">
        <v>0.0</v>
      </c>
      <c r="AG995" s="3">
        <v>0.0</v>
      </c>
    </row>
    <row r="996">
      <c r="A996" s="3" t="s">
        <v>2190</v>
      </c>
      <c r="B996" s="3" t="s">
        <v>2191</v>
      </c>
      <c r="C996" s="3" t="str">
        <f t="shared" si="1"/>
        <v>PT. Sejahtera Alam Indonesia</v>
      </c>
      <c r="D996" s="3" t="s">
        <v>186</v>
      </c>
      <c r="E996" s="3" t="s">
        <v>85</v>
      </c>
      <c r="F996" s="3" t="s">
        <v>248</v>
      </c>
      <c r="G996" s="3" t="s">
        <v>76</v>
      </c>
      <c r="H996" s="3" t="str">
        <f t="array" ref="H996">XLOOKUP(G:G,'Account Manager Data'!A:A,'Account Manager Data'!B:B,0)</f>
        <v>Teguh Wijaya</v>
      </c>
      <c r="I996" s="11" t="str">
        <f t="array" ref="I996">XLOOKUP($G:$G,'Account Manager Data'!$A:$A,'Account Manager Data'!C:C)</f>
        <v>Sulawesi</v>
      </c>
      <c r="J996" s="17">
        <v>1518722.0</v>
      </c>
      <c r="K996" s="17">
        <v>1543711.0</v>
      </c>
      <c r="L996" s="17">
        <v>3001127.0</v>
      </c>
      <c r="M996" s="17">
        <v>8017730.0</v>
      </c>
      <c r="N996" s="17">
        <v>3439972.0</v>
      </c>
      <c r="O996" s="17">
        <v>4052334.0</v>
      </c>
      <c r="P996" s="17">
        <v>6420720.0</v>
      </c>
      <c r="Q996" s="17">
        <v>1.3046486E7</v>
      </c>
      <c r="R996" s="17">
        <v>1.3689077E7</v>
      </c>
      <c r="S996" s="17">
        <v>4460481.0</v>
      </c>
      <c r="T996" s="17">
        <v>1.3424407E7</v>
      </c>
      <c r="U996" s="17">
        <v>1290502.0</v>
      </c>
      <c r="V996" s="11">
        <f t="array" ref="V996">XLOOKUP(A:A,'Raw Revenue'!A:A,'Raw Revenue'!B:B,0)
</f>
        <v>0</v>
      </c>
      <c r="W996" s="11">
        <f t="array" ref="W996">XLOOKUP(A:A,'Raw Revenue'!C:C,'Raw Revenue'!D:D,0)</f>
        <v>0</v>
      </c>
      <c r="X996" s="11">
        <f t="array" ref="X996">XLOOKUP(A:A,'Raw Revenue'!E:E,'Raw Revenue'!F:F,0)</f>
        <v>0</v>
      </c>
      <c r="Y996" s="11">
        <f t="array" ref="Y996">XLOOKUP(A:A,'Raw Revenue'!G:G,'Raw Revenue'!H:H,0)</f>
        <v>0</v>
      </c>
      <c r="Z996" s="11">
        <f t="array" ref="Z996">XLOOKUP(A:A,'Raw Revenue'!I:I,'Raw Revenue'!J:J,0)</f>
        <v>0</v>
      </c>
      <c r="AA996" s="11">
        <f t="array" ref="AA996">XLOOKUP(A:A,'Raw Revenue'!K:K,'Raw Revenue'!L:L,0)</f>
        <v>0</v>
      </c>
      <c r="AB996" s="11">
        <f t="array" ref="AB996">XLOOKUP(A:A,'Raw Revenue'!M:M,'Raw Revenue'!N:N,0)</f>
        <v>0</v>
      </c>
      <c r="AC996" s="3">
        <v>0.0</v>
      </c>
      <c r="AD996" s="3">
        <v>0.0</v>
      </c>
      <c r="AE996" s="3">
        <v>0.0</v>
      </c>
      <c r="AF996" s="3">
        <v>0.0</v>
      </c>
      <c r="AG996" s="3">
        <v>0.0</v>
      </c>
    </row>
    <row r="997">
      <c r="A997" s="3" t="s">
        <v>2192</v>
      </c>
      <c r="B997" s="3" t="s">
        <v>2193</v>
      </c>
      <c r="C997" s="3" t="str">
        <f t="shared" si="1"/>
        <v>PT. Indah Kargo Logistik</v>
      </c>
      <c r="D997" s="3" t="s">
        <v>130</v>
      </c>
      <c r="E997" s="3" t="s">
        <v>85</v>
      </c>
      <c r="F997" s="3" t="s">
        <v>86</v>
      </c>
      <c r="G997" s="3" t="s">
        <v>74</v>
      </c>
      <c r="H997" s="3" t="str">
        <f t="array" ref="H997">XLOOKUP(G:G,'Account Manager Data'!A:A,'Account Manager Data'!B:B,0)</f>
        <v>Budi Santoso</v>
      </c>
      <c r="I997" s="11" t="str">
        <f t="array" ref="I997">XLOOKUP($G:$G,'Account Manager Data'!$A:$A,'Account Manager Data'!C:C)</f>
        <v>Papua</v>
      </c>
      <c r="J997" s="17">
        <v>4869168.0</v>
      </c>
      <c r="K997" s="17">
        <v>1824288.0</v>
      </c>
      <c r="L997" s="17">
        <v>5715821.0</v>
      </c>
      <c r="M997" s="17">
        <v>1.1700342E7</v>
      </c>
      <c r="N997" s="17">
        <v>5330811.0</v>
      </c>
      <c r="O997" s="17">
        <v>4840167.0</v>
      </c>
      <c r="P997" s="17">
        <v>5629158.0</v>
      </c>
      <c r="Q997" s="17">
        <v>1.2930093E7</v>
      </c>
      <c r="R997" s="17">
        <v>4176534.0</v>
      </c>
      <c r="S997" s="17">
        <v>5719517.0</v>
      </c>
      <c r="T997" s="17">
        <v>867276.0</v>
      </c>
      <c r="U997" s="17">
        <v>1.4794675E7</v>
      </c>
      <c r="V997" s="11">
        <f t="array" ref="V997">XLOOKUP(A:A,'Raw Revenue'!A:A,'Raw Revenue'!B:B,0)
</f>
        <v>0</v>
      </c>
      <c r="W997" s="11">
        <f t="array" ref="W997">XLOOKUP(A:A,'Raw Revenue'!C:C,'Raw Revenue'!D:D,0)</f>
        <v>0</v>
      </c>
      <c r="X997" s="11">
        <f t="array" ref="X997">XLOOKUP(A:A,'Raw Revenue'!E:E,'Raw Revenue'!F:F,0)</f>
        <v>0</v>
      </c>
      <c r="Y997" s="11">
        <f t="array" ref="Y997">XLOOKUP(A:A,'Raw Revenue'!G:G,'Raw Revenue'!H:H,0)</f>
        <v>0</v>
      </c>
      <c r="Z997" s="11">
        <f t="array" ref="Z997">XLOOKUP(A:A,'Raw Revenue'!I:I,'Raw Revenue'!J:J,0)</f>
        <v>0</v>
      </c>
      <c r="AA997" s="11">
        <f t="array" ref="AA997">XLOOKUP(A:A,'Raw Revenue'!K:K,'Raw Revenue'!L:L,0)</f>
        <v>0</v>
      </c>
      <c r="AB997" s="11">
        <f t="array" ref="AB997">XLOOKUP(A:A,'Raw Revenue'!M:M,'Raw Revenue'!N:N,0)</f>
        <v>0</v>
      </c>
      <c r="AC997" s="3">
        <v>0.0</v>
      </c>
      <c r="AD997" s="3">
        <v>0.0</v>
      </c>
      <c r="AE997" s="3">
        <v>0.0</v>
      </c>
      <c r="AF997" s="3">
        <v>0.0</v>
      </c>
      <c r="AG997" s="3">
        <v>0.0</v>
      </c>
    </row>
    <row r="998">
      <c r="A998" s="3" t="s">
        <v>2194</v>
      </c>
      <c r="B998" s="3" t="s">
        <v>2195</v>
      </c>
      <c r="C998" s="3" t="str">
        <f t="shared" si="1"/>
        <v>PT. Berkah Alam Semesta</v>
      </c>
      <c r="D998" s="3" t="s">
        <v>214</v>
      </c>
      <c r="E998" s="3" t="s">
        <v>187</v>
      </c>
      <c r="F998" s="3" t="s">
        <v>188</v>
      </c>
      <c r="G998" s="3" t="s">
        <v>70</v>
      </c>
      <c r="H998" s="3" t="str">
        <f t="array" ref="H998">XLOOKUP(G:G,'Account Manager Data'!A:A,'Account Manager Data'!B:B,0)</f>
        <v>Yusuf Hidayat</v>
      </c>
      <c r="I998" s="11" t="str">
        <f t="array" ref="I998">XLOOKUP($G:$G,'Account Manager Data'!$A:$A,'Account Manager Data'!C:C)</f>
        <v>Sumatera</v>
      </c>
      <c r="J998" s="17">
        <v>3013578.0</v>
      </c>
      <c r="K998" s="17">
        <v>8141972.0</v>
      </c>
      <c r="L998" s="17">
        <v>7183687.0</v>
      </c>
      <c r="M998" s="17">
        <v>6430738.0</v>
      </c>
      <c r="N998" s="17">
        <v>1.1777836E7</v>
      </c>
      <c r="O998" s="17">
        <v>1.1483238E7</v>
      </c>
      <c r="P998" s="17">
        <v>1.2362328E7</v>
      </c>
      <c r="Q998" s="17">
        <v>8978767.0</v>
      </c>
      <c r="R998" s="17">
        <v>4453547.0</v>
      </c>
      <c r="S998" s="17">
        <v>7152565.0</v>
      </c>
      <c r="T998" s="17">
        <v>3114605.0</v>
      </c>
      <c r="U998" s="17">
        <v>1.602949E7</v>
      </c>
      <c r="V998" s="11">
        <f t="array" ref="V998">XLOOKUP(A:A,'Raw Revenue'!A:A,'Raw Revenue'!B:B,0)
</f>
        <v>0</v>
      </c>
      <c r="W998" s="11">
        <f t="array" ref="W998">XLOOKUP(A:A,'Raw Revenue'!C:C,'Raw Revenue'!D:D,0)</f>
        <v>0</v>
      </c>
      <c r="X998" s="11">
        <f t="array" ref="X998">XLOOKUP(A:A,'Raw Revenue'!E:E,'Raw Revenue'!F:F,0)</f>
        <v>0</v>
      </c>
      <c r="Y998" s="11">
        <f t="array" ref="Y998">XLOOKUP(A:A,'Raw Revenue'!G:G,'Raw Revenue'!H:H,0)</f>
        <v>0</v>
      </c>
      <c r="Z998" s="11">
        <f t="array" ref="Z998">XLOOKUP(A:A,'Raw Revenue'!I:I,'Raw Revenue'!J:J,0)</f>
        <v>0</v>
      </c>
      <c r="AA998" s="11">
        <f t="array" ref="AA998">XLOOKUP(A:A,'Raw Revenue'!K:K,'Raw Revenue'!L:L,0)</f>
        <v>0</v>
      </c>
      <c r="AB998" s="11">
        <f t="array" ref="AB998">XLOOKUP(A:A,'Raw Revenue'!M:M,'Raw Revenue'!N:N,0)</f>
        <v>0</v>
      </c>
      <c r="AC998" s="3">
        <v>0.0</v>
      </c>
      <c r="AD998" s="3">
        <v>0.0</v>
      </c>
      <c r="AE998" s="3">
        <v>0.0</v>
      </c>
      <c r="AF998" s="3">
        <v>0.0</v>
      </c>
      <c r="AG998" s="3">
        <v>0.0</v>
      </c>
    </row>
    <row r="999">
      <c r="A999" s="3" t="s">
        <v>2196</v>
      </c>
      <c r="B999" s="3" t="s">
        <v>2197</v>
      </c>
      <c r="C999" s="3" t="str">
        <f t="shared" si="1"/>
        <v>PT. Cahaya Baru Indonesia</v>
      </c>
      <c r="D999" s="3" t="s">
        <v>84</v>
      </c>
      <c r="E999" s="3" t="s">
        <v>104</v>
      </c>
      <c r="F999" s="3" t="s">
        <v>252</v>
      </c>
      <c r="G999" s="3" t="s">
        <v>15</v>
      </c>
      <c r="H999" s="3" t="str">
        <f t="array" ref="H999">XLOOKUP(G:G,'Account Manager Data'!A:A,'Account Manager Data'!B:B,0)</f>
        <v>Rizky Maulana</v>
      </c>
      <c r="I999" s="11" t="str">
        <f t="array" ref="I999">XLOOKUP($G:$G,'Account Manager Data'!$A:$A,'Account Manager Data'!C:C)</f>
        <v>Jawa</v>
      </c>
      <c r="J999" s="17">
        <v>6407362.0</v>
      </c>
      <c r="K999" s="17">
        <v>5998539.0</v>
      </c>
      <c r="L999" s="17">
        <v>6042112.0</v>
      </c>
      <c r="M999" s="17">
        <v>0.0</v>
      </c>
      <c r="N999" s="17">
        <v>8180458.0</v>
      </c>
      <c r="O999" s="17">
        <v>223431.0</v>
      </c>
      <c r="P999" s="17">
        <v>859957.0</v>
      </c>
      <c r="Q999" s="17">
        <v>1.2656093E7</v>
      </c>
      <c r="R999" s="17">
        <v>1.4682887E7</v>
      </c>
      <c r="S999" s="17">
        <v>1.6098118E7</v>
      </c>
      <c r="T999" s="17">
        <v>7041466.0</v>
      </c>
      <c r="U999" s="17">
        <v>6715779.0</v>
      </c>
      <c r="V999" s="11">
        <f t="array" ref="V999">XLOOKUP(A:A,'Raw Revenue'!A:A,'Raw Revenue'!B:B,0)
</f>
        <v>0</v>
      </c>
      <c r="W999" s="11">
        <f t="array" ref="W999">XLOOKUP(A:A,'Raw Revenue'!C:C,'Raw Revenue'!D:D,0)</f>
        <v>0</v>
      </c>
      <c r="X999" s="11">
        <f t="array" ref="X999">XLOOKUP(A:A,'Raw Revenue'!E:E,'Raw Revenue'!F:F,0)</f>
        <v>0</v>
      </c>
      <c r="Y999" s="11">
        <f t="array" ref="Y999">XLOOKUP(A:A,'Raw Revenue'!G:G,'Raw Revenue'!H:H,0)</f>
        <v>0</v>
      </c>
      <c r="Z999" s="11">
        <f t="array" ref="Z999">XLOOKUP(A:A,'Raw Revenue'!I:I,'Raw Revenue'!J:J,0)</f>
        <v>0</v>
      </c>
      <c r="AA999" s="11">
        <f t="array" ref="AA999">XLOOKUP(A:A,'Raw Revenue'!K:K,'Raw Revenue'!L:L,0)</f>
        <v>0</v>
      </c>
      <c r="AB999" s="11">
        <f t="array" ref="AB999">XLOOKUP(A:A,'Raw Revenue'!M:M,'Raw Revenue'!N:N,0)</f>
        <v>0</v>
      </c>
      <c r="AC999" s="3">
        <v>0.0</v>
      </c>
      <c r="AD999" s="3">
        <v>0.0</v>
      </c>
      <c r="AE999" s="3">
        <v>0.0</v>
      </c>
      <c r="AF999" s="3">
        <v>0.0</v>
      </c>
      <c r="AG999" s="3">
        <v>0.0</v>
      </c>
    </row>
    <row r="1000">
      <c r="A1000" s="3" t="s">
        <v>2198</v>
      </c>
      <c r="B1000" s="3" t="s">
        <v>2199</v>
      </c>
      <c r="C1000" s="3" t="str">
        <f t="shared" si="1"/>
        <v>PT. Mentari Pagi Sejahtera</v>
      </c>
      <c r="D1000" s="3" t="s">
        <v>195</v>
      </c>
      <c r="E1000" s="3" t="s">
        <v>196</v>
      </c>
      <c r="F1000" s="3" t="s">
        <v>315</v>
      </c>
      <c r="G1000" s="3" t="s">
        <v>27</v>
      </c>
      <c r="H1000" s="3" t="str">
        <f t="array" ref="H1000">XLOOKUP(G:G,'Account Manager Data'!A:A,'Account Manager Data'!B:B,0)</f>
        <v>Dedi Kurniawan</v>
      </c>
      <c r="I1000" s="11" t="str">
        <f t="array" ref="I1000">XLOOKUP($G:$G,'Account Manager Data'!$A:$A,'Account Manager Data'!C:C)</f>
        <v>Kalimantan</v>
      </c>
      <c r="J1000" s="17">
        <v>2862964.0</v>
      </c>
      <c r="K1000" s="17">
        <v>2397874.0</v>
      </c>
      <c r="L1000" s="17">
        <v>2349766.0</v>
      </c>
      <c r="M1000" s="17">
        <v>1.1732575E7</v>
      </c>
      <c r="N1000" s="17">
        <v>9461141.0</v>
      </c>
      <c r="O1000" s="17">
        <v>7501718.0</v>
      </c>
      <c r="P1000" s="17">
        <v>0.0</v>
      </c>
      <c r="Q1000" s="17">
        <v>3705644.0</v>
      </c>
      <c r="R1000" s="17">
        <v>1.5334622E7</v>
      </c>
      <c r="S1000" s="17">
        <v>9089990.0</v>
      </c>
      <c r="T1000" s="17">
        <v>1.8773098E7</v>
      </c>
      <c r="U1000" s="17">
        <v>0.0</v>
      </c>
      <c r="V1000" s="11">
        <f t="array" ref="V1000">XLOOKUP(A:A,'Raw Revenue'!A:A,'Raw Revenue'!B:B,0)
</f>
        <v>0</v>
      </c>
      <c r="W1000" s="11">
        <f t="array" ref="W1000">XLOOKUP(A:A,'Raw Revenue'!C:C,'Raw Revenue'!D:D,0)</f>
        <v>0</v>
      </c>
      <c r="X1000" s="11">
        <f t="array" ref="X1000">XLOOKUP(A:A,'Raw Revenue'!E:E,'Raw Revenue'!F:F,0)</f>
        <v>0</v>
      </c>
      <c r="Y1000" s="11">
        <f t="array" ref="Y1000">XLOOKUP(A:A,'Raw Revenue'!G:G,'Raw Revenue'!H:H,0)</f>
        <v>0</v>
      </c>
      <c r="Z1000" s="11">
        <f t="array" ref="Z1000">XLOOKUP(A:A,'Raw Revenue'!I:I,'Raw Revenue'!J:J,0)</f>
        <v>0</v>
      </c>
      <c r="AA1000" s="11">
        <f t="array" ref="AA1000">XLOOKUP(A:A,'Raw Revenue'!K:K,'Raw Revenue'!L:L,0)</f>
        <v>0</v>
      </c>
      <c r="AB1000" s="11">
        <f t="array" ref="AB1000">XLOOKUP(A:A,'Raw Revenue'!M:M,'Raw Revenue'!N:N,0)</f>
        <v>0</v>
      </c>
      <c r="AC1000" s="3">
        <v>0.0</v>
      </c>
      <c r="AD1000" s="3">
        <v>0.0</v>
      </c>
      <c r="AE1000" s="3">
        <v>0.0</v>
      </c>
      <c r="AF1000" s="3">
        <v>0.0</v>
      </c>
      <c r="AG1000" s="3">
        <v>0.0</v>
      </c>
    </row>
    <row r="1001">
      <c r="A1001" s="3" t="s">
        <v>317</v>
      </c>
      <c r="B1001" s="3" t="s">
        <v>2200</v>
      </c>
      <c r="C1001" s="3" t="str">
        <f t="shared" si="1"/>
        <v>PT. Bintang Kejora Nusantara</v>
      </c>
      <c r="D1001" s="3" t="s">
        <v>103</v>
      </c>
      <c r="E1001" s="3" t="s">
        <v>215</v>
      </c>
      <c r="F1001" s="3" t="s">
        <v>216</v>
      </c>
      <c r="G1001" s="3" t="s">
        <v>53</v>
      </c>
      <c r="H1001" s="3" t="str">
        <f t="array" ref="H1001">XLOOKUP(G:G,'Account Manager Data'!A:A,'Account Manager Data'!B:B,0)</f>
        <v>Fajar Ramadhan</v>
      </c>
      <c r="I1001" s="11" t="str">
        <f t="array" ref="I1001">XLOOKUP($G:$G,'Account Manager Data'!$A:$A,'Account Manager Data'!C:C)</f>
        <v>Sulawesi</v>
      </c>
      <c r="J1001" s="17">
        <v>3755216.0</v>
      </c>
      <c r="K1001" s="17">
        <v>3796453.0</v>
      </c>
      <c r="L1001" s="17">
        <v>1411997.0</v>
      </c>
      <c r="M1001" s="17">
        <v>5112589.0</v>
      </c>
      <c r="N1001" s="17">
        <v>4717857.0</v>
      </c>
      <c r="O1001" s="17">
        <v>1.5062079E7</v>
      </c>
      <c r="P1001" s="17">
        <v>8861163.0</v>
      </c>
      <c r="Q1001" s="17">
        <v>4043144.0</v>
      </c>
      <c r="R1001" s="17">
        <v>2939086.0</v>
      </c>
      <c r="S1001" s="17">
        <v>1.1405497E7</v>
      </c>
      <c r="T1001" s="17">
        <v>1.2370397E7</v>
      </c>
      <c r="U1001" s="17">
        <v>9220153.0</v>
      </c>
      <c r="V1001" s="11">
        <f t="array" ref="V1001">XLOOKUP(A:A,'Raw Revenue'!A:A,'Raw Revenue'!B:B,0)
</f>
        <v>2227842.969</v>
      </c>
      <c r="W1001" s="11">
        <f t="array" ref="W1001">XLOOKUP(A:A,'Raw Revenue'!C:C,'Raw Revenue'!D:D,0)</f>
        <v>2227842.969</v>
      </c>
      <c r="X1001" s="11">
        <f t="array" ref="X1001">XLOOKUP(A:A,'Raw Revenue'!E:E,'Raw Revenue'!F:F,0)</f>
        <v>4455685.939</v>
      </c>
      <c r="Y1001" s="11">
        <f t="array" ref="Y1001">XLOOKUP(A:A,'Raw Revenue'!G:G,'Raw Revenue'!H:H,0)</f>
        <v>3638810.183</v>
      </c>
      <c r="Z1001" s="11">
        <f t="array" ref="Z1001">XLOOKUP(A:A,'Raw Revenue'!I:I,'Raw Revenue'!J:J,0)</f>
        <v>3267503.022</v>
      </c>
      <c r="AA1001" s="11">
        <f t="array" ref="AA1001">XLOOKUP(A:A,'Raw Revenue'!K:K,'Raw Revenue'!L:L,0)</f>
        <v>8354411.135</v>
      </c>
      <c r="AB1001" s="11">
        <f t="array" ref="AB1001">XLOOKUP(A:A,'Raw Revenue'!M:M,'Raw Revenue'!N:N,0)</f>
        <v>7686058.244</v>
      </c>
      <c r="AC1001" s="3">
        <v>0.0</v>
      </c>
      <c r="AD1001" s="3">
        <v>0.0</v>
      </c>
      <c r="AE1001" s="3">
        <v>0.0</v>
      </c>
      <c r="AF1001" s="3">
        <v>0.0</v>
      </c>
      <c r="AG1001" s="3">
        <v>0.0</v>
      </c>
    </row>
    <row r="1002">
      <c r="A1002" s="3">
        <v>0.0</v>
      </c>
      <c r="B1002" s="3">
        <v>0.0</v>
      </c>
      <c r="C1002" s="3">
        <v>0.0</v>
      </c>
      <c r="D1002" s="3">
        <v>0.0</v>
      </c>
      <c r="E1002" s="3">
        <v>0.0</v>
      </c>
      <c r="F1002" s="3">
        <v>0.0</v>
      </c>
      <c r="G1002" s="3">
        <v>0.0</v>
      </c>
      <c r="H1002" s="3">
        <f t="array" ref="H1002">XLOOKUP(G:G,'Account Manager Data'!A:A,'Account Manager Data'!B:B,0)</f>
        <v>0</v>
      </c>
      <c r="I1002" s="3">
        <v>0.0</v>
      </c>
      <c r="J1002" s="3">
        <v>0.0</v>
      </c>
      <c r="K1002" s="3">
        <v>0.0</v>
      </c>
      <c r="L1002" s="3">
        <v>0.0</v>
      </c>
      <c r="M1002" s="3">
        <v>0.0</v>
      </c>
      <c r="N1002" s="3">
        <v>0.0</v>
      </c>
      <c r="O1002" s="3">
        <v>0.0</v>
      </c>
      <c r="P1002" s="3">
        <v>0.0</v>
      </c>
      <c r="Q1002" s="3">
        <v>0.0</v>
      </c>
      <c r="R1002" s="3">
        <v>0.0</v>
      </c>
      <c r="S1002" s="3">
        <v>0.0</v>
      </c>
      <c r="T1002" s="3">
        <v>0.0</v>
      </c>
      <c r="U1002" s="3">
        <v>0.0</v>
      </c>
      <c r="V1002" s="3">
        <v>0.0</v>
      </c>
      <c r="W1002" s="3">
        <v>0.0</v>
      </c>
      <c r="X1002" s="3">
        <v>0.0</v>
      </c>
      <c r="Y1002" s="3">
        <v>0.0</v>
      </c>
      <c r="Z1002" s="3">
        <v>0.0</v>
      </c>
      <c r="AA1002" s="3">
        <v>0.0</v>
      </c>
      <c r="AB1002" s="3">
        <v>0.0</v>
      </c>
      <c r="AC1002" s="3">
        <v>0.0</v>
      </c>
      <c r="AD1002" s="3">
        <v>0.0</v>
      </c>
      <c r="AE1002" s="3">
        <v>0.0</v>
      </c>
      <c r="AF1002" s="3">
        <v>0.0</v>
      </c>
      <c r="AG1002" s="3">
        <v>0.0</v>
      </c>
    </row>
    <row r="1003">
      <c r="A1003" s="3"/>
      <c r="B1003" s="3"/>
      <c r="C1003" s="3"/>
      <c r="D1003" s="3"/>
      <c r="E1003" s="3"/>
      <c r="F1003" s="3"/>
      <c r="G1003" s="3"/>
      <c r="K1003" s="3"/>
      <c r="L1003" s="3"/>
      <c r="M1003" s="3"/>
      <c r="N1003" s="3"/>
      <c r="O1003" s="3"/>
      <c r="P1003" s="3"/>
      <c r="Q1003" s="3"/>
      <c r="R1003" s="3"/>
      <c r="S1003" s="3"/>
      <c r="T1003" s="3"/>
      <c r="U1003" s="3"/>
    </row>
    <row r="1004">
      <c r="A1004" s="3"/>
      <c r="B1004" s="3"/>
      <c r="C1004" s="3"/>
      <c r="D1004" s="3"/>
      <c r="E1004" s="3"/>
      <c r="F1004" s="3"/>
      <c r="G1004" s="3"/>
      <c r="H1004" s="3"/>
      <c r="K1004" s="3"/>
      <c r="L1004" s="3"/>
      <c r="M1004" s="3"/>
      <c r="N1004" s="3"/>
      <c r="O1004" s="3"/>
      <c r="P1004" s="3"/>
      <c r="Q1004" s="3"/>
      <c r="R1004" s="3"/>
      <c r="S1004" s="3"/>
      <c r="T1004" s="3"/>
      <c r="U1004" s="3"/>
    </row>
    <row r="1005">
      <c r="A1005" s="3"/>
      <c r="B1005" s="3"/>
      <c r="C1005" s="3"/>
      <c r="D1005" s="3"/>
      <c r="E1005" s="3"/>
      <c r="F1005" s="3"/>
      <c r="G1005" s="3"/>
      <c r="H1005" s="3"/>
      <c r="K1005" s="3"/>
      <c r="L1005" s="3"/>
      <c r="M1005" s="3"/>
      <c r="N1005" s="3"/>
      <c r="O1005" s="3"/>
      <c r="P1005" s="3"/>
      <c r="Q1005" s="3"/>
      <c r="R1005" s="3"/>
      <c r="S1005" s="3"/>
      <c r="T1005" s="3"/>
      <c r="U1005" s="3"/>
    </row>
    <row r="1006">
      <c r="A1006" s="3"/>
      <c r="B1006" s="3"/>
      <c r="C1006" s="3"/>
      <c r="D1006" s="3"/>
      <c r="E1006" s="3"/>
      <c r="F1006" s="3"/>
      <c r="G1006" s="3"/>
      <c r="H1006" s="3"/>
      <c r="K1006" s="3"/>
      <c r="L1006" s="3"/>
      <c r="M1006" s="3"/>
      <c r="N1006" s="3"/>
      <c r="O1006" s="3"/>
      <c r="P1006" s="3"/>
      <c r="Q1006" s="3"/>
      <c r="R1006" s="3"/>
      <c r="S1006" s="3"/>
      <c r="T1006" s="3"/>
      <c r="U1006" s="3"/>
    </row>
    <row r="1007">
      <c r="A1007" s="3"/>
      <c r="B1007" s="3"/>
      <c r="C1007" s="3"/>
      <c r="D1007" s="3"/>
      <c r="E1007" s="3"/>
      <c r="F1007" s="3"/>
      <c r="G1007" s="3"/>
      <c r="H1007" s="3"/>
      <c r="K1007" s="3"/>
      <c r="L1007" s="3"/>
      <c r="M1007" s="3"/>
      <c r="N1007" s="3"/>
      <c r="O1007" s="3"/>
      <c r="P1007" s="3"/>
      <c r="Q1007" s="3"/>
      <c r="R1007" s="3"/>
      <c r="S1007" s="3"/>
      <c r="T1007" s="3"/>
      <c r="U1007" s="3"/>
    </row>
    <row r="1008">
      <c r="A1008" s="3"/>
      <c r="B1008" s="3"/>
      <c r="C1008" s="3"/>
      <c r="D1008" s="3"/>
      <c r="E1008" s="3"/>
      <c r="F1008" s="3"/>
      <c r="G1008" s="3"/>
      <c r="H1008" s="3"/>
      <c r="K1008" s="3"/>
      <c r="L1008" s="3"/>
      <c r="M1008" s="3"/>
      <c r="N1008" s="3"/>
      <c r="O1008" s="3"/>
      <c r="P1008" s="3"/>
      <c r="Q1008" s="3"/>
      <c r="R1008" s="3"/>
      <c r="S1008" s="3"/>
      <c r="T1008" s="3"/>
      <c r="U1008" s="3"/>
    </row>
    <row r="1009">
      <c r="A1009" s="3"/>
      <c r="B1009" s="3"/>
      <c r="C1009" s="3"/>
      <c r="D1009" s="3"/>
      <c r="E1009" s="3"/>
      <c r="F1009" s="3"/>
      <c r="G1009" s="3"/>
      <c r="H1009" s="3"/>
      <c r="K1009" s="3"/>
      <c r="L1009" s="3"/>
      <c r="M1009" s="3"/>
      <c r="N1009" s="3"/>
      <c r="O1009" s="3"/>
      <c r="P1009" s="3"/>
      <c r="Q1009" s="3"/>
      <c r="R1009" s="3"/>
      <c r="S1009" s="3"/>
      <c r="T1009" s="3"/>
      <c r="U1009" s="3"/>
    </row>
    <row r="1010">
      <c r="A1010" s="3"/>
      <c r="B1010" s="3"/>
      <c r="C1010" s="3"/>
      <c r="D1010" s="3"/>
      <c r="E1010" s="3"/>
      <c r="F1010" s="3"/>
      <c r="G1010" s="3"/>
      <c r="H1010" s="3"/>
      <c r="K1010" s="3"/>
      <c r="L1010" s="3"/>
      <c r="M1010" s="3"/>
      <c r="N1010" s="3"/>
      <c r="O1010" s="3"/>
      <c r="P1010" s="3"/>
      <c r="Q1010" s="3"/>
      <c r="R1010" s="3"/>
      <c r="S1010" s="3"/>
      <c r="T1010" s="3"/>
      <c r="U1010" s="3"/>
    </row>
    <row r="1011">
      <c r="A1011" s="3"/>
      <c r="B1011" s="3"/>
      <c r="C1011" s="3"/>
      <c r="D1011" s="3"/>
      <c r="E1011" s="3"/>
      <c r="F1011" s="3"/>
      <c r="G1011" s="3"/>
      <c r="H1011" s="3"/>
      <c r="K1011" s="3"/>
      <c r="L1011" s="3"/>
      <c r="M1011" s="3"/>
      <c r="N1011" s="3"/>
      <c r="O1011" s="3"/>
      <c r="P1011" s="3"/>
      <c r="Q1011" s="3"/>
      <c r="R1011" s="3"/>
      <c r="S1011" s="3"/>
      <c r="T1011" s="3"/>
      <c r="U1011" s="3"/>
    </row>
    <row r="1012">
      <c r="A1012" s="3"/>
      <c r="B1012" s="3"/>
      <c r="C1012" s="3"/>
      <c r="D1012" s="3"/>
      <c r="E1012" s="3"/>
      <c r="F1012" s="3"/>
      <c r="G1012" s="3"/>
      <c r="H1012" s="3"/>
      <c r="K1012" s="3"/>
      <c r="L1012" s="3"/>
      <c r="M1012" s="3"/>
      <c r="N1012" s="3"/>
      <c r="O1012" s="3"/>
      <c r="P1012" s="3"/>
      <c r="Q1012" s="3"/>
      <c r="R1012" s="3"/>
      <c r="S1012" s="3"/>
      <c r="T1012" s="3"/>
      <c r="U1012" s="3"/>
    </row>
    <row r="1013">
      <c r="A1013" s="3"/>
      <c r="B1013" s="3"/>
      <c r="C1013" s="3"/>
      <c r="D1013" s="3"/>
      <c r="E1013" s="3"/>
      <c r="F1013" s="3"/>
      <c r="G1013" s="3"/>
      <c r="H1013" s="3"/>
      <c r="K1013" s="3"/>
      <c r="L1013" s="3"/>
      <c r="M1013" s="3"/>
      <c r="N1013" s="3"/>
      <c r="O1013" s="3"/>
      <c r="P1013" s="3"/>
      <c r="Q1013" s="3"/>
      <c r="R1013" s="3"/>
      <c r="S1013" s="3"/>
      <c r="T1013" s="3"/>
      <c r="U1013" s="3"/>
    </row>
    <row r="1014">
      <c r="A1014" s="3"/>
      <c r="B1014" s="3"/>
      <c r="C1014" s="3"/>
      <c r="D1014" s="3"/>
      <c r="E1014" s="3"/>
      <c r="F1014" s="3"/>
      <c r="G1014" s="3"/>
      <c r="H1014" s="3"/>
      <c r="K1014" s="3"/>
      <c r="L1014" s="3"/>
      <c r="M1014" s="3"/>
      <c r="N1014" s="3"/>
      <c r="O1014" s="3"/>
      <c r="P1014" s="3"/>
      <c r="Q1014" s="3"/>
      <c r="R1014" s="3"/>
      <c r="S1014" s="3"/>
      <c r="T1014" s="3"/>
      <c r="U1014" s="3"/>
    </row>
    <row r="1015">
      <c r="A1015" s="3"/>
      <c r="B1015" s="3"/>
      <c r="C1015" s="3"/>
      <c r="D1015" s="3"/>
      <c r="E1015" s="3"/>
      <c r="F1015" s="3"/>
      <c r="G1015" s="3"/>
      <c r="H1015" s="3"/>
      <c r="K1015" s="3"/>
      <c r="L1015" s="3"/>
      <c r="M1015" s="3"/>
      <c r="N1015" s="3"/>
      <c r="O1015" s="3"/>
      <c r="P1015" s="3"/>
      <c r="Q1015" s="3"/>
      <c r="R1015" s="3"/>
      <c r="S1015" s="3"/>
      <c r="T1015" s="3"/>
      <c r="U1015" s="3"/>
    </row>
    <row r="1016">
      <c r="A1016" s="3"/>
      <c r="B1016" s="3"/>
      <c r="C1016" s="3"/>
      <c r="D1016" s="3"/>
      <c r="E1016" s="3"/>
      <c r="F1016" s="3"/>
      <c r="G1016" s="3"/>
      <c r="H1016" s="3"/>
      <c r="K1016" s="3"/>
      <c r="L1016" s="3"/>
      <c r="M1016" s="3"/>
      <c r="N1016" s="3"/>
      <c r="O1016" s="3"/>
      <c r="P1016" s="3"/>
      <c r="Q1016" s="3"/>
      <c r="R1016" s="3"/>
      <c r="S1016" s="3"/>
      <c r="T1016" s="3"/>
      <c r="U1016" s="3"/>
    </row>
    <row r="1017">
      <c r="A1017" s="3"/>
      <c r="B1017" s="3"/>
      <c r="C1017" s="3"/>
      <c r="D1017" s="3"/>
      <c r="E1017" s="3"/>
      <c r="F1017" s="3"/>
      <c r="G1017" s="3"/>
      <c r="H1017" s="3"/>
      <c r="K1017" s="3"/>
      <c r="L1017" s="3"/>
      <c r="M1017" s="3"/>
      <c r="N1017" s="3"/>
      <c r="O1017" s="3"/>
      <c r="P1017" s="3"/>
      <c r="Q1017" s="3"/>
      <c r="R1017" s="3"/>
      <c r="S1017" s="3"/>
      <c r="T1017" s="3"/>
      <c r="U1017" s="3"/>
    </row>
    <row r="1018">
      <c r="A1018" s="3"/>
      <c r="B1018" s="3"/>
      <c r="C1018" s="3"/>
      <c r="D1018" s="3"/>
      <c r="E1018" s="3"/>
      <c r="F1018" s="3"/>
      <c r="G1018" s="3"/>
      <c r="H1018" s="3"/>
      <c r="K1018" s="3"/>
      <c r="L1018" s="3"/>
      <c r="M1018" s="3"/>
      <c r="N1018" s="3"/>
      <c r="O1018" s="3"/>
      <c r="P1018" s="3"/>
      <c r="Q1018" s="3"/>
      <c r="R1018" s="3"/>
      <c r="S1018" s="3"/>
      <c r="T1018" s="3"/>
      <c r="U1018" s="3"/>
    </row>
    <row r="1019">
      <c r="A1019" s="3"/>
      <c r="B1019" s="3"/>
      <c r="C1019" s="3"/>
      <c r="D1019" s="3"/>
      <c r="E1019" s="3"/>
      <c r="F1019" s="3"/>
      <c r="G1019" s="3"/>
      <c r="H1019" s="3"/>
      <c r="K1019" s="3"/>
      <c r="L1019" s="3"/>
      <c r="M1019" s="3"/>
      <c r="N1019" s="3"/>
      <c r="O1019" s="3"/>
      <c r="P1019" s="3"/>
      <c r="Q1019" s="3"/>
      <c r="R1019" s="3"/>
      <c r="S1019" s="3"/>
      <c r="T1019" s="3"/>
      <c r="U1019" s="3"/>
    </row>
    <row r="1020">
      <c r="A1020" s="3"/>
      <c r="B1020" s="3"/>
      <c r="C1020" s="3"/>
      <c r="D1020" s="3"/>
      <c r="E1020" s="3"/>
      <c r="F1020" s="3"/>
      <c r="G1020" s="3"/>
      <c r="H1020" s="3"/>
      <c r="K1020" s="3"/>
      <c r="L1020" s="3"/>
      <c r="M1020" s="3"/>
      <c r="N1020" s="3"/>
      <c r="O1020" s="3"/>
      <c r="P1020" s="3"/>
      <c r="Q1020" s="3"/>
      <c r="R1020" s="3"/>
      <c r="S1020" s="3"/>
      <c r="T1020" s="3"/>
      <c r="U1020" s="3"/>
    </row>
    <row r="1021">
      <c r="A1021" s="3"/>
      <c r="B1021" s="3"/>
      <c r="C1021" s="3"/>
      <c r="D1021" s="3"/>
      <c r="E1021" s="3"/>
      <c r="F1021" s="3"/>
      <c r="G1021" s="3"/>
      <c r="H1021" s="3"/>
      <c r="K1021" s="3"/>
      <c r="L1021" s="3"/>
      <c r="M1021" s="3"/>
      <c r="N1021" s="3"/>
      <c r="O1021" s="3"/>
      <c r="P1021" s="3"/>
      <c r="Q1021" s="3"/>
      <c r="R1021" s="3"/>
      <c r="S1021" s="3"/>
      <c r="T1021" s="3"/>
      <c r="U1021" s="3"/>
    </row>
    <row r="1022">
      <c r="A1022" s="3"/>
      <c r="B1022" s="3"/>
      <c r="C1022" s="3"/>
      <c r="D1022" s="3"/>
      <c r="E1022" s="3"/>
      <c r="F1022" s="3"/>
      <c r="G1022" s="3"/>
      <c r="H1022" s="3"/>
      <c r="K1022" s="3"/>
      <c r="L1022" s="3"/>
      <c r="M1022" s="3"/>
      <c r="N1022" s="3"/>
      <c r="O1022" s="3"/>
      <c r="P1022" s="3"/>
      <c r="Q1022" s="3"/>
      <c r="R1022" s="3"/>
      <c r="S1022" s="3"/>
      <c r="T1022" s="3"/>
      <c r="U1022" s="3"/>
    </row>
    <row r="1023">
      <c r="A1023" s="3"/>
      <c r="B1023" s="3"/>
      <c r="C1023" s="3"/>
      <c r="D1023" s="3"/>
      <c r="E1023" s="3"/>
      <c r="F1023" s="3"/>
      <c r="G1023" s="3"/>
      <c r="H1023" s="3"/>
      <c r="K1023" s="3"/>
      <c r="L1023" s="3"/>
      <c r="M1023" s="3"/>
      <c r="N1023" s="3"/>
      <c r="O1023" s="3"/>
      <c r="P1023" s="3"/>
      <c r="Q1023" s="3"/>
      <c r="R1023" s="3"/>
      <c r="S1023" s="3"/>
      <c r="T1023" s="3"/>
      <c r="U1023" s="3"/>
    </row>
    <row r="1024">
      <c r="A1024" s="3"/>
      <c r="B1024" s="3"/>
      <c r="C1024" s="3"/>
      <c r="D1024" s="3"/>
      <c r="E1024" s="3"/>
      <c r="F1024" s="3"/>
      <c r="G1024" s="3"/>
      <c r="H1024" s="3"/>
      <c r="K1024" s="3"/>
      <c r="L1024" s="3"/>
      <c r="M1024" s="3"/>
      <c r="N1024" s="3"/>
      <c r="O1024" s="3"/>
      <c r="P1024" s="3"/>
      <c r="Q1024" s="3"/>
      <c r="R1024" s="3"/>
      <c r="S1024" s="3"/>
      <c r="T1024" s="3"/>
      <c r="U1024" s="3"/>
    </row>
    <row r="1025">
      <c r="A1025" s="3"/>
      <c r="B1025" s="3"/>
      <c r="C1025" s="3"/>
      <c r="D1025" s="3"/>
      <c r="E1025" s="3"/>
      <c r="F1025" s="3"/>
      <c r="G1025" s="3"/>
      <c r="H1025" s="3"/>
      <c r="K1025" s="3"/>
      <c r="L1025" s="3"/>
      <c r="M1025" s="3"/>
      <c r="N1025" s="3"/>
      <c r="O1025" s="3"/>
      <c r="P1025" s="3"/>
      <c r="Q1025" s="3"/>
      <c r="R1025" s="3"/>
      <c r="S1025" s="3"/>
      <c r="T1025" s="3"/>
      <c r="U1025" s="3"/>
    </row>
    <row r="1026">
      <c r="A1026" s="3"/>
      <c r="B1026" s="3"/>
      <c r="C1026" s="3"/>
      <c r="D1026" s="3"/>
      <c r="E1026" s="3"/>
      <c r="F1026" s="3"/>
      <c r="G1026" s="3"/>
      <c r="H1026" s="3"/>
      <c r="K1026" s="3"/>
      <c r="L1026" s="3"/>
      <c r="M1026" s="3"/>
      <c r="N1026" s="3"/>
      <c r="O1026" s="3"/>
      <c r="P1026" s="3"/>
      <c r="Q1026" s="3"/>
      <c r="R1026" s="3"/>
      <c r="S1026" s="3"/>
      <c r="T1026" s="3"/>
      <c r="U1026" s="3"/>
    </row>
    <row r="1027">
      <c r="A1027" s="3"/>
      <c r="B1027" s="3"/>
      <c r="C1027" s="3"/>
      <c r="D1027" s="3"/>
      <c r="E1027" s="3"/>
      <c r="F1027" s="3"/>
      <c r="G1027" s="3"/>
      <c r="H1027" s="3"/>
      <c r="K1027" s="3"/>
      <c r="L1027" s="3"/>
      <c r="M1027" s="3"/>
      <c r="N1027" s="3"/>
      <c r="O1027" s="3"/>
      <c r="P1027" s="3"/>
      <c r="Q1027" s="3"/>
      <c r="R1027" s="3"/>
      <c r="S1027" s="3"/>
      <c r="T1027" s="3"/>
      <c r="U1027" s="3"/>
    </row>
    <row r="1028">
      <c r="A1028" s="3"/>
      <c r="B1028" s="3"/>
      <c r="C1028" s="3"/>
      <c r="D1028" s="3"/>
      <c r="E1028" s="3"/>
      <c r="F1028" s="3"/>
      <c r="G1028" s="3"/>
      <c r="H1028" s="3"/>
      <c r="K1028" s="3"/>
      <c r="L1028" s="3"/>
      <c r="M1028" s="3"/>
      <c r="N1028" s="3"/>
      <c r="O1028" s="3"/>
      <c r="P1028" s="3"/>
      <c r="Q1028" s="3"/>
      <c r="R1028" s="3"/>
      <c r="S1028" s="3"/>
      <c r="T1028" s="3"/>
      <c r="U1028" s="3"/>
    </row>
    <row r="1029">
      <c r="A1029" s="3"/>
      <c r="B1029" s="3"/>
      <c r="C1029" s="3"/>
      <c r="D1029" s="3"/>
      <c r="E1029" s="3"/>
      <c r="F1029" s="3"/>
      <c r="G1029" s="3"/>
      <c r="H1029" s="3"/>
      <c r="K1029" s="3"/>
      <c r="L1029" s="3"/>
      <c r="M1029" s="3"/>
      <c r="N1029" s="3"/>
      <c r="O1029" s="3"/>
      <c r="P1029" s="3"/>
      <c r="Q1029" s="3"/>
      <c r="R1029" s="3"/>
      <c r="S1029" s="3"/>
      <c r="T1029" s="3"/>
      <c r="U1029" s="3"/>
    </row>
    <row r="1030">
      <c r="A1030" s="3"/>
      <c r="B1030" s="3"/>
      <c r="C1030" s="3"/>
      <c r="D1030" s="3"/>
      <c r="E1030" s="3"/>
      <c r="F1030" s="3"/>
      <c r="G1030" s="3"/>
      <c r="H1030" s="3"/>
      <c r="K1030" s="3"/>
      <c r="L1030" s="3"/>
      <c r="M1030" s="3"/>
      <c r="N1030" s="3"/>
      <c r="O1030" s="3"/>
      <c r="P1030" s="3"/>
      <c r="Q1030" s="3"/>
      <c r="R1030" s="3"/>
      <c r="S1030" s="3"/>
      <c r="T1030" s="3"/>
      <c r="U1030" s="3"/>
    </row>
    <row r="1031">
      <c r="A1031" s="3"/>
      <c r="B1031" s="3"/>
      <c r="C1031" s="3"/>
      <c r="D1031" s="3"/>
      <c r="E1031" s="3"/>
      <c r="F1031" s="3"/>
      <c r="G1031" s="3"/>
      <c r="H1031" s="3"/>
      <c r="K1031" s="3"/>
      <c r="L1031" s="3"/>
      <c r="M1031" s="3"/>
      <c r="N1031" s="3"/>
      <c r="O1031" s="3"/>
      <c r="P1031" s="3"/>
      <c r="Q1031" s="3"/>
      <c r="R1031" s="3"/>
      <c r="S1031" s="3"/>
      <c r="T1031" s="3"/>
      <c r="U1031" s="3"/>
    </row>
    <row r="1032">
      <c r="A1032" s="3"/>
      <c r="B1032" s="3"/>
      <c r="C1032" s="3"/>
      <c r="D1032" s="3"/>
      <c r="E1032" s="3"/>
      <c r="F1032" s="3"/>
      <c r="G1032" s="3"/>
      <c r="H1032" s="3"/>
      <c r="K1032" s="3"/>
      <c r="L1032" s="3"/>
      <c r="M1032" s="3"/>
      <c r="N1032" s="3"/>
      <c r="O1032" s="3"/>
      <c r="P1032" s="3"/>
      <c r="Q1032" s="3"/>
      <c r="R1032" s="3"/>
      <c r="S1032" s="3"/>
      <c r="T1032" s="3"/>
      <c r="U1032" s="3"/>
    </row>
    <row r="1033">
      <c r="A1033" s="3"/>
      <c r="B1033" s="3"/>
      <c r="C1033" s="3"/>
      <c r="D1033" s="3"/>
      <c r="E1033" s="3"/>
      <c r="F1033" s="3"/>
      <c r="G1033" s="3"/>
      <c r="H1033" s="3"/>
      <c r="K1033" s="3"/>
      <c r="L1033" s="3"/>
      <c r="M1033" s="3"/>
      <c r="N1033" s="3"/>
      <c r="O1033" s="3"/>
      <c r="P1033" s="3"/>
      <c r="Q1033" s="3"/>
      <c r="R1033" s="3"/>
      <c r="S1033" s="3"/>
      <c r="T1033" s="3"/>
      <c r="U1033" s="3"/>
    </row>
    <row r="1034">
      <c r="A1034" s="3"/>
      <c r="B1034" s="3"/>
      <c r="C1034" s="3"/>
      <c r="D1034" s="3"/>
      <c r="E1034" s="3"/>
      <c r="F1034" s="3"/>
      <c r="G1034" s="3"/>
      <c r="H1034" s="3"/>
      <c r="K1034" s="3"/>
      <c r="L1034" s="3"/>
      <c r="M1034" s="3"/>
      <c r="N1034" s="3"/>
      <c r="O1034" s="3"/>
      <c r="P1034" s="3"/>
      <c r="Q1034" s="3"/>
      <c r="R1034" s="3"/>
      <c r="S1034" s="3"/>
      <c r="T1034" s="3"/>
      <c r="U1034" s="3"/>
    </row>
    <row r="1035">
      <c r="A1035" s="3"/>
      <c r="B1035" s="3"/>
      <c r="C1035" s="3"/>
      <c r="D1035" s="3"/>
      <c r="E1035" s="3"/>
      <c r="F1035" s="3"/>
      <c r="G1035" s="3"/>
      <c r="H1035" s="3"/>
      <c r="K1035" s="3"/>
      <c r="L1035" s="3"/>
      <c r="M1035" s="3"/>
      <c r="N1035" s="3"/>
      <c r="O1035" s="3"/>
      <c r="P1035" s="3"/>
      <c r="Q1035" s="3"/>
      <c r="R1035" s="3"/>
      <c r="S1035" s="3"/>
      <c r="T1035" s="3"/>
      <c r="U1035" s="3"/>
    </row>
    <row r="1036">
      <c r="A1036" s="3"/>
      <c r="B1036" s="3"/>
      <c r="C1036" s="3"/>
      <c r="D1036" s="3"/>
      <c r="E1036" s="3"/>
      <c r="F1036" s="3"/>
      <c r="G1036" s="3"/>
      <c r="H1036" s="3"/>
      <c r="K1036" s="3"/>
      <c r="L1036" s="3"/>
      <c r="M1036" s="3"/>
      <c r="N1036" s="3"/>
      <c r="O1036" s="3"/>
      <c r="P1036" s="3"/>
      <c r="Q1036" s="3"/>
      <c r="R1036" s="3"/>
      <c r="S1036" s="3"/>
      <c r="T1036" s="3"/>
      <c r="U1036" s="3"/>
    </row>
    <row r="1037">
      <c r="A1037" s="3"/>
      <c r="B1037" s="3"/>
      <c r="C1037" s="3"/>
      <c r="D1037" s="3"/>
      <c r="E1037" s="3"/>
      <c r="F1037" s="3"/>
      <c r="G1037" s="3"/>
      <c r="H1037" s="3"/>
      <c r="K1037" s="3"/>
      <c r="L1037" s="3"/>
      <c r="M1037" s="3"/>
      <c r="N1037" s="3"/>
      <c r="O1037" s="3"/>
      <c r="P1037" s="3"/>
      <c r="Q1037" s="3"/>
      <c r="R1037" s="3"/>
      <c r="S1037" s="3"/>
      <c r="T1037" s="3"/>
      <c r="U1037" s="3"/>
    </row>
    <row r="1038">
      <c r="A1038" s="3"/>
      <c r="B1038" s="3"/>
      <c r="C1038" s="3"/>
      <c r="D1038" s="3"/>
      <c r="E1038" s="3"/>
      <c r="F1038" s="3"/>
      <c r="G1038" s="3"/>
      <c r="H1038" s="3"/>
      <c r="K1038" s="3"/>
      <c r="L1038" s="3"/>
      <c r="M1038" s="3"/>
      <c r="N1038" s="3"/>
      <c r="O1038" s="3"/>
      <c r="P1038" s="3"/>
      <c r="Q1038" s="3"/>
      <c r="R1038" s="3"/>
      <c r="S1038" s="3"/>
      <c r="T1038" s="3"/>
      <c r="U1038" s="3"/>
    </row>
    <row r="1039">
      <c r="A1039" s="3"/>
      <c r="B1039" s="3"/>
      <c r="C1039" s="3"/>
      <c r="D1039" s="3"/>
      <c r="E1039" s="3"/>
      <c r="F1039" s="3"/>
      <c r="G1039" s="3"/>
      <c r="H1039" s="3"/>
      <c r="K1039" s="3"/>
      <c r="L1039" s="3"/>
      <c r="M1039" s="3"/>
      <c r="N1039" s="3"/>
      <c r="O1039" s="3"/>
      <c r="P1039" s="3"/>
      <c r="Q1039" s="3"/>
      <c r="R1039" s="3"/>
      <c r="S1039" s="3"/>
      <c r="T1039" s="3"/>
      <c r="U1039" s="3"/>
    </row>
    <row r="1040">
      <c r="A1040" s="3"/>
      <c r="B1040" s="3"/>
      <c r="C1040" s="3"/>
      <c r="D1040" s="3"/>
      <c r="E1040" s="3"/>
      <c r="F1040" s="3"/>
      <c r="G1040" s="3"/>
      <c r="H1040" s="3"/>
      <c r="K1040" s="3"/>
      <c r="L1040" s="3"/>
      <c r="M1040" s="3"/>
      <c r="N1040" s="3"/>
      <c r="O1040" s="3"/>
      <c r="P1040" s="3"/>
      <c r="Q1040" s="3"/>
      <c r="R1040" s="3"/>
      <c r="S1040" s="3"/>
      <c r="T1040" s="3"/>
      <c r="U1040" s="3"/>
    </row>
    <row r="1041">
      <c r="A1041" s="3"/>
      <c r="B1041" s="3"/>
      <c r="C1041" s="3"/>
      <c r="D1041" s="3"/>
      <c r="E1041" s="3"/>
      <c r="F1041" s="3"/>
      <c r="G1041" s="3"/>
      <c r="H1041" s="3"/>
      <c r="K1041" s="3"/>
      <c r="L1041" s="3"/>
      <c r="M1041" s="3"/>
      <c r="N1041" s="3"/>
      <c r="O1041" s="3"/>
      <c r="P1041" s="3"/>
      <c r="Q1041" s="3"/>
      <c r="R1041" s="3"/>
      <c r="S1041" s="3"/>
      <c r="T1041" s="3"/>
      <c r="U1041" s="3"/>
    </row>
    <row r="1042">
      <c r="A1042" s="3"/>
      <c r="B1042" s="3"/>
      <c r="C1042" s="3"/>
      <c r="D1042" s="3"/>
      <c r="E1042" s="3"/>
      <c r="F1042" s="3"/>
      <c r="G1042" s="3"/>
      <c r="H1042" s="3"/>
      <c r="K1042" s="3"/>
      <c r="L1042" s="3"/>
      <c r="M1042" s="3"/>
      <c r="N1042" s="3"/>
      <c r="O1042" s="3"/>
      <c r="P1042" s="3"/>
      <c r="Q1042" s="3"/>
      <c r="R1042" s="3"/>
      <c r="S1042" s="3"/>
      <c r="T1042" s="3"/>
      <c r="U1042" s="3"/>
    </row>
    <row r="1043">
      <c r="A1043" s="3"/>
      <c r="B1043" s="3"/>
      <c r="C1043" s="3"/>
      <c r="D1043" s="3"/>
      <c r="E1043" s="3"/>
      <c r="F1043" s="3"/>
      <c r="G1043" s="3"/>
      <c r="H1043" s="3"/>
      <c r="K1043" s="3"/>
      <c r="L1043" s="3"/>
      <c r="M1043" s="3"/>
      <c r="N1043" s="3"/>
      <c r="O1043" s="3"/>
      <c r="P1043" s="3"/>
      <c r="Q1043" s="3"/>
      <c r="R1043" s="3"/>
      <c r="S1043" s="3"/>
      <c r="T1043" s="3"/>
      <c r="U1043" s="3"/>
    </row>
    <row r="1044">
      <c r="A1044" s="3"/>
      <c r="B1044" s="3"/>
      <c r="C1044" s="3"/>
      <c r="D1044" s="3"/>
      <c r="E1044" s="3"/>
      <c r="F1044" s="3"/>
      <c r="G1044" s="3"/>
      <c r="H1044" s="3"/>
      <c r="K1044" s="3"/>
      <c r="L1044" s="3"/>
      <c r="M1044" s="3"/>
      <c r="N1044" s="3"/>
      <c r="O1044" s="3"/>
      <c r="P1044" s="3"/>
      <c r="Q1044" s="3"/>
      <c r="R1044" s="3"/>
      <c r="S1044" s="3"/>
      <c r="T1044" s="3"/>
      <c r="U1044" s="3"/>
    </row>
    <row r="1045">
      <c r="A1045" s="3"/>
      <c r="B1045" s="3"/>
      <c r="C1045" s="3"/>
      <c r="D1045" s="3"/>
      <c r="E1045" s="3"/>
      <c r="F1045" s="3"/>
      <c r="G1045" s="3"/>
      <c r="H1045" s="3"/>
      <c r="K1045" s="3"/>
      <c r="L1045" s="3"/>
      <c r="M1045" s="3"/>
      <c r="N1045" s="3"/>
      <c r="O1045" s="3"/>
      <c r="P1045" s="3"/>
      <c r="Q1045" s="3"/>
      <c r="R1045" s="3"/>
      <c r="S1045" s="3"/>
      <c r="T1045" s="3"/>
      <c r="U1045" s="3"/>
    </row>
    <row r="1046">
      <c r="A1046" s="3"/>
      <c r="B1046" s="3"/>
      <c r="C1046" s="3"/>
      <c r="D1046" s="3"/>
      <c r="E1046" s="3"/>
      <c r="F1046" s="3"/>
      <c r="G1046" s="3"/>
      <c r="H1046" s="3"/>
      <c r="K1046" s="3"/>
      <c r="L1046" s="3"/>
      <c r="M1046" s="3"/>
      <c r="N1046" s="3"/>
      <c r="O1046" s="3"/>
      <c r="P1046" s="3"/>
      <c r="Q1046" s="3"/>
      <c r="R1046" s="3"/>
      <c r="S1046" s="3"/>
      <c r="T1046" s="3"/>
      <c r="U1046" s="3"/>
    </row>
    <row r="1047">
      <c r="A1047" s="3"/>
      <c r="B1047" s="3"/>
      <c r="C1047" s="3"/>
      <c r="D1047" s="3"/>
      <c r="E1047" s="3"/>
      <c r="F1047" s="3"/>
      <c r="G1047" s="3"/>
      <c r="H1047" s="3"/>
      <c r="K1047" s="3"/>
      <c r="L1047" s="3"/>
      <c r="M1047" s="3"/>
      <c r="N1047" s="3"/>
      <c r="O1047" s="3"/>
      <c r="P1047" s="3"/>
      <c r="Q1047" s="3"/>
      <c r="R1047" s="3"/>
      <c r="S1047" s="3"/>
      <c r="T1047" s="3"/>
      <c r="U1047" s="3"/>
    </row>
    <row r="1048">
      <c r="A1048" s="3"/>
      <c r="B1048" s="3"/>
      <c r="C1048" s="3"/>
      <c r="D1048" s="3"/>
      <c r="E1048" s="3"/>
      <c r="F1048" s="3"/>
      <c r="G1048" s="3"/>
      <c r="H1048" s="3"/>
      <c r="K1048" s="3"/>
      <c r="L1048" s="3"/>
      <c r="M1048" s="3"/>
      <c r="N1048" s="3"/>
      <c r="O1048" s="3"/>
      <c r="P1048" s="3"/>
      <c r="Q1048" s="3"/>
      <c r="R1048" s="3"/>
      <c r="S1048" s="3"/>
      <c r="T1048" s="3"/>
      <c r="U1048" s="3"/>
    </row>
    <row r="1049">
      <c r="A1049" s="3"/>
      <c r="B1049" s="3"/>
      <c r="C1049" s="3"/>
      <c r="D1049" s="3"/>
      <c r="E1049" s="3"/>
      <c r="F1049" s="3"/>
      <c r="G1049" s="3"/>
      <c r="H1049" s="3"/>
      <c r="K1049" s="3"/>
      <c r="L1049" s="3"/>
      <c r="M1049" s="3"/>
      <c r="N1049" s="3"/>
      <c r="O1049" s="3"/>
      <c r="P1049" s="3"/>
      <c r="Q1049" s="3"/>
      <c r="R1049" s="3"/>
      <c r="S1049" s="3"/>
      <c r="T1049" s="3"/>
      <c r="U1049" s="3"/>
    </row>
    <row r="1050">
      <c r="A1050" s="3"/>
      <c r="B1050" s="3"/>
      <c r="C1050" s="3"/>
      <c r="D1050" s="3"/>
      <c r="E1050" s="3"/>
      <c r="F1050" s="3"/>
      <c r="G1050" s="3"/>
      <c r="H1050" s="3"/>
      <c r="K1050" s="3"/>
      <c r="L1050" s="3"/>
      <c r="M1050" s="3"/>
      <c r="N1050" s="3"/>
      <c r="O1050" s="3"/>
      <c r="P1050" s="3"/>
      <c r="Q1050" s="3"/>
      <c r="R1050" s="3"/>
      <c r="S1050" s="3"/>
      <c r="T1050" s="3"/>
      <c r="U1050" s="3"/>
    </row>
    <row r="1051">
      <c r="A1051" s="3"/>
      <c r="B1051" s="3"/>
      <c r="C1051" s="3"/>
      <c r="D1051" s="3"/>
      <c r="E1051" s="3"/>
      <c r="F1051" s="3"/>
      <c r="G1051" s="3"/>
      <c r="H1051" s="3"/>
      <c r="K1051" s="3"/>
      <c r="L1051" s="3"/>
      <c r="M1051" s="3"/>
      <c r="N1051" s="3"/>
      <c r="O1051" s="3"/>
      <c r="P1051" s="3"/>
      <c r="Q1051" s="3"/>
      <c r="R1051" s="3"/>
      <c r="S1051" s="3"/>
      <c r="T1051" s="3"/>
      <c r="U1051" s="3"/>
    </row>
    <row r="1052">
      <c r="A1052" s="3"/>
      <c r="B1052" s="3"/>
      <c r="C1052" s="3"/>
      <c r="D1052" s="3"/>
      <c r="E1052" s="3"/>
      <c r="F1052" s="3"/>
      <c r="G1052" s="3"/>
      <c r="H1052" s="3"/>
      <c r="K1052" s="3"/>
      <c r="L1052" s="3"/>
      <c r="M1052" s="3"/>
      <c r="N1052" s="3"/>
      <c r="O1052" s="3"/>
      <c r="P1052" s="3"/>
      <c r="Q1052" s="3"/>
      <c r="R1052" s="3"/>
      <c r="S1052" s="3"/>
      <c r="T1052" s="3"/>
      <c r="U1052" s="3"/>
    </row>
    <row r="1053">
      <c r="A1053" s="3"/>
      <c r="B1053" s="3"/>
      <c r="C1053" s="3"/>
      <c r="D1053" s="3"/>
      <c r="E1053" s="3"/>
      <c r="F1053" s="3"/>
      <c r="G1053" s="3"/>
      <c r="H1053" s="3"/>
      <c r="K1053" s="3"/>
      <c r="L1053" s="3"/>
      <c r="M1053" s="3"/>
      <c r="N1053" s="3"/>
      <c r="O1053" s="3"/>
      <c r="P1053" s="3"/>
      <c r="Q1053" s="3"/>
      <c r="R1053" s="3"/>
      <c r="S1053" s="3"/>
      <c r="T1053" s="3"/>
      <c r="U1053" s="3"/>
    </row>
    <row r="1054">
      <c r="A1054" s="3"/>
      <c r="B1054" s="3"/>
      <c r="C1054" s="3"/>
      <c r="D1054" s="3"/>
      <c r="E1054" s="3"/>
      <c r="F1054" s="3"/>
      <c r="G1054" s="3"/>
      <c r="H1054" s="3"/>
      <c r="K1054" s="3"/>
      <c r="L1054" s="3"/>
      <c r="M1054" s="3"/>
      <c r="N1054" s="3"/>
      <c r="O1054" s="3"/>
      <c r="P1054" s="3"/>
      <c r="Q1054" s="3"/>
      <c r="R1054" s="3"/>
      <c r="S1054" s="3"/>
      <c r="T1054" s="3"/>
      <c r="U1054" s="3"/>
    </row>
    <row r="1055">
      <c r="A1055" s="3"/>
      <c r="B1055" s="3"/>
      <c r="C1055" s="3"/>
      <c r="D1055" s="3"/>
      <c r="E1055" s="3"/>
      <c r="F1055" s="3"/>
      <c r="G1055" s="3"/>
      <c r="H1055" s="3"/>
      <c r="K1055" s="3"/>
      <c r="L1055" s="3"/>
      <c r="M1055" s="3"/>
      <c r="N1055" s="3"/>
      <c r="O1055" s="3"/>
      <c r="P1055" s="3"/>
      <c r="Q1055" s="3"/>
      <c r="R1055" s="3"/>
      <c r="S1055" s="3"/>
      <c r="T1055" s="3"/>
      <c r="U1055" s="3"/>
    </row>
    <row r="1056">
      <c r="A1056" s="3"/>
      <c r="B1056" s="3"/>
      <c r="C1056" s="3"/>
      <c r="D1056" s="3"/>
      <c r="E1056" s="3"/>
      <c r="F1056" s="3"/>
      <c r="G1056" s="3"/>
      <c r="H1056" s="3"/>
      <c r="K1056" s="3"/>
      <c r="L1056" s="3"/>
      <c r="M1056" s="3"/>
      <c r="N1056" s="3"/>
      <c r="O1056" s="3"/>
      <c r="P1056" s="3"/>
      <c r="Q1056" s="3"/>
      <c r="R1056" s="3"/>
      <c r="S1056" s="3"/>
      <c r="T1056" s="3"/>
      <c r="U1056" s="3"/>
    </row>
    <row r="1057">
      <c r="A1057" s="3"/>
      <c r="B1057" s="3"/>
      <c r="C1057" s="3"/>
      <c r="D1057" s="3"/>
      <c r="E1057" s="3"/>
      <c r="F1057" s="3"/>
      <c r="G1057" s="3"/>
      <c r="H1057" s="3"/>
      <c r="K1057" s="3"/>
      <c r="L1057" s="3"/>
      <c r="M1057" s="3"/>
      <c r="N1057" s="3"/>
      <c r="O1057" s="3"/>
      <c r="P1057" s="3"/>
      <c r="Q1057" s="3"/>
      <c r="R1057" s="3"/>
      <c r="S1057" s="3"/>
      <c r="T1057" s="3"/>
      <c r="U1057" s="3"/>
    </row>
    <row r="1058">
      <c r="A1058" s="3"/>
      <c r="B1058" s="3"/>
      <c r="C1058" s="3"/>
      <c r="D1058" s="3"/>
      <c r="E1058" s="3"/>
      <c r="F1058" s="3"/>
      <c r="G1058" s="3"/>
      <c r="H1058" s="3"/>
      <c r="K1058" s="3"/>
      <c r="L1058" s="3"/>
      <c r="M1058" s="3"/>
      <c r="N1058" s="3"/>
      <c r="O1058" s="3"/>
      <c r="P1058" s="3"/>
      <c r="Q1058" s="3"/>
      <c r="R1058" s="3"/>
      <c r="S1058" s="3"/>
      <c r="T1058" s="3"/>
      <c r="U1058" s="3"/>
    </row>
    <row r="1059">
      <c r="A1059" s="3"/>
      <c r="B1059" s="3"/>
      <c r="C1059" s="3"/>
      <c r="D1059" s="3"/>
      <c r="E1059" s="3"/>
      <c r="F1059" s="3"/>
      <c r="G1059" s="3"/>
      <c r="H1059" s="3"/>
      <c r="K1059" s="3"/>
      <c r="L1059" s="3"/>
      <c r="M1059" s="3"/>
      <c r="N1059" s="3"/>
      <c r="O1059" s="3"/>
      <c r="P1059" s="3"/>
      <c r="Q1059" s="3"/>
      <c r="R1059" s="3"/>
      <c r="S1059" s="3"/>
      <c r="T1059" s="3"/>
      <c r="U1059" s="3"/>
    </row>
    <row r="1060">
      <c r="A1060" s="3"/>
      <c r="B1060" s="3"/>
      <c r="C1060" s="3"/>
      <c r="D1060" s="3"/>
      <c r="E1060" s="3"/>
      <c r="F1060" s="3"/>
      <c r="G1060" s="3"/>
      <c r="H1060" s="3"/>
      <c r="K1060" s="3"/>
      <c r="L1060" s="3"/>
      <c r="M1060" s="3"/>
      <c r="N1060" s="3"/>
      <c r="O1060" s="3"/>
      <c r="P1060" s="3"/>
      <c r="Q1060" s="3"/>
      <c r="R1060" s="3"/>
      <c r="S1060" s="3"/>
      <c r="T1060" s="3"/>
      <c r="U1060" s="3"/>
    </row>
    <row r="1061">
      <c r="A1061" s="3"/>
      <c r="B1061" s="3"/>
      <c r="C1061" s="3"/>
      <c r="D1061" s="3"/>
      <c r="E1061" s="3"/>
      <c r="F1061" s="3"/>
      <c r="G1061" s="3"/>
      <c r="H1061" s="3"/>
      <c r="K1061" s="3"/>
      <c r="L1061" s="3"/>
      <c r="M1061" s="3"/>
      <c r="N1061" s="3"/>
      <c r="O1061" s="3"/>
      <c r="P1061" s="3"/>
      <c r="Q1061" s="3"/>
      <c r="R1061" s="3"/>
      <c r="S1061" s="3"/>
      <c r="T1061" s="3"/>
      <c r="U1061" s="3"/>
    </row>
    <row r="1062">
      <c r="A1062" s="3"/>
      <c r="B1062" s="3"/>
      <c r="C1062" s="3"/>
      <c r="D1062" s="3"/>
      <c r="E1062" s="3"/>
      <c r="F1062" s="3"/>
      <c r="G1062" s="3"/>
      <c r="H1062" s="3"/>
      <c r="K1062" s="3"/>
      <c r="L1062" s="3"/>
      <c r="M1062" s="3"/>
      <c r="N1062" s="3"/>
      <c r="O1062" s="3"/>
      <c r="P1062" s="3"/>
      <c r="Q1062" s="3"/>
      <c r="R1062" s="3"/>
      <c r="S1062" s="3"/>
      <c r="T1062" s="3"/>
      <c r="U1062" s="3"/>
    </row>
    <row r="1063">
      <c r="A1063" s="3"/>
      <c r="B1063" s="3"/>
      <c r="C1063" s="3"/>
      <c r="D1063" s="3"/>
      <c r="E1063" s="3"/>
      <c r="F1063" s="3"/>
      <c r="G1063" s="3"/>
      <c r="H1063" s="3"/>
      <c r="K1063" s="3"/>
      <c r="L1063" s="3"/>
      <c r="M1063" s="3"/>
      <c r="N1063" s="3"/>
      <c r="O1063" s="3"/>
      <c r="P1063" s="3"/>
      <c r="Q1063" s="3"/>
      <c r="R1063" s="3"/>
      <c r="S1063" s="3"/>
      <c r="T1063" s="3"/>
      <c r="U1063" s="3"/>
    </row>
    <row r="1064">
      <c r="A1064" s="3"/>
      <c r="B1064" s="3"/>
      <c r="C1064" s="3"/>
      <c r="D1064" s="3"/>
      <c r="E1064" s="3"/>
      <c r="F1064" s="3"/>
      <c r="G1064" s="3"/>
      <c r="H1064" s="3"/>
      <c r="K1064" s="3"/>
      <c r="L1064" s="3"/>
      <c r="M1064" s="3"/>
      <c r="N1064" s="3"/>
      <c r="O1064" s="3"/>
      <c r="P1064" s="3"/>
      <c r="Q1064" s="3"/>
      <c r="R1064" s="3"/>
      <c r="S1064" s="3"/>
      <c r="T1064" s="3"/>
      <c r="U1064" s="3"/>
    </row>
    <row r="1065">
      <c r="A1065" s="3"/>
      <c r="B1065" s="3"/>
      <c r="C1065" s="3"/>
      <c r="D1065" s="3"/>
      <c r="E1065" s="3"/>
      <c r="F1065" s="3"/>
      <c r="G1065" s="3"/>
      <c r="H1065" s="3"/>
      <c r="K1065" s="3"/>
      <c r="L1065" s="3"/>
      <c r="M1065" s="3"/>
      <c r="N1065" s="3"/>
      <c r="O1065" s="3"/>
      <c r="P1065" s="3"/>
      <c r="Q1065" s="3"/>
      <c r="R1065" s="3"/>
      <c r="S1065" s="3"/>
      <c r="T1065" s="3"/>
      <c r="U1065" s="3"/>
    </row>
    <row r="1066">
      <c r="A1066" s="3"/>
      <c r="B1066" s="3"/>
      <c r="C1066" s="3"/>
      <c r="D1066" s="3"/>
      <c r="E1066" s="3"/>
      <c r="F1066" s="3"/>
      <c r="G1066" s="3"/>
      <c r="H1066" s="3"/>
      <c r="K1066" s="3"/>
      <c r="L1066" s="3"/>
      <c r="M1066" s="3"/>
      <c r="N1066" s="3"/>
      <c r="O1066" s="3"/>
      <c r="P1066" s="3"/>
      <c r="Q1066" s="3"/>
      <c r="R1066" s="3"/>
      <c r="S1066" s="3"/>
      <c r="T1066" s="3"/>
      <c r="U1066" s="3"/>
    </row>
    <row r="1067">
      <c r="A1067" s="3"/>
      <c r="B1067" s="3"/>
      <c r="C1067" s="3"/>
      <c r="D1067" s="3"/>
      <c r="E1067" s="3"/>
      <c r="F1067" s="3"/>
      <c r="G1067" s="3"/>
      <c r="H1067" s="3"/>
      <c r="K1067" s="3"/>
      <c r="L1067" s="3"/>
      <c r="M1067" s="3"/>
      <c r="N1067" s="3"/>
      <c r="O1067" s="3"/>
      <c r="P1067" s="3"/>
      <c r="Q1067" s="3"/>
      <c r="R1067" s="3"/>
      <c r="S1067" s="3"/>
      <c r="T1067" s="3"/>
      <c r="U1067" s="3"/>
    </row>
    <row r="1068">
      <c r="A1068" s="3"/>
      <c r="B1068" s="3"/>
      <c r="C1068" s="3"/>
      <c r="D1068" s="3"/>
      <c r="E1068" s="3"/>
      <c r="F1068" s="3"/>
      <c r="G1068" s="3"/>
      <c r="H1068" s="3"/>
      <c r="K1068" s="3"/>
      <c r="L1068" s="3"/>
      <c r="M1068" s="3"/>
      <c r="N1068" s="3"/>
      <c r="O1068" s="3"/>
      <c r="P1068" s="3"/>
      <c r="Q1068" s="3"/>
      <c r="R1068" s="3"/>
      <c r="S1068" s="3"/>
      <c r="T1068" s="3"/>
      <c r="U1068" s="3"/>
    </row>
    <row r="1069">
      <c r="A1069" s="3"/>
      <c r="B1069" s="3"/>
      <c r="C1069" s="3"/>
      <c r="D1069" s="3"/>
      <c r="E1069" s="3"/>
      <c r="F1069" s="3"/>
      <c r="G1069" s="3"/>
      <c r="H1069" s="3"/>
      <c r="K1069" s="3"/>
      <c r="L1069" s="3"/>
      <c r="M1069" s="3"/>
      <c r="N1069" s="3"/>
      <c r="O1069" s="3"/>
      <c r="P1069" s="3"/>
      <c r="Q1069" s="3"/>
      <c r="R1069" s="3"/>
      <c r="S1069" s="3"/>
      <c r="T1069" s="3"/>
      <c r="U1069" s="3"/>
    </row>
    <row r="1070">
      <c r="A1070" s="3"/>
      <c r="B1070" s="3"/>
      <c r="C1070" s="3"/>
      <c r="D1070" s="3"/>
      <c r="E1070" s="3"/>
      <c r="F1070" s="3"/>
      <c r="G1070" s="3"/>
      <c r="H1070" s="3"/>
      <c r="K1070" s="3"/>
      <c r="L1070" s="3"/>
      <c r="M1070" s="3"/>
      <c r="N1070" s="3"/>
      <c r="O1070" s="3"/>
      <c r="P1070" s="3"/>
      <c r="Q1070" s="3"/>
      <c r="R1070" s="3"/>
      <c r="S1070" s="3"/>
      <c r="T1070" s="3"/>
      <c r="U1070" s="3"/>
    </row>
    <row r="1071">
      <c r="A1071" s="3"/>
      <c r="B1071" s="3"/>
      <c r="C1071" s="3"/>
      <c r="D1071" s="3"/>
      <c r="E1071" s="3"/>
      <c r="F1071" s="3"/>
      <c r="G1071" s="3"/>
      <c r="H1071" s="3"/>
      <c r="K1071" s="3"/>
      <c r="L1071" s="3"/>
      <c r="M1071" s="3"/>
      <c r="N1071" s="3"/>
      <c r="O1071" s="3"/>
      <c r="P1071" s="3"/>
      <c r="Q1071" s="3"/>
      <c r="R1071" s="3"/>
      <c r="S1071" s="3"/>
      <c r="T1071" s="3"/>
      <c r="U1071" s="3"/>
    </row>
    <row r="1072">
      <c r="A1072" s="3"/>
      <c r="B1072" s="3"/>
      <c r="C1072" s="3"/>
      <c r="D1072" s="3"/>
      <c r="E1072" s="3"/>
      <c r="F1072" s="3"/>
      <c r="G1072" s="3"/>
      <c r="H1072" s="3"/>
      <c r="K1072" s="3"/>
      <c r="L1072" s="3"/>
      <c r="M1072" s="3"/>
      <c r="N1072" s="3"/>
      <c r="O1072" s="3"/>
      <c r="P1072" s="3"/>
      <c r="Q1072" s="3"/>
      <c r="R1072" s="3"/>
      <c r="S1072" s="3"/>
      <c r="T1072" s="3"/>
      <c r="U1072" s="3"/>
    </row>
    <row r="1073">
      <c r="A1073" s="3"/>
      <c r="B1073" s="3"/>
      <c r="C1073" s="3"/>
      <c r="D1073" s="3"/>
      <c r="E1073" s="3"/>
      <c r="F1073" s="3"/>
      <c r="G1073" s="3"/>
      <c r="H1073" s="3"/>
      <c r="K1073" s="3"/>
      <c r="L1073" s="3"/>
      <c r="M1073" s="3"/>
      <c r="N1073" s="3"/>
      <c r="O1073" s="3"/>
      <c r="P1073" s="3"/>
      <c r="Q1073" s="3"/>
      <c r="R1073" s="3"/>
      <c r="S1073" s="3"/>
      <c r="T1073" s="3"/>
      <c r="U1073" s="3"/>
    </row>
    <row r="1074">
      <c r="A1074" s="3"/>
      <c r="B1074" s="3"/>
      <c r="C1074" s="3"/>
      <c r="D1074" s="3"/>
      <c r="E1074" s="3"/>
      <c r="F1074" s="3"/>
      <c r="G1074" s="3"/>
      <c r="H1074" s="3"/>
      <c r="K1074" s="3"/>
      <c r="L1074" s="3"/>
      <c r="M1074" s="3"/>
      <c r="N1074" s="3"/>
      <c r="O1074" s="3"/>
      <c r="P1074" s="3"/>
      <c r="Q1074" s="3"/>
      <c r="R1074" s="3"/>
      <c r="S1074" s="3"/>
      <c r="T1074" s="3"/>
      <c r="U1074" s="3"/>
    </row>
    <row r="1075">
      <c r="A1075" s="3"/>
      <c r="B1075" s="3"/>
      <c r="C1075" s="3"/>
      <c r="D1075" s="3"/>
      <c r="E1075" s="3"/>
      <c r="F1075" s="3"/>
      <c r="G1075" s="3"/>
      <c r="H1075" s="3"/>
      <c r="K1075" s="3"/>
      <c r="L1075" s="3"/>
      <c r="M1075" s="3"/>
      <c r="N1075" s="3"/>
      <c r="O1075" s="3"/>
      <c r="P1075" s="3"/>
      <c r="Q1075" s="3"/>
      <c r="R1075" s="3"/>
      <c r="S1075" s="3"/>
      <c r="T1075" s="3"/>
      <c r="U1075" s="3"/>
    </row>
    <row r="1076">
      <c r="A1076" s="3"/>
      <c r="B1076" s="3"/>
      <c r="C1076" s="3"/>
      <c r="D1076" s="3"/>
      <c r="E1076" s="3"/>
      <c r="F1076" s="3"/>
      <c r="G1076" s="3"/>
      <c r="H1076" s="3"/>
      <c r="K1076" s="3"/>
      <c r="L1076" s="3"/>
      <c r="M1076" s="3"/>
      <c r="N1076" s="3"/>
      <c r="O1076" s="3"/>
      <c r="P1076" s="3"/>
      <c r="Q1076" s="3"/>
      <c r="R1076" s="3"/>
      <c r="S1076" s="3"/>
      <c r="T1076" s="3"/>
      <c r="U1076" s="3"/>
    </row>
    <row r="1077">
      <c r="A1077" s="3"/>
      <c r="B1077" s="3"/>
      <c r="C1077" s="3"/>
      <c r="D1077" s="3"/>
      <c r="E1077" s="3"/>
      <c r="F1077" s="3"/>
      <c r="G1077" s="3"/>
      <c r="H1077" s="3"/>
      <c r="K1077" s="3"/>
      <c r="L1077" s="3"/>
      <c r="M1077" s="3"/>
      <c r="N1077" s="3"/>
      <c r="O1077" s="3"/>
      <c r="P1077" s="3"/>
      <c r="Q1077" s="3"/>
      <c r="R1077" s="3"/>
      <c r="S1077" s="3"/>
      <c r="T1077" s="3"/>
      <c r="U1077" s="3"/>
    </row>
    <row r="1078">
      <c r="A1078" s="3"/>
      <c r="B1078" s="3"/>
      <c r="C1078" s="3"/>
      <c r="D1078" s="3"/>
      <c r="E1078" s="3"/>
      <c r="F1078" s="3"/>
      <c r="G1078" s="3"/>
      <c r="H1078" s="3"/>
      <c r="K1078" s="3"/>
      <c r="L1078" s="3"/>
      <c r="M1078" s="3"/>
      <c r="N1078" s="3"/>
      <c r="O1078" s="3"/>
      <c r="P1078" s="3"/>
      <c r="Q1078" s="3"/>
      <c r="R1078" s="3"/>
      <c r="S1078" s="3"/>
      <c r="T1078" s="3"/>
      <c r="U1078" s="3"/>
    </row>
    <row r="1079">
      <c r="A1079" s="3"/>
      <c r="B1079" s="3"/>
      <c r="C1079" s="3"/>
      <c r="D1079" s="3"/>
      <c r="E1079" s="3"/>
      <c r="F1079" s="3"/>
      <c r="G1079" s="3"/>
      <c r="H1079" s="3"/>
      <c r="K1079" s="3"/>
      <c r="L1079" s="3"/>
      <c r="M1079" s="3"/>
      <c r="N1079" s="3"/>
      <c r="O1079" s="3"/>
      <c r="P1079" s="3"/>
      <c r="Q1079" s="3"/>
      <c r="R1079" s="3"/>
      <c r="S1079" s="3"/>
      <c r="T1079" s="3"/>
      <c r="U1079" s="3"/>
    </row>
    <row r="1080">
      <c r="A1080" s="3"/>
      <c r="B1080" s="3"/>
      <c r="C1080" s="3"/>
      <c r="D1080" s="3"/>
      <c r="E1080" s="3"/>
      <c r="F1080" s="3"/>
      <c r="G1080" s="3"/>
      <c r="H1080" s="3"/>
      <c r="K1080" s="3"/>
      <c r="L1080" s="3"/>
      <c r="M1080" s="3"/>
      <c r="N1080" s="3"/>
      <c r="O1080" s="3"/>
      <c r="P1080" s="3"/>
      <c r="Q1080" s="3"/>
      <c r="R1080" s="3"/>
      <c r="S1080" s="3"/>
      <c r="T1080" s="3"/>
      <c r="U1080" s="3"/>
    </row>
    <row r="1081">
      <c r="A1081" s="3"/>
      <c r="B1081" s="3"/>
      <c r="C1081" s="3"/>
      <c r="D1081" s="3"/>
      <c r="E1081" s="3"/>
      <c r="F1081" s="3"/>
      <c r="G1081" s="3"/>
      <c r="H1081" s="3"/>
      <c r="K1081" s="3"/>
      <c r="L1081" s="3"/>
      <c r="M1081" s="3"/>
      <c r="N1081" s="3"/>
      <c r="O1081" s="3"/>
      <c r="P1081" s="3"/>
      <c r="Q1081" s="3"/>
      <c r="R1081" s="3"/>
      <c r="S1081" s="3"/>
      <c r="T1081" s="3"/>
      <c r="U1081" s="3"/>
    </row>
    <row r="1082">
      <c r="A1082" s="3"/>
      <c r="B1082" s="3"/>
      <c r="C1082" s="3"/>
      <c r="D1082" s="3"/>
      <c r="E1082" s="3"/>
      <c r="F1082" s="3"/>
      <c r="G1082" s="3"/>
      <c r="H1082" s="3"/>
      <c r="K1082" s="3"/>
      <c r="L1082" s="3"/>
      <c r="M1082" s="3"/>
      <c r="N1082" s="3"/>
      <c r="O1082" s="3"/>
      <c r="P1082" s="3"/>
      <c r="Q1082" s="3"/>
      <c r="R1082" s="3"/>
      <c r="S1082" s="3"/>
      <c r="T1082" s="3"/>
      <c r="U1082" s="3"/>
    </row>
    <row r="1083">
      <c r="A1083" s="3"/>
      <c r="B1083" s="3"/>
      <c r="C1083" s="3"/>
      <c r="D1083" s="3"/>
      <c r="E1083" s="3"/>
      <c r="F1083" s="3"/>
      <c r="G1083" s="3"/>
      <c r="H1083" s="3"/>
      <c r="K1083" s="3"/>
      <c r="L1083" s="3"/>
      <c r="M1083" s="3"/>
      <c r="N1083" s="3"/>
      <c r="O1083" s="3"/>
      <c r="P1083" s="3"/>
      <c r="Q1083" s="3"/>
      <c r="R1083" s="3"/>
      <c r="S1083" s="3"/>
      <c r="T1083" s="3"/>
      <c r="U1083" s="3"/>
    </row>
    <row r="1084">
      <c r="A1084" s="3"/>
      <c r="B1084" s="3"/>
      <c r="C1084" s="3"/>
      <c r="D1084" s="3"/>
      <c r="E1084" s="3"/>
      <c r="F1084" s="3"/>
      <c r="G1084" s="3"/>
      <c r="H1084" s="3"/>
      <c r="K1084" s="3"/>
      <c r="L1084" s="3"/>
      <c r="M1084" s="3"/>
      <c r="N1084" s="3"/>
      <c r="O1084" s="3"/>
      <c r="P1084" s="3"/>
      <c r="Q1084" s="3"/>
      <c r="R1084" s="3"/>
      <c r="S1084" s="3"/>
      <c r="T1084" s="3"/>
      <c r="U1084" s="3"/>
    </row>
    <row r="1085">
      <c r="A1085" s="3"/>
      <c r="B1085" s="3"/>
      <c r="C1085" s="3"/>
      <c r="D1085" s="3"/>
      <c r="E1085" s="3"/>
      <c r="F1085" s="3"/>
      <c r="G1085" s="3"/>
      <c r="H1085" s="3"/>
      <c r="K1085" s="3"/>
      <c r="L1085" s="3"/>
      <c r="M1085" s="3"/>
      <c r="N1085" s="3"/>
      <c r="O1085" s="3"/>
      <c r="P1085" s="3"/>
      <c r="Q1085" s="3"/>
      <c r="R1085" s="3"/>
      <c r="S1085" s="3"/>
      <c r="T1085" s="3"/>
      <c r="U1085" s="3"/>
    </row>
    <row r="1086">
      <c r="A1086" s="3"/>
      <c r="B1086" s="3"/>
      <c r="C1086" s="3"/>
      <c r="D1086" s="3"/>
      <c r="E1086" s="3"/>
      <c r="F1086" s="3"/>
      <c r="G1086" s="3"/>
      <c r="H1086" s="3"/>
      <c r="K1086" s="3"/>
      <c r="L1086" s="3"/>
      <c r="M1086" s="3"/>
      <c r="N1086" s="3"/>
      <c r="O1086" s="3"/>
      <c r="P1086" s="3"/>
      <c r="Q1086" s="3"/>
      <c r="R1086" s="3"/>
      <c r="S1086" s="3"/>
      <c r="T1086" s="3"/>
      <c r="U1086" s="3"/>
    </row>
    <row r="1087">
      <c r="A1087" s="3"/>
      <c r="B1087" s="3"/>
      <c r="C1087" s="3"/>
      <c r="D1087" s="3"/>
      <c r="E1087" s="3"/>
      <c r="F1087" s="3"/>
      <c r="G1087" s="3"/>
      <c r="H1087" s="3"/>
      <c r="K1087" s="3"/>
      <c r="L1087" s="3"/>
      <c r="M1087" s="3"/>
      <c r="N1087" s="3"/>
      <c r="O1087" s="3"/>
      <c r="P1087" s="3"/>
      <c r="Q1087" s="3"/>
      <c r="R1087" s="3"/>
      <c r="S1087" s="3"/>
      <c r="T1087" s="3"/>
      <c r="U1087" s="3"/>
    </row>
    <row r="1088">
      <c r="A1088" s="3"/>
      <c r="B1088" s="3"/>
      <c r="C1088" s="3"/>
      <c r="D1088" s="3"/>
      <c r="E1088" s="3"/>
      <c r="F1088" s="3"/>
      <c r="G1088" s="3"/>
      <c r="H1088" s="3"/>
      <c r="K1088" s="3"/>
      <c r="L1088" s="3"/>
      <c r="M1088" s="3"/>
      <c r="N1088" s="3"/>
      <c r="O1088" s="3"/>
      <c r="P1088" s="3"/>
      <c r="Q1088" s="3"/>
      <c r="R1088" s="3"/>
      <c r="S1088" s="3"/>
      <c r="T1088" s="3"/>
      <c r="U1088" s="3"/>
    </row>
    <row r="1089">
      <c r="A1089" s="3"/>
      <c r="B1089" s="3"/>
      <c r="C1089" s="3"/>
      <c r="D1089" s="3"/>
      <c r="E1089" s="3"/>
      <c r="F1089" s="3"/>
      <c r="G1089" s="3"/>
      <c r="H1089" s="3"/>
      <c r="K1089" s="3"/>
      <c r="L1089" s="3"/>
      <c r="M1089" s="3"/>
      <c r="N1089" s="3"/>
      <c r="O1089" s="3"/>
      <c r="P1089" s="3"/>
      <c r="Q1089" s="3"/>
      <c r="R1089" s="3"/>
      <c r="S1089" s="3"/>
      <c r="T1089" s="3"/>
      <c r="U1089" s="3"/>
    </row>
    <row r="1090">
      <c r="A1090" s="3"/>
      <c r="B1090" s="3"/>
      <c r="C1090" s="3"/>
      <c r="D1090" s="3"/>
      <c r="E1090" s="3"/>
      <c r="F1090" s="3"/>
      <c r="G1090" s="3"/>
      <c r="H1090" s="3"/>
      <c r="K1090" s="3"/>
      <c r="L1090" s="3"/>
      <c r="M1090" s="3"/>
      <c r="N1090" s="3"/>
      <c r="O1090" s="3"/>
      <c r="P1090" s="3"/>
      <c r="Q1090" s="3"/>
      <c r="R1090" s="3"/>
      <c r="S1090" s="3"/>
      <c r="T1090" s="3"/>
      <c r="U1090" s="3"/>
    </row>
    <row r="1091">
      <c r="A1091" s="3"/>
      <c r="B1091" s="3"/>
      <c r="C1091" s="3"/>
      <c r="D1091" s="3"/>
      <c r="E1091" s="3"/>
      <c r="F1091" s="3"/>
      <c r="G1091" s="3"/>
      <c r="H1091" s="3"/>
      <c r="K1091" s="3"/>
      <c r="L1091" s="3"/>
      <c r="M1091" s="3"/>
      <c r="N1091" s="3"/>
      <c r="O1091" s="3"/>
      <c r="P1091" s="3"/>
      <c r="Q1091" s="3"/>
      <c r="R1091" s="3"/>
      <c r="S1091" s="3"/>
      <c r="T1091" s="3"/>
      <c r="U1091" s="3"/>
    </row>
    <row r="1092">
      <c r="A1092" s="3"/>
      <c r="B1092" s="3"/>
      <c r="C1092" s="3"/>
      <c r="D1092" s="3"/>
      <c r="E1092" s="3"/>
      <c r="F1092" s="3"/>
      <c r="G1092" s="3"/>
      <c r="H1092" s="3"/>
      <c r="K1092" s="3"/>
      <c r="L1092" s="3"/>
      <c r="M1092" s="3"/>
      <c r="N1092" s="3"/>
      <c r="O1092" s="3"/>
      <c r="P1092" s="3"/>
      <c r="Q1092" s="3"/>
      <c r="R1092" s="3"/>
      <c r="S1092" s="3"/>
      <c r="T1092" s="3"/>
      <c r="U1092" s="3"/>
    </row>
    <row r="1093">
      <c r="A1093" s="3"/>
      <c r="B1093" s="3"/>
      <c r="C1093" s="3"/>
      <c r="D1093" s="3"/>
      <c r="E1093" s="3"/>
      <c r="F1093" s="3"/>
      <c r="G1093" s="3"/>
      <c r="H1093" s="3"/>
      <c r="K1093" s="3"/>
      <c r="L1093" s="3"/>
      <c r="M1093" s="3"/>
      <c r="N1093" s="3"/>
      <c r="O1093" s="3"/>
      <c r="P1093" s="3"/>
      <c r="Q1093" s="3"/>
      <c r="R1093" s="3"/>
      <c r="S1093" s="3"/>
      <c r="T1093" s="3"/>
      <c r="U1093" s="3"/>
    </row>
    <row r="1094">
      <c r="A1094" s="3"/>
      <c r="B1094" s="3"/>
      <c r="C1094" s="3"/>
      <c r="D1094" s="3"/>
      <c r="E1094" s="3"/>
      <c r="F1094" s="3"/>
      <c r="G1094" s="3"/>
      <c r="H1094" s="3"/>
      <c r="K1094" s="3"/>
      <c r="L1094" s="3"/>
      <c r="M1094" s="3"/>
      <c r="N1094" s="3"/>
      <c r="O1094" s="3"/>
      <c r="P1094" s="3"/>
      <c r="Q1094" s="3"/>
      <c r="R1094" s="3"/>
      <c r="S1094" s="3"/>
      <c r="T1094" s="3"/>
      <c r="U1094" s="3"/>
    </row>
    <row r="1095">
      <c r="A1095" s="3"/>
      <c r="B1095" s="3"/>
      <c r="C1095" s="3"/>
      <c r="D1095" s="3"/>
      <c r="E1095" s="3"/>
      <c r="F1095" s="3"/>
      <c r="G1095" s="3"/>
      <c r="H1095" s="3"/>
      <c r="K1095" s="3"/>
      <c r="L1095" s="3"/>
      <c r="M1095" s="3"/>
      <c r="N1095" s="3"/>
      <c r="O1095" s="3"/>
      <c r="P1095" s="3"/>
      <c r="Q1095" s="3"/>
      <c r="R1095" s="3"/>
      <c r="S1095" s="3"/>
      <c r="T1095" s="3"/>
      <c r="U1095" s="3"/>
    </row>
    <row r="1096">
      <c r="A1096" s="3"/>
      <c r="B1096" s="3"/>
      <c r="C1096" s="3"/>
      <c r="D1096" s="3"/>
      <c r="E1096" s="3"/>
      <c r="F1096" s="3"/>
      <c r="G1096" s="3"/>
      <c r="H1096" s="3"/>
      <c r="K1096" s="3"/>
      <c r="L1096" s="3"/>
      <c r="M1096" s="3"/>
      <c r="N1096" s="3"/>
      <c r="O1096" s="3"/>
      <c r="P1096" s="3"/>
      <c r="Q1096" s="3"/>
      <c r="R1096" s="3"/>
      <c r="S1096" s="3"/>
      <c r="T1096" s="3"/>
      <c r="U1096" s="3"/>
    </row>
    <row r="1097">
      <c r="A1097" s="3"/>
      <c r="B1097" s="3"/>
      <c r="C1097" s="3"/>
      <c r="D1097" s="3"/>
      <c r="E1097" s="3"/>
      <c r="F1097" s="3"/>
      <c r="G1097" s="3"/>
      <c r="H1097" s="3"/>
      <c r="K1097" s="3"/>
      <c r="L1097" s="3"/>
      <c r="M1097" s="3"/>
      <c r="N1097" s="3"/>
      <c r="O1097" s="3"/>
      <c r="P1097" s="3"/>
      <c r="Q1097" s="3"/>
      <c r="R1097" s="3"/>
      <c r="S1097" s="3"/>
      <c r="T1097" s="3"/>
      <c r="U1097" s="3"/>
    </row>
    <row r="1098">
      <c r="A1098" s="3"/>
      <c r="B1098" s="3"/>
      <c r="C1098" s="3"/>
      <c r="D1098" s="3"/>
      <c r="E1098" s="3"/>
      <c r="F1098" s="3"/>
      <c r="G1098" s="3"/>
      <c r="H1098" s="3"/>
      <c r="K1098" s="3"/>
      <c r="L1098" s="3"/>
      <c r="M1098" s="3"/>
      <c r="N1098" s="3"/>
      <c r="O1098" s="3"/>
      <c r="P1098" s="3"/>
      <c r="Q1098" s="3"/>
      <c r="R1098" s="3"/>
      <c r="S1098" s="3"/>
      <c r="T1098" s="3"/>
      <c r="U1098" s="3"/>
    </row>
    <row r="1099">
      <c r="A1099" s="3"/>
      <c r="B1099" s="3"/>
      <c r="C1099" s="3"/>
      <c r="D1099" s="3"/>
      <c r="E1099" s="3"/>
      <c r="F1099" s="3"/>
      <c r="G1099" s="3"/>
      <c r="H1099" s="3"/>
      <c r="K1099" s="3"/>
      <c r="L1099" s="3"/>
      <c r="M1099" s="3"/>
      <c r="N1099" s="3"/>
      <c r="O1099" s="3"/>
      <c r="P1099" s="3"/>
      <c r="Q1099" s="3"/>
      <c r="R1099" s="3"/>
      <c r="S1099" s="3"/>
      <c r="T1099" s="3"/>
      <c r="U1099" s="3"/>
    </row>
    <row r="1100">
      <c r="A1100" s="3"/>
      <c r="B1100" s="3"/>
      <c r="C1100" s="3"/>
      <c r="D1100" s="3"/>
      <c r="E1100" s="3"/>
      <c r="F1100" s="3"/>
      <c r="G1100" s="3"/>
      <c r="H1100" s="3"/>
      <c r="K1100" s="3"/>
      <c r="L1100" s="3"/>
      <c r="M1100" s="3"/>
      <c r="N1100" s="3"/>
      <c r="O1100" s="3"/>
      <c r="P1100" s="3"/>
      <c r="Q1100" s="3"/>
      <c r="R1100" s="3"/>
      <c r="S1100" s="3"/>
      <c r="T1100" s="3"/>
      <c r="U1100" s="3"/>
    </row>
    <row r="1101">
      <c r="A1101" s="3"/>
      <c r="B1101" s="3"/>
      <c r="C1101" s="3"/>
      <c r="D1101" s="3"/>
      <c r="E1101" s="3"/>
      <c r="F1101" s="3"/>
      <c r="G1101" s="3"/>
      <c r="H1101" s="3"/>
      <c r="K1101" s="3"/>
      <c r="L1101" s="3"/>
      <c r="M1101" s="3"/>
      <c r="N1101" s="3"/>
      <c r="O1101" s="3"/>
      <c r="P1101" s="3"/>
      <c r="Q1101" s="3"/>
      <c r="R1101" s="3"/>
      <c r="S1101" s="3"/>
      <c r="T1101" s="3"/>
      <c r="U1101" s="3"/>
    </row>
    <row r="1102">
      <c r="A1102" s="3"/>
      <c r="B1102" s="3"/>
      <c r="C1102" s="3"/>
      <c r="D1102" s="3"/>
      <c r="E1102" s="3"/>
      <c r="F1102" s="3"/>
      <c r="G1102" s="3"/>
      <c r="H1102" s="3"/>
      <c r="K1102" s="3"/>
      <c r="L1102" s="3"/>
      <c r="M1102" s="3"/>
      <c r="N1102" s="3"/>
      <c r="O1102" s="3"/>
      <c r="P1102" s="3"/>
      <c r="Q1102" s="3"/>
      <c r="R1102" s="3"/>
      <c r="S1102" s="3"/>
      <c r="T1102" s="3"/>
      <c r="U1102" s="3"/>
    </row>
    <row r="1103">
      <c r="A1103" s="3"/>
      <c r="B1103" s="3"/>
      <c r="C1103" s="3"/>
      <c r="D1103" s="3"/>
      <c r="E1103" s="3"/>
      <c r="F1103" s="3"/>
      <c r="G1103" s="3"/>
      <c r="H1103" s="3"/>
      <c r="K1103" s="3"/>
      <c r="L1103" s="3"/>
      <c r="M1103" s="3"/>
      <c r="N1103" s="3"/>
      <c r="O1103" s="3"/>
      <c r="P1103" s="3"/>
      <c r="Q1103" s="3"/>
      <c r="R1103" s="3"/>
      <c r="S1103" s="3"/>
      <c r="T1103" s="3"/>
      <c r="U1103" s="3"/>
    </row>
    <row r="1104">
      <c r="A1104" s="3"/>
      <c r="B1104" s="3"/>
      <c r="C1104" s="3"/>
      <c r="D1104" s="3"/>
      <c r="E1104" s="3"/>
      <c r="F1104" s="3"/>
      <c r="G1104" s="3"/>
      <c r="H1104" s="3"/>
      <c r="K1104" s="3"/>
      <c r="L1104" s="3"/>
      <c r="M1104" s="3"/>
      <c r="N1104" s="3"/>
      <c r="O1104" s="3"/>
      <c r="P1104" s="3"/>
      <c r="Q1104" s="3"/>
      <c r="R1104" s="3"/>
      <c r="S1104" s="3"/>
      <c r="T1104" s="3"/>
      <c r="U1104" s="3"/>
    </row>
    <row r="1105">
      <c r="A1105" s="3"/>
      <c r="B1105" s="3"/>
      <c r="C1105" s="3"/>
      <c r="D1105" s="3"/>
      <c r="E1105" s="3"/>
      <c r="F1105" s="3"/>
      <c r="G1105" s="3"/>
      <c r="H1105" s="3"/>
      <c r="K1105" s="3"/>
      <c r="L1105" s="3"/>
      <c r="M1105" s="3"/>
      <c r="N1105" s="3"/>
      <c r="O1105" s="3"/>
      <c r="P1105" s="3"/>
      <c r="Q1105" s="3"/>
      <c r="R1105" s="3"/>
      <c r="S1105" s="3"/>
      <c r="T1105" s="3"/>
      <c r="U1105" s="3"/>
    </row>
    <row r="1106">
      <c r="A1106" s="3"/>
      <c r="B1106" s="3"/>
      <c r="C1106" s="3"/>
      <c r="D1106" s="3"/>
      <c r="E1106" s="3"/>
      <c r="F1106" s="3"/>
      <c r="G1106" s="3"/>
      <c r="H1106" s="3"/>
      <c r="K1106" s="3"/>
      <c r="L1106" s="3"/>
      <c r="M1106" s="3"/>
      <c r="N1106" s="3"/>
      <c r="O1106" s="3"/>
      <c r="P1106" s="3"/>
      <c r="Q1106" s="3"/>
      <c r="R1106" s="3"/>
      <c r="S1106" s="3"/>
      <c r="T1106" s="3"/>
      <c r="U1106" s="3"/>
    </row>
    <row r="1107">
      <c r="A1107" s="3"/>
      <c r="B1107" s="3"/>
      <c r="C1107" s="3"/>
      <c r="D1107" s="3"/>
      <c r="E1107" s="3"/>
      <c r="F1107" s="3"/>
      <c r="G1107" s="3"/>
      <c r="H1107" s="3"/>
      <c r="K1107" s="3"/>
      <c r="L1107" s="3"/>
      <c r="M1107" s="3"/>
      <c r="N1107" s="3"/>
      <c r="O1107" s="3"/>
      <c r="P1107" s="3"/>
      <c r="Q1107" s="3"/>
      <c r="R1107" s="3"/>
      <c r="S1107" s="3"/>
      <c r="T1107" s="3"/>
      <c r="U1107" s="3"/>
    </row>
    <row r="1108">
      <c r="A1108" s="3"/>
      <c r="B1108" s="3"/>
      <c r="C1108" s="3"/>
      <c r="D1108" s="3"/>
      <c r="E1108" s="3"/>
      <c r="F1108" s="3"/>
      <c r="G1108" s="3"/>
      <c r="H1108" s="3"/>
      <c r="K1108" s="3"/>
      <c r="L1108" s="3"/>
      <c r="M1108" s="3"/>
      <c r="N1108" s="3"/>
      <c r="O1108" s="3"/>
      <c r="P1108" s="3"/>
      <c r="Q1108" s="3"/>
      <c r="R1108" s="3"/>
      <c r="S1108" s="3"/>
      <c r="T1108" s="3"/>
      <c r="U1108" s="3"/>
    </row>
    <row r="1109">
      <c r="A1109" s="3"/>
      <c r="B1109" s="3"/>
      <c r="C1109" s="3"/>
      <c r="D1109" s="3"/>
      <c r="E1109" s="3"/>
      <c r="F1109" s="3"/>
      <c r="G1109" s="3"/>
      <c r="H1109" s="3"/>
      <c r="K1109" s="3"/>
      <c r="L1109" s="3"/>
      <c r="M1109" s="3"/>
      <c r="N1109" s="3"/>
      <c r="O1109" s="3"/>
      <c r="P1109" s="3"/>
      <c r="Q1109" s="3"/>
      <c r="R1109" s="3"/>
      <c r="S1109" s="3"/>
      <c r="T1109" s="3"/>
      <c r="U1109" s="3"/>
    </row>
    <row r="1110">
      <c r="A1110" s="3"/>
      <c r="B1110" s="3"/>
      <c r="C1110" s="3"/>
      <c r="D1110" s="3"/>
      <c r="E1110" s="3"/>
      <c r="F1110" s="3"/>
      <c r="G1110" s="3"/>
      <c r="H1110" s="3"/>
      <c r="K1110" s="3"/>
      <c r="L1110" s="3"/>
      <c r="M1110" s="3"/>
      <c r="N1110" s="3"/>
      <c r="O1110" s="3"/>
      <c r="P1110" s="3"/>
      <c r="Q1110" s="3"/>
      <c r="R1110" s="3"/>
      <c r="S1110" s="3"/>
      <c r="T1110" s="3"/>
      <c r="U1110" s="3"/>
    </row>
    <row r="1111">
      <c r="A1111" s="3"/>
      <c r="B1111" s="3"/>
      <c r="C1111" s="3"/>
      <c r="D1111" s="3"/>
      <c r="E1111" s="3"/>
      <c r="F1111" s="3"/>
      <c r="G1111" s="3"/>
      <c r="H1111" s="3"/>
      <c r="K1111" s="3"/>
      <c r="L1111" s="3"/>
      <c r="M1111" s="3"/>
      <c r="N1111" s="3"/>
      <c r="O1111" s="3"/>
      <c r="P1111" s="3"/>
      <c r="Q1111" s="3"/>
      <c r="R1111" s="3"/>
      <c r="S1111" s="3"/>
      <c r="T1111" s="3"/>
      <c r="U1111" s="3"/>
    </row>
    <row r="1112">
      <c r="A1112" s="3"/>
      <c r="B1112" s="3"/>
      <c r="C1112" s="3"/>
      <c r="D1112" s="3"/>
      <c r="E1112" s="3"/>
      <c r="F1112" s="3"/>
      <c r="G1112" s="3"/>
      <c r="H1112" s="3"/>
      <c r="K1112" s="3"/>
      <c r="L1112" s="3"/>
      <c r="M1112" s="3"/>
      <c r="N1112" s="3"/>
      <c r="O1112" s="3"/>
      <c r="P1112" s="3"/>
      <c r="Q1112" s="3"/>
      <c r="R1112" s="3"/>
      <c r="S1112" s="3"/>
      <c r="T1112" s="3"/>
      <c r="U1112" s="3"/>
    </row>
    <row r="1113">
      <c r="A1113" s="3"/>
      <c r="B1113" s="3"/>
      <c r="C1113" s="3"/>
      <c r="D1113" s="3"/>
      <c r="E1113" s="3"/>
      <c r="F1113" s="3"/>
      <c r="G1113" s="3"/>
      <c r="H1113" s="3"/>
      <c r="K1113" s="3"/>
      <c r="L1113" s="3"/>
      <c r="M1113" s="3"/>
      <c r="N1113" s="3"/>
      <c r="O1113" s="3"/>
      <c r="P1113" s="3"/>
      <c r="Q1113" s="3"/>
      <c r="R1113" s="3"/>
      <c r="S1113" s="3"/>
      <c r="T1113" s="3"/>
      <c r="U1113" s="3"/>
    </row>
    <row r="1114">
      <c r="A1114" s="3"/>
      <c r="B1114" s="3"/>
      <c r="C1114" s="3"/>
      <c r="D1114" s="3"/>
      <c r="E1114" s="3"/>
      <c r="F1114" s="3"/>
      <c r="G1114" s="3"/>
      <c r="H1114" s="3"/>
      <c r="K1114" s="3"/>
      <c r="L1114" s="3"/>
      <c r="M1114" s="3"/>
      <c r="N1114" s="3"/>
      <c r="O1114" s="3"/>
      <c r="P1114" s="3"/>
      <c r="Q1114" s="3"/>
      <c r="R1114" s="3"/>
      <c r="S1114" s="3"/>
      <c r="T1114" s="3"/>
      <c r="U1114" s="3"/>
    </row>
    <row r="1115">
      <c r="A1115" s="3"/>
      <c r="B1115" s="3"/>
      <c r="C1115" s="3"/>
      <c r="D1115" s="3"/>
      <c r="E1115" s="3"/>
      <c r="F1115" s="3"/>
      <c r="G1115" s="3"/>
      <c r="H1115" s="3"/>
      <c r="K1115" s="3"/>
      <c r="L1115" s="3"/>
      <c r="M1115" s="3"/>
      <c r="N1115" s="3"/>
      <c r="O1115" s="3"/>
      <c r="P1115" s="3"/>
      <c r="Q1115" s="3"/>
      <c r="R1115" s="3"/>
      <c r="S1115" s="3"/>
      <c r="T1115" s="3"/>
      <c r="U1115" s="3"/>
    </row>
    <row r="1116">
      <c r="A1116" s="3"/>
      <c r="B1116" s="3"/>
      <c r="C1116" s="3"/>
      <c r="D1116" s="3"/>
      <c r="E1116" s="3"/>
      <c r="F1116" s="3"/>
      <c r="G1116" s="3"/>
      <c r="H1116" s="3"/>
      <c r="K1116" s="3"/>
      <c r="L1116" s="3"/>
      <c r="M1116" s="3"/>
      <c r="N1116" s="3"/>
      <c r="O1116" s="3"/>
      <c r="P1116" s="3"/>
      <c r="Q1116" s="3"/>
      <c r="R1116" s="3"/>
      <c r="S1116" s="3"/>
      <c r="T1116" s="3"/>
      <c r="U1116" s="3"/>
    </row>
    <row r="1117">
      <c r="A1117" s="3"/>
      <c r="B1117" s="3"/>
      <c r="C1117" s="3"/>
      <c r="D1117" s="3"/>
      <c r="E1117" s="3"/>
      <c r="F1117" s="3"/>
      <c r="G1117" s="3"/>
      <c r="H1117" s="3"/>
      <c r="K1117" s="3"/>
      <c r="L1117" s="3"/>
      <c r="M1117" s="3"/>
      <c r="N1117" s="3"/>
      <c r="O1117" s="3"/>
      <c r="P1117" s="3"/>
      <c r="Q1117" s="3"/>
      <c r="R1117" s="3"/>
      <c r="S1117" s="3"/>
      <c r="T1117" s="3"/>
      <c r="U1117" s="3"/>
    </row>
    <row r="1118">
      <c r="A1118" s="3"/>
      <c r="B1118" s="3"/>
      <c r="C1118" s="3"/>
      <c r="D1118" s="3"/>
      <c r="E1118" s="3"/>
      <c r="F1118" s="3"/>
      <c r="G1118" s="3"/>
      <c r="H1118" s="3"/>
      <c r="K1118" s="3"/>
      <c r="L1118" s="3"/>
      <c r="M1118" s="3"/>
      <c r="N1118" s="3"/>
      <c r="O1118" s="3"/>
      <c r="P1118" s="3"/>
      <c r="Q1118" s="3"/>
      <c r="R1118" s="3"/>
      <c r="S1118" s="3"/>
      <c r="T1118" s="3"/>
      <c r="U1118" s="3"/>
    </row>
    <row r="1119">
      <c r="A1119" s="3"/>
      <c r="B1119" s="3"/>
      <c r="C1119" s="3"/>
      <c r="D1119" s="3"/>
      <c r="E1119" s="3"/>
      <c r="F1119" s="3"/>
      <c r="G1119" s="3"/>
      <c r="H1119" s="3"/>
      <c r="K1119" s="3"/>
      <c r="L1119" s="3"/>
      <c r="M1119" s="3"/>
      <c r="N1119" s="3"/>
      <c r="O1119" s="3"/>
      <c r="P1119" s="3"/>
      <c r="Q1119" s="3"/>
      <c r="R1119" s="3"/>
      <c r="S1119" s="3"/>
      <c r="T1119" s="3"/>
      <c r="U1119" s="3"/>
    </row>
    <row r="1120">
      <c r="A1120" s="3"/>
      <c r="B1120" s="3"/>
      <c r="C1120" s="3"/>
      <c r="D1120" s="3"/>
      <c r="E1120" s="3"/>
      <c r="F1120" s="3"/>
      <c r="G1120" s="3"/>
      <c r="H1120" s="3"/>
      <c r="K1120" s="3"/>
      <c r="L1120" s="3"/>
      <c r="M1120" s="3"/>
      <c r="N1120" s="3"/>
      <c r="O1120" s="3"/>
      <c r="P1120" s="3"/>
      <c r="Q1120" s="3"/>
      <c r="R1120" s="3"/>
      <c r="S1120" s="3"/>
      <c r="T1120" s="3"/>
      <c r="U1120" s="3"/>
    </row>
    <row r="1121">
      <c r="A1121" s="3"/>
      <c r="B1121" s="3"/>
      <c r="C1121" s="3"/>
      <c r="D1121" s="3"/>
      <c r="E1121" s="3"/>
      <c r="F1121" s="3"/>
      <c r="G1121" s="3"/>
      <c r="H1121" s="3"/>
      <c r="K1121" s="3"/>
      <c r="L1121" s="3"/>
      <c r="M1121" s="3"/>
      <c r="N1121" s="3"/>
      <c r="O1121" s="3"/>
      <c r="P1121" s="3"/>
      <c r="Q1121" s="3"/>
      <c r="R1121" s="3"/>
      <c r="S1121" s="3"/>
      <c r="T1121" s="3"/>
      <c r="U1121" s="3"/>
    </row>
    <row r="1122">
      <c r="A1122" s="3"/>
      <c r="B1122" s="3"/>
      <c r="C1122" s="3"/>
      <c r="D1122" s="3"/>
      <c r="E1122" s="3"/>
      <c r="F1122" s="3"/>
      <c r="G1122" s="3"/>
      <c r="H1122" s="3"/>
      <c r="K1122" s="3"/>
      <c r="L1122" s="3"/>
      <c r="M1122" s="3"/>
      <c r="N1122" s="3"/>
      <c r="O1122" s="3"/>
      <c r="P1122" s="3"/>
      <c r="Q1122" s="3"/>
      <c r="R1122" s="3"/>
      <c r="S1122" s="3"/>
      <c r="T1122" s="3"/>
      <c r="U1122" s="3"/>
    </row>
    <row r="1123">
      <c r="A1123" s="3"/>
      <c r="B1123" s="3"/>
      <c r="C1123" s="3"/>
      <c r="D1123" s="3"/>
      <c r="E1123" s="3"/>
      <c r="F1123" s="3"/>
      <c r="G1123" s="3"/>
      <c r="H1123" s="3"/>
      <c r="K1123" s="3"/>
      <c r="L1123" s="3"/>
      <c r="M1123" s="3"/>
      <c r="N1123" s="3"/>
      <c r="O1123" s="3"/>
      <c r="P1123" s="3"/>
      <c r="Q1123" s="3"/>
      <c r="R1123" s="3"/>
      <c r="S1123" s="3"/>
      <c r="T1123" s="3"/>
      <c r="U1123" s="3"/>
    </row>
    <row r="1124">
      <c r="A1124" s="3"/>
      <c r="B1124" s="3"/>
      <c r="C1124" s="3"/>
      <c r="D1124" s="3"/>
      <c r="E1124" s="3"/>
      <c r="F1124" s="3"/>
      <c r="G1124" s="3"/>
      <c r="H1124" s="3"/>
      <c r="K1124" s="3"/>
      <c r="L1124" s="3"/>
      <c r="M1124" s="3"/>
      <c r="N1124" s="3"/>
      <c r="O1124" s="3"/>
      <c r="P1124" s="3"/>
      <c r="Q1124" s="3"/>
      <c r="R1124" s="3"/>
      <c r="S1124" s="3"/>
      <c r="T1124" s="3"/>
      <c r="U1124" s="3"/>
    </row>
    <row r="1125">
      <c r="A1125" s="3"/>
      <c r="B1125" s="3"/>
      <c r="C1125" s="3"/>
      <c r="D1125" s="3"/>
      <c r="E1125" s="3"/>
      <c r="F1125" s="3"/>
      <c r="G1125" s="3"/>
      <c r="H1125" s="3"/>
      <c r="K1125" s="3"/>
      <c r="L1125" s="3"/>
      <c r="M1125" s="3"/>
      <c r="N1125" s="3"/>
      <c r="O1125" s="3"/>
      <c r="P1125" s="3"/>
      <c r="Q1125" s="3"/>
      <c r="R1125" s="3"/>
      <c r="S1125" s="3"/>
      <c r="T1125" s="3"/>
      <c r="U1125" s="3"/>
    </row>
    <row r="1126">
      <c r="A1126" s="3"/>
      <c r="B1126" s="3"/>
      <c r="C1126" s="3"/>
      <c r="D1126" s="3"/>
      <c r="E1126" s="3"/>
      <c r="F1126" s="3"/>
      <c r="G1126" s="3"/>
      <c r="H1126" s="3"/>
      <c r="K1126" s="3"/>
      <c r="L1126" s="3"/>
      <c r="M1126" s="3"/>
      <c r="N1126" s="3"/>
      <c r="O1126" s="3"/>
      <c r="P1126" s="3"/>
      <c r="Q1126" s="3"/>
      <c r="R1126" s="3"/>
      <c r="S1126" s="3"/>
      <c r="T1126" s="3"/>
      <c r="U1126" s="3"/>
    </row>
    <row r="1127">
      <c r="A1127" s="3"/>
      <c r="B1127" s="3"/>
      <c r="C1127" s="3"/>
      <c r="D1127" s="3"/>
      <c r="E1127" s="3"/>
      <c r="F1127" s="3"/>
      <c r="G1127" s="3"/>
      <c r="H1127" s="3"/>
      <c r="K1127" s="3"/>
      <c r="L1127" s="3"/>
      <c r="M1127" s="3"/>
      <c r="N1127" s="3"/>
      <c r="O1127" s="3"/>
      <c r="P1127" s="3"/>
      <c r="Q1127" s="3"/>
      <c r="R1127" s="3"/>
      <c r="S1127" s="3"/>
      <c r="T1127" s="3"/>
      <c r="U1127" s="3"/>
    </row>
    <row r="1128">
      <c r="A1128" s="3"/>
      <c r="B1128" s="3"/>
      <c r="C1128" s="3"/>
      <c r="D1128" s="3"/>
      <c r="E1128" s="3"/>
      <c r="F1128" s="3"/>
      <c r="G1128" s="3"/>
      <c r="H1128" s="3"/>
      <c r="K1128" s="3"/>
      <c r="L1128" s="3"/>
      <c r="M1128" s="3"/>
      <c r="N1128" s="3"/>
      <c r="O1128" s="3"/>
      <c r="P1128" s="3"/>
      <c r="Q1128" s="3"/>
      <c r="R1128" s="3"/>
      <c r="S1128" s="3"/>
      <c r="T1128" s="3"/>
      <c r="U1128" s="3"/>
    </row>
    <row r="1129">
      <c r="A1129" s="3"/>
      <c r="B1129" s="3"/>
      <c r="C1129" s="3"/>
      <c r="D1129" s="3"/>
      <c r="E1129" s="3"/>
      <c r="F1129" s="3"/>
      <c r="G1129" s="3"/>
      <c r="H1129" s="3"/>
      <c r="K1129" s="3"/>
      <c r="L1129" s="3"/>
      <c r="M1129" s="3"/>
      <c r="N1129" s="3"/>
      <c r="O1129" s="3"/>
      <c r="P1129" s="3"/>
      <c r="Q1129" s="3"/>
      <c r="R1129" s="3"/>
      <c r="S1129" s="3"/>
      <c r="T1129" s="3"/>
      <c r="U1129" s="3"/>
    </row>
    <row r="1130">
      <c r="A1130" s="3"/>
      <c r="B1130" s="3"/>
      <c r="C1130" s="3"/>
      <c r="D1130" s="3"/>
      <c r="E1130" s="3"/>
      <c r="F1130" s="3"/>
      <c r="G1130" s="3"/>
      <c r="H1130" s="3"/>
      <c r="K1130" s="3"/>
      <c r="L1130" s="3"/>
      <c r="M1130" s="3"/>
      <c r="N1130" s="3"/>
      <c r="O1130" s="3"/>
      <c r="P1130" s="3"/>
      <c r="Q1130" s="3"/>
      <c r="R1130" s="3"/>
      <c r="S1130" s="3"/>
      <c r="T1130" s="3"/>
      <c r="U1130" s="3"/>
    </row>
    <row r="1131">
      <c r="A1131" s="3"/>
      <c r="B1131" s="3"/>
      <c r="C1131" s="3"/>
      <c r="D1131" s="3"/>
      <c r="E1131" s="3"/>
      <c r="F1131" s="3"/>
      <c r="G1131" s="3"/>
      <c r="H1131" s="3"/>
      <c r="K1131" s="3"/>
      <c r="L1131" s="3"/>
      <c r="M1131" s="3"/>
      <c r="N1131" s="3"/>
      <c r="O1131" s="3"/>
      <c r="P1131" s="3"/>
      <c r="Q1131" s="3"/>
      <c r="R1131" s="3"/>
      <c r="S1131" s="3"/>
      <c r="T1131" s="3"/>
      <c r="U1131" s="3"/>
    </row>
    <row r="1132">
      <c r="A1132" s="3"/>
      <c r="B1132" s="3"/>
      <c r="C1132" s="3"/>
      <c r="D1132" s="3"/>
      <c r="E1132" s="3"/>
      <c r="F1132" s="3"/>
      <c r="G1132" s="3"/>
      <c r="H1132" s="3"/>
      <c r="K1132" s="3"/>
      <c r="L1132" s="3"/>
      <c r="M1132" s="3"/>
      <c r="N1132" s="3"/>
      <c r="O1132" s="3"/>
      <c r="P1132" s="3"/>
      <c r="Q1132" s="3"/>
      <c r="R1132" s="3"/>
      <c r="S1132" s="3"/>
      <c r="T1132" s="3"/>
      <c r="U1132" s="3"/>
    </row>
    <row r="1133">
      <c r="A1133" s="3"/>
      <c r="B1133" s="3"/>
      <c r="C1133" s="3"/>
      <c r="D1133" s="3"/>
      <c r="E1133" s="3"/>
      <c r="F1133" s="3"/>
      <c r="G1133" s="3"/>
      <c r="H1133" s="3"/>
      <c r="K1133" s="3"/>
      <c r="L1133" s="3"/>
      <c r="M1133" s="3"/>
      <c r="N1133" s="3"/>
      <c r="O1133" s="3"/>
      <c r="P1133" s="3"/>
      <c r="Q1133" s="3"/>
      <c r="R1133" s="3"/>
      <c r="S1133" s="3"/>
      <c r="T1133" s="3"/>
      <c r="U1133" s="3"/>
    </row>
    <row r="1134">
      <c r="A1134" s="3"/>
      <c r="B1134" s="3"/>
      <c r="C1134" s="3"/>
      <c r="D1134" s="3"/>
      <c r="E1134" s="3"/>
      <c r="F1134" s="3"/>
      <c r="G1134" s="3"/>
      <c r="H1134" s="3"/>
      <c r="K1134" s="3"/>
      <c r="L1134" s="3"/>
      <c r="M1134" s="3"/>
      <c r="N1134" s="3"/>
      <c r="O1134" s="3"/>
      <c r="P1134" s="3"/>
      <c r="Q1134" s="3"/>
      <c r="R1134" s="3"/>
      <c r="S1134" s="3"/>
      <c r="T1134" s="3"/>
      <c r="U1134" s="3"/>
    </row>
    <row r="1135">
      <c r="A1135" s="3"/>
      <c r="B1135" s="3"/>
      <c r="C1135" s="3"/>
      <c r="D1135" s="3"/>
      <c r="E1135" s="3"/>
      <c r="F1135" s="3"/>
      <c r="G1135" s="3"/>
      <c r="H1135" s="3"/>
      <c r="K1135" s="3"/>
      <c r="L1135" s="3"/>
      <c r="M1135" s="3"/>
      <c r="N1135" s="3"/>
      <c r="O1135" s="3"/>
      <c r="P1135" s="3"/>
      <c r="Q1135" s="3"/>
      <c r="R1135" s="3"/>
      <c r="S1135" s="3"/>
      <c r="T1135" s="3"/>
      <c r="U1135" s="3"/>
    </row>
    <row r="1136">
      <c r="A1136" s="3"/>
      <c r="B1136" s="3"/>
      <c r="C1136" s="3"/>
      <c r="D1136" s="3"/>
      <c r="E1136" s="3"/>
      <c r="F1136" s="3"/>
      <c r="G1136" s="3"/>
      <c r="H1136" s="3"/>
      <c r="K1136" s="3"/>
      <c r="L1136" s="3"/>
      <c r="M1136" s="3"/>
      <c r="N1136" s="3"/>
      <c r="O1136" s="3"/>
      <c r="P1136" s="3"/>
      <c r="Q1136" s="3"/>
      <c r="R1136" s="3"/>
      <c r="S1136" s="3"/>
      <c r="T1136" s="3"/>
      <c r="U1136" s="3"/>
    </row>
    <row r="1137">
      <c r="A1137" s="3"/>
      <c r="B1137" s="3"/>
      <c r="C1137" s="3"/>
      <c r="D1137" s="3"/>
      <c r="E1137" s="3"/>
      <c r="F1137" s="3"/>
      <c r="G1137" s="3"/>
      <c r="H1137" s="3"/>
      <c r="K1137" s="3"/>
      <c r="L1137" s="3"/>
      <c r="M1137" s="3"/>
      <c r="N1137" s="3"/>
      <c r="O1137" s="3"/>
      <c r="P1137" s="3"/>
      <c r="Q1137" s="3"/>
      <c r="R1137" s="3"/>
      <c r="S1137" s="3"/>
      <c r="T1137" s="3"/>
      <c r="U1137" s="3"/>
    </row>
    <row r="1138">
      <c r="A1138" s="3"/>
      <c r="B1138" s="3"/>
      <c r="C1138" s="3"/>
      <c r="D1138" s="3"/>
      <c r="E1138" s="3"/>
      <c r="F1138" s="3"/>
      <c r="G1138" s="3"/>
      <c r="H1138" s="3"/>
      <c r="K1138" s="3"/>
      <c r="L1138" s="3"/>
      <c r="M1138" s="3"/>
      <c r="N1138" s="3"/>
      <c r="O1138" s="3"/>
      <c r="P1138" s="3"/>
      <c r="Q1138" s="3"/>
      <c r="R1138" s="3"/>
      <c r="S1138" s="3"/>
      <c r="T1138" s="3"/>
      <c r="U1138" s="3"/>
    </row>
    <row r="1139">
      <c r="A1139" s="3"/>
      <c r="B1139" s="3"/>
      <c r="C1139" s="3"/>
      <c r="D1139" s="3"/>
      <c r="E1139" s="3"/>
      <c r="F1139" s="3"/>
      <c r="G1139" s="3"/>
      <c r="H1139" s="3"/>
      <c r="K1139" s="3"/>
      <c r="L1139" s="3"/>
      <c r="M1139" s="3"/>
      <c r="N1139" s="3"/>
      <c r="O1139" s="3"/>
      <c r="P1139" s="3"/>
      <c r="Q1139" s="3"/>
      <c r="R1139" s="3"/>
      <c r="S1139" s="3"/>
      <c r="T1139" s="3"/>
      <c r="U1139" s="3"/>
    </row>
    <row r="1140">
      <c r="A1140" s="3"/>
      <c r="B1140" s="3"/>
      <c r="C1140" s="3"/>
      <c r="D1140" s="3"/>
      <c r="E1140" s="3"/>
      <c r="F1140" s="3"/>
      <c r="G1140" s="3"/>
      <c r="H1140" s="3"/>
      <c r="K1140" s="3"/>
      <c r="L1140" s="3"/>
      <c r="M1140" s="3"/>
      <c r="N1140" s="3"/>
      <c r="O1140" s="3"/>
      <c r="P1140" s="3"/>
      <c r="Q1140" s="3"/>
      <c r="R1140" s="3"/>
      <c r="S1140" s="3"/>
      <c r="T1140" s="3"/>
      <c r="U1140" s="3"/>
    </row>
    <row r="1141">
      <c r="A1141" s="3"/>
      <c r="B1141" s="3"/>
      <c r="C1141" s="3"/>
      <c r="D1141" s="3"/>
      <c r="E1141" s="3"/>
      <c r="F1141" s="3"/>
      <c r="G1141" s="3"/>
      <c r="H1141" s="3"/>
      <c r="K1141" s="3"/>
      <c r="L1141" s="3"/>
      <c r="M1141" s="3"/>
      <c r="N1141" s="3"/>
      <c r="O1141" s="3"/>
      <c r="P1141" s="3"/>
      <c r="Q1141" s="3"/>
      <c r="R1141" s="3"/>
      <c r="S1141" s="3"/>
      <c r="T1141" s="3"/>
      <c r="U1141" s="3"/>
    </row>
    <row r="1142">
      <c r="A1142" s="3"/>
      <c r="B1142" s="3"/>
      <c r="C1142" s="3"/>
      <c r="D1142" s="3"/>
      <c r="E1142" s="3"/>
      <c r="F1142" s="3"/>
      <c r="G1142" s="3"/>
      <c r="H1142" s="3"/>
      <c r="K1142" s="3"/>
      <c r="L1142" s="3"/>
      <c r="M1142" s="3"/>
      <c r="N1142" s="3"/>
      <c r="O1142" s="3"/>
      <c r="P1142" s="3"/>
      <c r="Q1142" s="3"/>
      <c r="R1142" s="3"/>
      <c r="S1142" s="3"/>
      <c r="T1142" s="3"/>
      <c r="U1142" s="3"/>
    </row>
    <row r="1143">
      <c r="A1143" s="3"/>
      <c r="B1143" s="3"/>
      <c r="C1143" s="3"/>
      <c r="D1143" s="3"/>
      <c r="E1143" s="3"/>
      <c r="F1143" s="3"/>
      <c r="G1143" s="3"/>
      <c r="H1143" s="3"/>
      <c r="K1143" s="3"/>
      <c r="L1143" s="3"/>
      <c r="M1143" s="3"/>
      <c r="N1143" s="3"/>
      <c r="O1143" s="3"/>
      <c r="P1143" s="3"/>
      <c r="Q1143" s="3"/>
      <c r="R1143" s="3"/>
      <c r="S1143" s="3"/>
      <c r="T1143" s="3"/>
      <c r="U1143" s="3"/>
    </row>
    <row r="1144">
      <c r="A1144" s="3"/>
      <c r="B1144" s="3"/>
      <c r="C1144" s="3"/>
      <c r="D1144" s="3"/>
      <c r="E1144" s="3"/>
      <c r="F1144" s="3"/>
      <c r="G1144" s="3"/>
      <c r="H1144" s="3"/>
      <c r="K1144" s="3"/>
      <c r="L1144" s="3"/>
      <c r="M1144" s="3"/>
      <c r="N1144" s="3"/>
      <c r="O1144" s="3"/>
      <c r="P1144" s="3"/>
      <c r="Q1144" s="3"/>
      <c r="R1144" s="3"/>
      <c r="S1144" s="3"/>
      <c r="T1144" s="3"/>
      <c r="U1144" s="3"/>
    </row>
    <row r="1145">
      <c r="A1145" s="3"/>
      <c r="B1145" s="3"/>
      <c r="C1145" s="3"/>
      <c r="D1145" s="3"/>
      <c r="E1145" s="3"/>
      <c r="F1145" s="3"/>
      <c r="G1145" s="3"/>
      <c r="H1145" s="3"/>
      <c r="K1145" s="3"/>
      <c r="L1145" s="3"/>
      <c r="M1145" s="3"/>
      <c r="N1145" s="3"/>
      <c r="O1145" s="3"/>
      <c r="P1145" s="3"/>
      <c r="Q1145" s="3"/>
      <c r="R1145" s="3"/>
      <c r="S1145" s="3"/>
      <c r="T1145" s="3"/>
      <c r="U1145" s="3"/>
    </row>
    <row r="1146">
      <c r="A1146" s="3"/>
      <c r="B1146" s="3"/>
      <c r="C1146" s="3"/>
      <c r="D1146" s="3"/>
      <c r="E1146" s="3"/>
      <c r="F1146" s="3"/>
      <c r="G1146" s="3"/>
      <c r="H1146" s="3"/>
      <c r="K1146" s="3"/>
      <c r="L1146" s="3"/>
      <c r="M1146" s="3"/>
      <c r="N1146" s="3"/>
      <c r="O1146" s="3"/>
      <c r="P1146" s="3"/>
      <c r="Q1146" s="3"/>
      <c r="R1146" s="3"/>
      <c r="S1146" s="3"/>
      <c r="T1146" s="3"/>
      <c r="U1146" s="3"/>
    </row>
    <row r="1147">
      <c r="A1147" s="3"/>
      <c r="B1147" s="3"/>
      <c r="C1147" s="3"/>
      <c r="D1147" s="3"/>
      <c r="E1147" s="3"/>
      <c r="F1147" s="3"/>
      <c r="G1147" s="3"/>
      <c r="H1147" s="3"/>
      <c r="K1147" s="3"/>
      <c r="L1147" s="3"/>
      <c r="M1147" s="3"/>
      <c r="N1147" s="3"/>
      <c r="O1147" s="3"/>
      <c r="P1147" s="3"/>
      <c r="Q1147" s="3"/>
      <c r="R1147" s="3"/>
      <c r="S1147" s="3"/>
      <c r="T1147" s="3"/>
      <c r="U1147" s="3"/>
    </row>
    <row r="1148">
      <c r="A1148" s="3"/>
      <c r="B1148" s="3"/>
      <c r="C1148" s="3"/>
      <c r="D1148" s="3"/>
      <c r="E1148" s="3"/>
      <c r="F1148" s="3"/>
      <c r="G1148" s="3"/>
      <c r="H1148" s="3"/>
      <c r="K1148" s="3"/>
      <c r="L1148" s="3"/>
      <c r="M1148" s="3"/>
      <c r="N1148" s="3"/>
      <c r="O1148" s="3"/>
      <c r="P1148" s="3"/>
      <c r="Q1148" s="3"/>
      <c r="R1148" s="3"/>
      <c r="S1148" s="3"/>
      <c r="T1148" s="3"/>
      <c r="U1148" s="3"/>
    </row>
    <row r="1149">
      <c r="A1149" s="3"/>
      <c r="B1149" s="3"/>
      <c r="C1149" s="3"/>
      <c r="D1149" s="3"/>
      <c r="E1149" s="3"/>
      <c r="F1149" s="3"/>
      <c r="G1149" s="3"/>
      <c r="H1149" s="3"/>
      <c r="K1149" s="3"/>
      <c r="L1149" s="3"/>
      <c r="M1149" s="3"/>
      <c r="N1149" s="3"/>
      <c r="O1149" s="3"/>
      <c r="P1149" s="3"/>
      <c r="Q1149" s="3"/>
      <c r="R1149" s="3"/>
      <c r="S1149" s="3"/>
      <c r="T1149" s="3"/>
      <c r="U1149" s="3"/>
    </row>
    <row r="1150">
      <c r="A1150" s="3"/>
      <c r="B1150" s="3"/>
      <c r="C1150" s="3"/>
      <c r="D1150" s="3"/>
      <c r="E1150" s="3"/>
      <c r="F1150" s="3"/>
      <c r="G1150" s="3"/>
      <c r="H1150" s="3"/>
      <c r="K1150" s="3"/>
      <c r="L1150" s="3"/>
      <c r="M1150" s="3"/>
      <c r="N1150" s="3"/>
      <c r="O1150" s="3"/>
      <c r="P1150" s="3"/>
      <c r="Q1150" s="3"/>
      <c r="R1150" s="3"/>
      <c r="S1150" s="3"/>
      <c r="T1150" s="3"/>
      <c r="U1150" s="3"/>
    </row>
    <row r="1151">
      <c r="A1151" s="3"/>
      <c r="B1151" s="3"/>
      <c r="C1151" s="3"/>
      <c r="D1151" s="3"/>
      <c r="E1151" s="3"/>
      <c r="F1151" s="3"/>
      <c r="G1151" s="3"/>
      <c r="H1151" s="3"/>
      <c r="K1151" s="3"/>
      <c r="L1151" s="3"/>
      <c r="M1151" s="3"/>
      <c r="N1151" s="3"/>
      <c r="O1151" s="3"/>
      <c r="P1151" s="3"/>
      <c r="Q1151" s="3"/>
      <c r="R1151" s="3"/>
      <c r="S1151" s="3"/>
      <c r="T1151" s="3"/>
      <c r="U1151" s="3"/>
    </row>
    <row r="1152">
      <c r="A1152" s="3"/>
      <c r="B1152" s="3"/>
      <c r="C1152" s="3"/>
      <c r="D1152" s="3"/>
      <c r="E1152" s="3"/>
      <c r="F1152" s="3"/>
      <c r="G1152" s="3"/>
      <c r="H1152" s="3"/>
      <c r="K1152" s="3"/>
      <c r="L1152" s="3"/>
      <c r="M1152" s="3"/>
      <c r="N1152" s="3"/>
      <c r="O1152" s="3"/>
      <c r="P1152" s="3"/>
      <c r="Q1152" s="3"/>
      <c r="R1152" s="3"/>
      <c r="S1152" s="3"/>
      <c r="T1152" s="3"/>
      <c r="U1152" s="3"/>
    </row>
    <row r="1153">
      <c r="A1153" s="3"/>
      <c r="B1153" s="3"/>
      <c r="C1153" s="3"/>
      <c r="D1153" s="3"/>
      <c r="E1153" s="3"/>
      <c r="F1153" s="3"/>
      <c r="G1153" s="3"/>
      <c r="H1153" s="3"/>
      <c r="K1153" s="3"/>
      <c r="L1153" s="3"/>
      <c r="M1153" s="3"/>
      <c r="N1153" s="3"/>
      <c r="O1153" s="3"/>
      <c r="P1153" s="3"/>
      <c r="Q1153" s="3"/>
      <c r="R1153" s="3"/>
      <c r="S1153" s="3"/>
      <c r="T1153" s="3"/>
      <c r="U1153" s="3"/>
    </row>
    <row r="1154">
      <c r="A1154" s="3"/>
      <c r="B1154" s="3"/>
      <c r="C1154" s="3"/>
      <c r="D1154" s="3"/>
      <c r="E1154" s="3"/>
      <c r="F1154" s="3"/>
      <c r="G1154" s="3"/>
      <c r="H1154" s="3"/>
      <c r="K1154" s="3"/>
      <c r="L1154" s="3"/>
      <c r="M1154" s="3"/>
      <c r="N1154" s="3"/>
      <c r="O1154" s="3"/>
      <c r="P1154" s="3"/>
      <c r="Q1154" s="3"/>
      <c r="R1154" s="3"/>
      <c r="S1154" s="3"/>
      <c r="T1154" s="3"/>
      <c r="U1154" s="3"/>
    </row>
    <row r="1155">
      <c r="A1155" s="3"/>
      <c r="B1155" s="3"/>
      <c r="C1155" s="3"/>
      <c r="D1155" s="3"/>
      <c r="E1155" s="3"/>
      <c r="F1155" s="3"/>
      <c r="G1155" s="3"/>
      <c r="H1155" s="3"/>
      <c r="K1155" s="3"/>
      <c r="L1155" s="3"/>
      <c r="M1155" s="3"/>
      <c r="N1155" s="3"/>
      <c r="O1155" s="3"/>
      <c r="P1155" s="3"/>
      <c r="Q1155" s="3"/>
      <c r="R1155" s="3"/>
      <c r="S1155" s="3"/>
      <c r="T1155" s="3"/>
      <c r="U1155" s="3"/>
    </row>
    <row r="1156">
      <c r="A1156" s="3"/>
      <c r="B1156" s="3"/>
      <c r="C1156" s="3"/>
      <c r="D1156" s="3"/>
      <c r="E1156" s="3"/>
      <c r="F1156" s="3"/>
      <c r="G1156" s="3"/>
      <c r="H1156" s="3"/>
      <c r="K1156" s="3"/>
      <c r="L1156" s="3"/>
      <c r="M1156" s="3"/>
      <c r="N1156" s="3"/>
      <c r="O1156" s="3"/>
      <c r="P1156" s="3"/>
      <c r="Q1156" s="3"/>
      <c r="R1156" s="3"/>
      <c r="S1156" s="3"/>
      <c r="T1156" s="3"/>
      <c r="U1156" s="3"/>
    </row>
    <row r="1157">
      <c r="A1157" s="3"/>
      <c r="B1157" s="3"/>
      <c r="C1157" s="3"/>
      <c r="D1157" s="3"/>
      <c r="E1157" s="3"/>
      <c r="F1157" s="3"/>
      <c r="G1157" s="3"/>
      <c r="H1157" s="3"/>
      <c r="K1157" s="3"/>
      <c r="L1157" s="3"/>
      <c r="M1157" s="3"/>
      <c r="N1157" s="3"/>
      <c r="O1157" s="3"/>
      <c r="P1157" s="3"/>
      <c r="Q1157" s="3"/>
      <c r="R1157" s="3"/>
      <c r="S1157" s="3"/>
      <c r="T1157" s="3"/>
      <c r="U1157" s="3"/>
    </row>
    <row r="1158">
      <c r="A1158" s="3"/>
      <c r="B1158" s="3"/>
      <c r="C1158" s="3"/>
      <c r="D1158" s="3"/>
      <c r="E1158" s="3"/>
      <c r="F1158" s="3"/>
      <c r="G1158" s="3"/>
      <c r="H1158" s="3"/>
      <c r="K1158" s="3"/>
      <c r="L1158" s="3"/>
      <c r="M1158" s="3"/>
      <c r="N1158" s="3"/>
      <c r="O1158" s="3"/>
      <c r="P1158" s="3"/>
      <c r="Q1158" s="3"/>
      <c r="R1158" s="3"/>
      <c r="S1158" s="3"/>
      <c r="T1158" s="3"/>
      <c r="U1158" s="3"/>
    </row>
    <row r="1159">
      <c r="A1159" s="3"/>
      <c r="B1159" s="3"/>
      <c r="C1159" s="3"/>
      <c r="D1159" s="3"/>
      <c r="E1159" s="3"/>
      <c r="F1159" s="3"/>
      <c r="G1159" s="3"/>
      <c r="H1159" s="3"/>
      <c r="K1159" s="3"/>
      <c r="L1159" s="3"/>
      <c r="M1159" s="3"/>
      <c r="N1159" s="3"/>
      <c r="O1159" s="3"/>
      <c r="P1159" s="3"/>
      <c r="Q1159" s="3"/>
      <c r="R1159" s="3"/>
      <c r="S1159" s="3"/>
      <c r="T1159" s="3"/>
      <c r="U1159" s="3"/>
    </row>
    <row r="1160">
      <c r="A1160" s="3"/>
      <c r="B1160" s="3"/>
      <c r="C1160" s="3"/>
      <c r="D1160" s="3"/>
      <c r="E1160" s="3"/>
      <c r="F1160" s="3"/>
      <c r="G1160" s="3"/>
      <c r="H1160" s="3"/>
      <c r="K1160" s="3"/>
      <c r="L1160" s="3"/>
      <c r="M1160" s="3"/>
      <c r="N1160" s="3"/>
      <c r="O1160" s="3"/>
      <c r="P1160" s="3"/>
      <c r="Q1160" s="3"/>
      <c r="R1160" s="3"/>
      <c r="S1160" s="3"/>
      <c r="T1160" s="3"/>
      <c r="U1160" s="3"/>
    </row>
    <row r="1161">
      <c r="A1161" s="3"/>
      <c r="B1161" s="3"/>
      <c r="C1161" s="3"/>
      <c r="D1161" s="3"/>
      <c r="E1161" s="3"/>
      <c r="F1161" s="3"/>
      <c r="G1161" s="3"/>
      <c r="H1161" s="3"/>
      <c r="K1161" s="3"/>
      <c r="L1161" s="3"/>
      <c r="M1161" s="3"/>
      <c r="N1161" s="3"/>
      <c r="O1161" s="3"/>
      <c r="P1161" s="3"/>
      <c r="Q1161" s="3"/>
      <c r="R1161" s="3"/>
      <c r="S1161" s="3"/>
      <c r="T1161" s="3"/>
      <c r="U1161" s="3"/>
    </row>
    <row r="1162">
      <c r="A1162" s="3"/>
      <c r="B1162" s="3"/>
      <c r="C1162" s="3"/>
      <c r="D1162" s="3"/>
      <c r="E1162" s="3"/>
      <c r="F1162" s="3"/>
      <c r="G1162" s="3"/>
      <c r="H1162" s="3"/>
      <c r="K1162" s="3"/>
      <c r="L1162" s="3"/>
      <c r="M1162" s="3"/>
      <c r="N1162" s="3"/>
      <c r="O1162" s="3"/>
      <c r="P1162" s="3"/>
      <c r="Q1162" s="3"/>
      <c r="R1162" s="3"/>
      <c r="S1162" s="3"/>
      <c r="T1162" s="3"/>
      <c r="U1162" s="3"/>
    </row>
    <row r="1163">
      <c r="A1163" s="3"/>
      <c r="B1163" s="3"/>
      <c r="C1163" s="3"/>
      <c r="D1163" s="3"/>
      <c r="E1163" s="3"/>
      <c r="F1163" s="3"/>
      <c r="G1163" s="3"/>
      <c r="H1163" s="3"/>
      <c r="K1163" s="3"/>
      <c r="L1163" s="3"/>
      <c r="M1163" s="3"/>
      <c r="N1163" s="3"/>
      <c r="O1163" s="3"/>
      <c r="P1163" s="3"/>
      <c r="Q1163" s="3"/>
      <c r="R1163" s="3"/>
      <c r="S1163" s="3"/>
      <c r="T1163" s="3"/>
      <c r="U1163" s="3"/>
    </row>
    <row r="1164">
      <c r="A1164" s="3"/>
      <c r="B1164" s="3"/>
      <c r="C1164" s="3"/>
      <c r="D1164" s="3"/>
      <c r="E1164" s="3"/>
      <c r="F1164" s="3"/>
      <c r="G1164" s="3"/>
      <c r="H1164" s="3"/>
      <c r="K1164" s="3"/>
      <c r="L1164" s="3"/>
      <c r="M1164" s="3"/>
      <c r="N1164" s="3"/>
      <c r="O1164" s="3"/>
      <c r="P1164" s="3"/>
      <c r="Q1164" s="3"/>
      <c r="R1164" s="3"/>
      <c r="S1164" s="3"/>
      <c r="T1164" s="3"/>
      <c r="U1164" s="3"/>
    </row>
    <row r="1165">
      <c r="A1165" s="3"/>
      <c r="B1165" s="3"/>
      <c r="C1165" s="3"/>
      <c r="D1165" s="3"/>
      <c r="E1165" s="3"/>
      <c r="F1165" s="3"/>
      <c r="G1165" s="3"/>
      <c r="H1165" s="3"/>
      <c r="K1165" s="3"/>
      <c r="L1165" s="3"/>
      <c r="M1165" s="3"/>
      <c r="N1165" s="3"/>
      <c r="O1165" s="3"/>
      <c r="P1165" s="3"/>
      <c r="Q1165" s="3"/>
      <c r="R1165" s="3"/>
      <c r="S1165" s="3"/>
      <c r="T1165" s="3"/>
      <c r="U1165" s="3"/>
    </row>
    <row r="1166">
      <c r="A1166" s="3"/>
      <c r="B1166" s="3"/>
      <c r="C1166" s="3"/>
      <c r="D1166" s="3"/>
      <c r="E1166" s="3"/>
      <c r="F1166" s="3"/>
      <c r="G1166" s="3"/>
      <c r="H1166" s="3"/>
      <c r="K1166" s="3"/>
      <c r="L1166" s="3"/>
      <c r="M1166" s="3"/>
      <c r="N1166" s="3"/>
      <c r="O1166" s="3"/>
      <c r="P1166" s="3"/>
      <c r="Q1166" s="3"/>
      <c r="R1166" s="3"/>
      <c r="S1166" s="3"/>
      <c r="T1166" s="3"/>
      <c r="U1166" s="3"/>
    </row>
    <row r="1167">
      <c r="A1167" s="3"/>
      <c r="B1167" s="3"/>
      <c r="C1167" s="3"/>
      <c r="D1167" s="3"/>
      <c r="E1167" s="3"/>
      <c r="F1167" s="3"/>
      <c r="G1167" s="3"/>
      <c r="H1167" s="3"/>
      <c r="K1167" s="3"/>
      <c r="L1167" s="3"/>
      <c r="M1167" s="3"/>
      <c r="N1167" s="3"/>
      <c r="O1167" s="3"/>
      <c r="P1167" s="3"/>
      <c r="Q1167" s="3"/>
      <c r="R1167" s="3"/>
      <c r="S1167" s="3"/>
      <c r="T1167" s="3"/>
      <c r="U1167" s="3"/>
    </row>
    <row r="1168">
      <c r="A1168" s="3"/>
      <c r="B1168" s="3"/>
      <c r="C1168" s="3"/>
      <c r="D1168" s="3"/>
      <c r="E1168" s="3"/>
      <c r="F1168" s="3"/>
      <c r="G1168" s="3"/>
      <c r="H1168" s="3"/>
      <c r="K1168" s="3"/>
      <c r="L1168" s="3"/>
      <c r="M1168" s="3"/>
      <c r="N1168" s="3"/>
      <c r="O1168" s="3"/>
      <c r="P1168" s="3"/>
      <c r="Q1168" s="3"/>
      <c r="R1168" s="3"/>
      <c r="S1168" s="3"/>
      <c r="T1168" s="3"/>
      <c r="U1168" s="3"/>
    </row>
    <row r="1169">
      <c r="A1169" s="3"/>
      <c r="B1169" s="3"/>
      <c r="C1169" s="3"/>
      <c r="D1169" s="3"/>
      <c r="E1169" s="3"/>
      <c r="F1169" s="3"/>
      <c r="G1169" s="3"/>
      <c r="H1169" s="3"/>
      <c r="K1169" s="3"/>
      <c r="L1169" s="3"/>
      <c r="M1169" s="3"/>
      <c r="N1169" s="3"/>
      <c r="O1169" s="3"/>
      <c r="P1169" s="3"/>
      <c r="Q1169" s="3"/>
      <c r="R1169" s="3"/>
      <c r="S1169" s="3"/>
      <c r="T1169" s="3"/>
      <c r="U1169" s="3"/>
    </row>
    <row r="1170">
      <c r="A1170" s="3"/>
      <c r="B1170" s="3"/>
      <c r="C1170" s="3"/>
      <c r="D1170" s="3"/>
      <c r="E1170" s="3"/>
      <c r="F1170" s="3"/>
      <c r="G1170" s="3"/>
      <c r="H1170" s="3"/>
      <c r="K1170" s="3"/>
      <c r="L1170" s="3"/>
      <c r="M1170" s="3"/>
      <c r="N1170" s="3"/>
      <c r="O1170" s="3"/>
      <c r="P1170" s="3"/>
      <c r="Q1170" s="3"/>
      <c r="R1170" s="3"/>
      <c r="S1170" s="3"/>
      <c r="T1170" s="3"/>
      <c r="U1170" s="3"/>
    </row>
    <row r="1171">
      <c r="A1171" s="3"/>
      <c r="B1171" s="3"/>
      <c r="C1171" s="3"/>
      <c r="D1171" s="3"/>
      <c r="E1171" s="3"/>
      <c r="F1171" s="3"/>
      <c r="G1171" s="3"/>
      <c r="H1171" s="3"/>
      <c r="K1171" s="3"/>
      <c r="L1171" s="3"/>
      <c r="M1171" s="3"/>
      <c r="N1171" s="3"/>
      <c r="O1171" s="3"/>
      <c r="P1171" s="3"/>
      <c r="Q1171" s="3"/>
      <c r="R1171" s="3"/>
      <c r="S1171" s="3"/>
      <c r="T1171" s="3"/>
      <c r="U1171" s="3"/>
    </row>
    <row r="1172">
      <c r="A1172" s="3"/>
      <c r="B1172" s="3"/>
      <c r="C1172" s="3"/>
      <c r="D1172" s="3"/>
      <c r="E1172" s="3"/>
      <c r="F1172" s="3"/>
      <c r="G1172" s="3"/>
      <c r="H1172" s="3"/>
      <c r="K1172" s="3"/>
      <c r="L1172" s="3"/>
      <c r="M1172" s="3"/>
      <c r="N1172" s="3"/>
      <c r="O1172" s="3"/>
      <c r="P1172" s="3"/>
      <c r="Q1172" s="3"/>
      <c r="R1172" s="3"/>
      <c r="S1172" s="3"/>
      <c r="T1172" s="3"/>
      <c r="U1172" s="3"/>
    </row>
    <row r="1173">
      <c r="A1173" s="3"/>
      <c r="B1173" s="3"/>
      <c r="C1173" s="3"/>
      <c r="D1173" s="3"/>
      <c r="E1173" s="3"/>
      <c r="F1173" s="3"/>
      <c r="G1173" s="3"/>
      <c r="H1173" s="3"/>
      <c r="K1173" s="3"/>
      <c r="L1173" s="3"/>
      <c r="M1173" s="3"/>
      <c r="N1173" s="3"/>
      <c r="O1173" s="3"/>
      <c r="P1173" s="3"/>
      <c r="Q1173" s="3"/>
      <c r="R1173" s="3"/>
      <c r="S1173" s="3"/>
      <c r="T1173" s="3"/>
      <c r="U1173" s="3"/>
    </row>
    <row r="1174">
      <c r="A1174" s="3"/>
      <c r="B1174" s="3"/>
      <c r="C1174" s="3"/>
      <c r="D1174" s="3"/>
      <c r="E1174" s="3"/>
      <c r="F1174" s="3"/>
      <c r="G1174" s="3"/>
      <c r="H1174" s="3"/>
      <c r="K1174" s="3"/>
      <c r="L1174" s="3"/>
      <c r="M1174" s="3"/>
      <c r="N1174" s="3"/>
      <c r="O1174" s="3"/>
      <c r="P1174" s="3"/>
      <c r="Q1174" s="3"/>
      <c r="R1174" s="3"/>
      <c r="S1174" s="3"/>
      <c r="T1174" s="3"/>
      <c r="U1174" s="3"/>
    </row>
    <row r="1175">
      <c r="A1175" s="3"/>
      <c r="B1175" s="3"/>
      <c r="C1175" s="3"/>
      <c r="D1175" s="3"/>
      <c r="E1175" s="3"/>
      <c r="F1175" s="3"/>
      <c r="G1175" s="3"/>
      <c r="H1175" s="3"/>
      <c r="K1175" s="3"/>
      <c r="L1175" s="3"/>
      <c r="M1175" s="3"/>
      <c r="N1175" s="3"/>
      <c r="O1175" s="3"/>
      <c r="P1175" s="3"/>
      <c r="Q1175" s="3"/>
      <c r="R1175" s="3"/>
      <c r="S1175" s="3"/>
      <c r="T1175" s="3"/>
      <c r="U1175" s="3"/>
    </row>
    <row r="1176">
      <c r="A1176" s="3"/>
      <c r="B1176" s="3"/>
      <c r="C1176" s="3"/>
      <c r="D1176" s="3"/>
      <c r="E1176" s="3"/>
      <c r="F1176" s="3"/>
      <c r="G1176" s="3"/>
      <c r="H1176" s="3"/>
      <c r="K1176" s="3"/>
      <c r="L1176" s="3"/>
      <c r="M1176" s="3"/>
      <c r="N1176" s="3"/>
      <c r="O1176" s="3"/>
      <c r="P1176" s="3"/>
      <c r="Q1176" s="3"/>
      <c r="R1176" s="3"/>
      <c r="S1176" s="3"/>
      <c r="T1176" s="3"/>
      <c r="U1176" s="3"/>
    </row>
    <row r="1177">
      <c r="A1177" s="3"/>
      <c r="B1177" s="3"/>
      <c r="C1177" s="3"/>
      <c r="D1177" s="3"/>
      <c r="E1177" s="3"/>
      <c r="F1177" s="3"/>
      <c r="G1177" s="3"/>
      <c r="H1177" s="3"/>
      <c r="K1177" s="3"/>
      <c r="L1177" s="3"/>
      <c r="M1177" s="3"/>
      <c r="N1177" s="3"/>
      <c r="O1177" s="3"/>
      <c r="P1177" s="3"/>
      <c r="Q1177" s="3"/>
      <c r="R1177" s="3"/>
      <c r="S1177" s="3"/>
      <c r="T1177" s="3"/>
      <c r="U1177" s="3"/>
    </row>
    <row r="1178">
      <c r="A1178" s="3"/>
      <c r="B1178" s="3"/>
      <c r="C1178" s="3"/>
      <c r="D1178" s="3"/>
      <c r="E1178" s="3"/>
      <c r="F1178" s="3"/>
      <c r="G1178" s="3"/>
      <c r="H1178" s="3"/>
      <c r="K1178" s="3"/>
      <c r="L1178" s="3"/>
      <c r="M1178" s="3"/>
      <c r="N1178" s="3"/>
      <c r="O1178" s="3"/>
      <c r="P1178" s="3"/>
      <c r="Q1178" s="3"/>
      <c r="R1178" s="3"/>
      <c r="S1178" s="3"/>
      <c r="T1178" s="3"/>
      <c r="U1178" s="3"/>
    </row>
    <row r="1179">
      <c r="A1179" s="3"/>
      <c r="B1179" s="3"/>
      <c r="C1179" s="3"/>
      <c r="D1179" s="3"/>
      <c r="E1179" s="3"/>
      <c r="F1179" s="3"/>
      <c r="G1179" s="3"/>
      <c r="H1179" s="3"/>
      <c r="K1179" s="3"/>
      <c r="L1179" s="3"/>
      <c r="M1179" s="3"/>
      <c r="N1179" s="3"/>
      <c r="O1179" s="3"/>
      <c r="P1179" s="3"/>
      <c r="Q1179" s="3"/>
      <c r="R1179" s="3"/>
      <c r="S1179" s="3"/>
      <c r="T1179" s="3"/>
      <c r="U1179" s="3"/>
    </row>
    <row r="1180">
      <c r="A1180" s="3"/>
      <c r="B1180" s="3"/>
      <c r="C1180" s="3"/>
      <c r="D1180" s="3"/>
      <c r="E1180" s="3"/>
      <c r="F1180" s="3"/>
      <c r="G1180" s="3"/>
      <c r="H1180" s="3"/>
      <c r="K1180" s="3"/>
      <c r="L1180" s="3"/>
      <c r="M1180" s="3"/>
      <c r="N1180" s="3"/>
      <c r="O1180" s="3"/>
      <c r="P1180" s="3"/>
      <c r="Q1180" s="3"/>
      <c r="R1180" s="3"/>
      <c r="S1180" s="3"/>
      <c r="T1180" s="3"/>
      <c r="U1180" s="3"/>
    </row>
    <row r="1181">
      <c r="A1181" s="3"/>
      <c r="B1181" s="3"/>
      <c r="C1181" s="3"/>
      <c r="D1181" s="3"/>
      <c r="E1181" s="3"/>
      <c r="F1181" s="3"/>
      <c r="G1181" s="3"/>
      <c r="H1181" s="3"/>
      <c r="K1181" s="3"/>
      <c r="L1181" s="3"/>
      <c r="M1181" s="3"/>
      <c r="N1181" s="3"/>
      <c r="O1181" s="3"/>
      <c r="P1181" s="3"/>
      <c r="Q1181" s="3"/>
      <c r="R1181" s="3"/>
      <c r="S1181" s="3"/>
      <c r="T1181" s="3"/>
      <c r="U1181" s="3"/>
    </row>
    <row r="1182">
      <c r="A1182" s="3"/>
      <c r="B1182" s="3"/>
      <c r="C1182" s="3"/>
      <c r="D1182" s="3"/>
      <c r="E1182" s="3"/>
      <c r="F1182" s="3"/>
      <c r="G1182" s="3"/>
      <c r="H1182" s="3"/>
      <c r="K1182" s="3"/>
      <c r="L1182" s="3"/>
      <c r="M1182" s="3"/>
      <c r="N1182" s="3"/>
      <c r="O1182" s="3"/>
      <c r="P1182" s="3"/>
      <c r="Q1182" s="3"/>
      <c r="R1182" s="3"/>
      <c r="S1182" s="3"/>
      <c r="T1182" s="3"/>
      <c r="U1182" s="3"/>
    </row>
    <row r="1183">
      <c r="A1183" s="3"/>
      <c r="B1183" s="3"/>
      <c r="C1183" s="3"/>
      <c r="D1183" s="3"/>
      <c r="E1183" s="3"/>
      <c r="F1183" s="3"/>
      <c r="G1183" s="3"/>
      <c r="H1183" s="3"/>
      <c r="K1183" s="3"/>
      <c r="L1183" s="3"/>
      <c r="M1183" s="3"/>
      <c r="N1183" s="3"/>
      <c r="O1183" s="3"/>
      <c r="P1183" s="3"/>
      <c r="Q1183" s="3"/>
      <c r="R1183" s="3"/>
      <c r="S1183" s="3"/>
      <c r="T1183" s="3"/>
      <c r="U1183" s="3"/>
    </row>
    <row r="1184">
      <c r="A1184" s="3"/>
      <c r="B1184" s="3"/>
      <c r="C1184" s="3"/>
      <c r="D1184" s="3"/>
      <c r="E1184" s="3"/>
      <c r="F1184" s="3"/>
      <c r="G1184" s="3"/>
      <c r="H1184" s="3"/>
      <c r="K1184" s="3"/>
      <c r="L1184" s="3"/>
      <c r="M1184" s="3"/>
      <c r="N1184" s="3"/>
      <c r="O1184" s="3"/>
      <c r="P1184" s="3"/>
      <c r="Q1184" s="3"/>
      <c r="R1184" s="3"/>
      <c r="S1184" s="3"/>
      <c r="T1184" s="3"/>
      <c r="U1184" s="3"/>
    </row>
    <row r="1185">
      <c r="A1185" s="3"/>
      <c r="B1185" s="3"/>
      <c r="C1185" s="3"/>
      <c r="D1185" s="3"/>
      <c r="E1185" s="3"/>
      <c r="F1185" s="3"/>
      <c r="G1185" s="3"/>
      <c r="H1185" s="3"/>
      <c r="K1185" s="3"/>
      <c r="L1185" s="3"/>
      <c r="M1185" s="3"/>
      <c r="N1185" s="3"/>
      <c r="O1185" s="3"/>
      <c r="P1185" s="3"/>
      <c r="Q1185" s="3"/>
      <c r="R1185" s="3"/>
      <c r="S1185" s="3"/>
      <c r="T1185" s="3"/>
      <c r="U1185" s="3"/>
    </row>
    <row r="1186">
      <c r="A1186" s="3"/>
      <c r="B1186" s="3"/>
      <c r="C1186" s="3"/>
      <c r="D1186" s="3"/>
      <c r="E1186" s="3"/>
      <c r="F1186" s="3"/>
      <c r="G1186" s="3"/>
      <c r="H1186" s="3"/>
      <c r="K1186" s="3"/>
      <c r="L1186" s="3"/>
      <c r="M1186" s="3"/>
      <c r="N1186" s="3"/>
      <c r="O1186" s="3"/>
      <c r="P1186" s="3"/>
      <c r="Q1186" s="3"/>
      <c r="R1186" s="3"/>
      <c r="S1186" s="3"/>
      <c r="T1186" s="3"/>
      <c r="U1186" s="3"/>
    </row>
    <row r="1187">
      <c r="A1187" s="3"/>
      <c r="B1187" s="3"/>
      <c r="C1187" s="3"/>
      <c r="D1187" s="3"/>
      <c r="E1187" s="3"/>
      <c r="F1187" s="3"/>
      <c r="G1187" s="3"/>
      <c r="H1187" s="3"/>
      <c r="K1187" s="3"/>
      <c r="L1187" s="3"/>
      <c r="M1187" s="3"/>
      <c r="N1187" s="3"/>
      <c r="O1187" s="3"/>
      <c r="P1187" s="3"/>
      <c r="Q1187" s="3"/>
      <c r="R1187" s="3"/>
      <c r="S1187" s="3"/>
      <c r="T1187" s="3"/>
      <c r="U1187" s="3"/>
    </row>
    <row r="1188">
      <c r="A1188" s="3"/>
      <c r="B1188" s="3"/>
      <c r="C1188" s="3"/>
      <c r="D1188" s="3"/>
      <c r="E1188" s="3"/>
      <c r="F1188" s="3"/>
      <c r="G1188" s="3"/>
      <c r="H1188" s="3"/>
      <c r="K1188" s="3"/>
      <c r="L1188" s="3"/>
      <c r="M1188" s="3"/>
      <c r="N1188" s="3"/>
      <c r="O1188" s="3"/>
      <c r="P1188" s="3"/>
      <c r="Q1188" s="3"/>
      <c r="R1188" s="3"/>
      <c r="S1188" s="3"/>
      <c r="T1188" s="3"/>
      <c r="U1188" s="3"/>
    </row>
    <row r="1189">
      <c r="A1189" s="3"/>
      <c r="B1189" s="3"/>
      <c r="C1189" s="3"/>
      <c r="D1189" s="3"/>
      <c r="E1189" s="3"/>
      <c r="F1189" s="3"/>
      <c r="G1189" s="3"/>
      <c r="H1189" s="3"/>
      <c r="K1189" s="3"/>
      <c r="L1189" s="3"/>
      <c r="M1189" s="3"/>
      <c r="N1189" s="3"/>
      <c r="O1189" s="3"/>
      <c r="P1189" s="3"/>
      <c r="Q1189" s="3"/>
      <c r="R1189" s="3"/>
      <c r="S1189" s="3"/>
      <c r="T1189" s="3"/>
      <c r="U1189" s="3"/>
    </row>
    <row r="1190">
      <c r="A1190" s="3"/>
      <c r="B1190" s="3"/>
      <c r="C1190" s="3"/>
      <c r="D1190" s="3"/>
      <c r="E1190" s="3"/>
      <c r="F1190" s="3"/>
      <c r="G1190" s="3"/>
      <c r="H1190" s="3"/>
      <c r="K1190" s="3"/>
      <c r="L1190" s="3"/>
      <c r="M1190" s="3"/>
      <c r="N1190" s="3"/>
      <c r="O1190" s="3"/>
      <c r="P1190" s="3"/>
      <c r="Q1190" s="3"/>
      <c r="R1190" s="3"/>
      <c r="S1190" s="3"/>
      <c r="T1190" s="3"/>
      <c r="U1190" s="3"/>
    </row>
    <row r="1191">
      <c r="A1191" s="3"/>
      <c r="B1191" s="3"/>
      <c r="C1191" s="3"/>
      <c r="D1191" s="3"/>
      <c r="E1191" s="3"/>
      <c r="F1191" s="3"/>
      <c r="G1191" s="3"/>
      <c r="H1191" s="3"/>
      <c r="K1191" s="3"/>
      <c r="L1191" s="3"/>
      <c r="M1191" s="3"/>
      <c r="N1191" s="3"/>
      <c r="O1191" s="3"/>
      <c r="P1191" s="3"/>
      <c r="Q1191" s="3"/>
      <c r="R1191" s="3"/>
      <c r="S1191" s="3"/>
      <c r="T1191" s="3"/>
      <c r="U1191" s="3"/>
    </row>
    <row r="1192">
      <c r="A1192" s="3"/>
      <c r="B1192" s="3"/>
      <c r="C1192" s="3"/>
      <c r="D1192" s="3"/>
      <c r="E1192" s="3"/>
      <c r="F1192" s="3"/>
      <c r="G1192" s="3"/>
      <c r="H1192" s="3"/>
      <c r="K1192" s="3"/>
      <c r="L1192" s="3"/>
      <c r="M1192" s="3"/>
      <c r="N1192" s="3"/>
      <c r="O1192" s="3"/>
      <c r="P1192" s="3"/>
      <c r="Q1192" s="3"/>
      <c r="R1192" s="3"/>
      <c r="S1192" s="3"/>
      <c r="T1192" s="3"/>
      <c r="U1192" s="3"/>
    </row>
    <row r="1193">
      <c r="A1193" s="3"/>
      <c r="B1193" s="3"/>
      <c r="C1193" s="3"/>
      <c r="D1193" s="3"/>
      <c r="E1193" s="3"/>
      <c r="F1193" s="3"/>
      <c r="G1193" s="3"/>
      <c r="H1193" s="3"/>
      <c r="K1193" s="3"/>
      <c r="L1193" s="3"/>
      <c r="M1193" s="3"/>
      <c r="N1193" s="3"/>
      <c r="O1193" s="3"/>
      <c r="P1193" s="3"/>
      <c r="Q1193" s="3"/>
      <c r="R1193" s="3"/>
      <c r="S1193" s="3"/>
      <c r="T1193" s="3"/>
      <c r="U1193" s="3"/>
    </row>
    <row r="1194">
      <c r="A1194" s="3"/>
      <c r="B1194" s="3"/>
      <c r="C1194" s="3"/>
      <c r="D1194" s="3"/>
      <c r="E1194" s="3"/>
      <c r="F1194" s="3"/>
      <c r="G1194" s="3"/>
      <c r="H1194" s="3"/>
      <c r="K1194" s="3"/>
      <c r="L1194" s="3"/>
      <c r="M1194" s="3"/>
      <c r="N1194" s="3"/>
      <c r="O1194" s="3"/>
      <c r="P1194" s="3"/>
      <c r="Q1194" s="3"/>
      <c r="R1194" s="3"/>
      <c r="S1194" s="3"/>
      <c r="T1194" s="3"/>
      <c r="U1194" s="3"/>
    </row>
    <row r="1195">
      <c r="A1195" s="3"/>
      <c r="B1195" s="3"/>
      <c r="C1195" s="3"/>
      <c r="D1195" s="3"/>
      <c r="E1195" s="3"/>
      <c r="F1195" s="3"/>
      <c r="G1195" s="3"/>
      <c r="H1195" s="3"/>
      <c r="K1195" s="3"/>
      <c r="L1195" s="3"/>
      <c r="M1195" s="3"/>
      <c r="N1195" s="3"/>
      <c r="O1195" s="3"/>
      <c r="P1195" s="3"/>
      <c r="Q1195" s="3"/>
      <c r="R1195" s="3"/>
      <c r="S1195" s="3"/>
      <c r="T1195" s="3"/>
      <c r="U1195" s="3"/>
    </row>
    <row r="1196">
      <c r="A1196" s="3"/>
      <c r="B1196" s="3"/>
      <c r="C1196" s="3"/>
      <c r="D1196" s="3"/>
      <c r="E1196" s="3"/>
      <c r="F1196" s="3"/>
      <c r="G1196" s="3"/>
      <c r="H1196" s="3"/>
      <c r="K1196" s="3"/>
      <c r="L1196" s="3"/>
      <c r="M1196" s="3"/>
      <c r="N1196" s="3"/>
      <c r="O1196" s="3"/>
      <c r="P1196" s="3"/>
      <c r="Q1196" s="3"/>
      <c r="R1196" s="3"/>
      <c r="S1196" s="3"/>
      <c r="T1196" s="3"/>
      <c r="U1196" s="3"/>
    </row>
    <row r="1197">
      <c r="A1197" s="3"/>
      <c r="B1197" s="3"/>
      <c r="C1197" s="3"/>
      <c r="D1197" s="3"/>
      <c r="E1197" s="3"/>
      <c r="F1197" s="3"/>
      <c r="G1197" s="3"/>
      <c r="H1197" s="3"/>
      <c r="K1197" s="3"/>
      <c r="L1197" s="3"/>
      <c r="M1197" s="3"/>
      <c r="N1197" s="3"/>
      <c r="O1197" s="3"/>
      <c r="P1197" s="3"/>
      <c r="Q1197" s="3"/>
      <c r="R1197" s="3"/>
      <c r="S1197" s="3"/>
      <c r="T1197" s="3"/>
      <c r="U1197" s="3"/>
    </row>
    <row r="1198">
      <c r="A1198" s="3"/>
      <c r="B1198" s="3"/>
      <c r="C1198" s="3"/>
      <c r="D1198" s="3"/>
      <c r="E1198" s="3"/>
      <c r="F1198" s="3"/>
      <c r="G1198" s="3"/>
      <c r="H1198" s="3"/>
      <c r="K1198" s="3"/>
      <c r="L1198" s="3"/>
      <c r="M1198" s="3"/>
      <c r="N1198" s="3"/>
      <c r="O1198" s="3"/>
      <c r="P1198" s="3"/>
      <c r="Q1198" s="3"/>
      <c r="R1198" s="3"/>
      <c r="S1198" s="3"/>
      <c r="T1198" s="3"/>
      <c r="U1198" s="3"/>
    </row>
    <row r="1199">
      <c r="A1199" s="3"/>
      <c r="B1199" s="3"/>
      <c r="C1199" s="3"/>
      <c r="D1199" s="3"/>
      <c r="E1199" s="3"/>
      <c r="F1199" s="3"/>
      <c r="G1199" s="3"/>
      <c r="H1199" s="3"/>
      <c r="K1199" s="3"/>
      <c r="L1199" s="3"/>
      <c r="M1199" s="3"/>
      <c r="N1199" s="3"/>
      <c r="O1199" s="3"/>
      <c r="P1199" s="3"/>
      <c r="Q1199" s="3"/>
      <c r="R1199" s="3"/>
      <c r="S1199" s="3"/>
      <c r="T1199" s="3"/>
      <c r="U1199" s="3"/>
    </row>
    <row r="1200">
      <c r="A1200" s="3"/>
      <c r="B1200" s="3"/>
      <c r="C1200" s="3"/>
      <c r="D1200" s="3"/>
      <c r="E1200" s="3"/>
      <c r="F1200" s="3"/>
      <c r="G1200" s="3"/>
      <c r="H1200" s="3"/>
      <c r="K1200" s="3"/>
      <c r="L1200" s="3"/>
      <c r="M1200" s="3"/>
      <c r="N1200" s="3"/>
      <c r="O1200" s="3"/>
      <c r="P1200" s="3"/>
      <c r="Q1200" s="3"/>
      <c r="R1200" s="3"/>
      <c r="S1200" s="3"/>
      <c r="T1200" s="3"/>
      <c r="U1200" s="3"/>
    </row>
    <row r="1201">
      <c r="A1201" s="3"/>
      <c r="B1201" s="3"/>
      <c r="C1201" s="3"/>
      <c r="D1201" s="3"/>
      <c r="E1201" s="3"/>
      <c r="F1201" s="3"/>
      <c r="G1201" s="3"/>
      <c r="H1201" s="3"/>
      <c r="K1201" s="3"/>
      <c r="L1201" s="3"/>
      <c r="M1201" s="3"/>
      <c r="N1201" s="3"/>
      <c r="O1201" s="3"/>
      <c r="P1201" s="3"/>
      <c r="Q1201" s="3"/>
      <c r="R1201" s="3"/>
      <c r="S1201" s="3"/>
      <c r="T1201" s="3"/>
      <c r="U1201" s="3"/>
    </row>
    <row r="1202">
      <c r="A1202" s="3"/>
      <c r="B1202" s="3"/>
      <c r="C1202" s="3"/>
      <c r="D1202" s="3"/>
      <c r="E1202" s="3"/>
      <c r="F1202" s="3"/>
      <c r="G1202" s="3"/>
      <c r="H1202" s="3"/>
      <c r="K1202" s="3"/>
      <c r="L1202" s="3"/>
      <c r="M1202" s="3"/>
      <c r="N1202" s="3"/>
      <c r="O1202" s="3"/>
      <c r="P1202" s="3"/>
      <c r="Q1202" s="3"/>
      <c r="R1202" s="3"/>
      <c r="S1202" s="3"/>
      <c r="T1202" s="3"/>
      <c r="U1202" s="3"/>
    </row>
    <row r="1203">
      <c r="A1203" s="3"/>
      <c r="B1203" s="3"/>
      <c r="C1203" s="3"/>
      <c r="D1203" s="3"/>
      <c r="E1203" s="3"/>
      <c r="F1203" s="3"/>
      <c r="G1203" s="3"/>
      <c r="H1203" s="3"/>
      <c r="K1203" s="3"/>
      <c r="L1203" s="3"/>
      <c r="M1203" s="3"/>
      <c r="N1203" s="3"/>
      <c r="O1203" s="3"/>
      <c r="P1203" s="3"/>
      <c r="Q1203" s="3"/>
      <c r="R1203" s="3"/>
      <c r="S1203" s="3"/>
      <c r="T1203" s="3"/>
      <c r="U1203" s="3"/>
    </row>
    <row r="1204">
      <c r="A1204" s="3"/>
      <c r="B1204" s="3"/>
      <c r="C1204" s="3"/>
      <c r="D1204" s="3"/>
      <c r="E1204" s="3"/>
      <c r="F1204" s="3"/>
      <c r="G1204" s="3"/>
      <c r="H1204" s="3"/>
      <c r="K1204" s="3"/>
      <c r="L1204" s="3"/>
      <c r="M1204" s="3"/>
      <c r="N1204" s="3"/>
      <c r="O1204" s="3"/>
      <c r="P1204" s="3"/>
      <c r="Q1204" s="3"/>
      <c r="R1204" s="3"/>
      <c r="S1204" s="3"/>
      <c r="T1204" s="3"/>
      <c r="U1204" s="3"/>
    </row>
    <row r="1205">
      <c r="A1205" s="3"/>
      <c r="B1205" s="3"/>
      <c r="C1205" s="3"/>
      <c r="D1205" s="3"/>
      <c r="E1205" s="3"/>
      <c r="F1205" s="3"/>
      <c r="G1205" s="3"/>
      <c r="H1205" s="3"/>
      <c r="K1205" s="3"/>
      <c r="L1205" s="3"/>
      <c r="M1205" s="3"/>
      <c r="N1205" s="3"/>
      <c r="O1205" s="3"/>
      <c r="P1205" s="3"/>
      <c r="Q1205" s="3"/>
      <c r="R1205" s="3"/>
      <c r="S1205" s="3"/>
      <c r="T1205" s="3"/>
      <c r="U1205" s="3"/>
    </row>
    <row r="1206">
      <c r="A1206" s="3"/>
      <c r="B1206" s="3"/>
      <c r="C1206" s="3"/>
      <c r="D1206" s="3"/>
      <c r="E1206" s="3"/>
      <c r="F1206" s="3"/>
      <c r="G1206" s="3"/>
      <c r="H1206" s="3"/>
      <c r="K1206" s="3"/>
      <c r="L1206" s="3"/>
      <c r="M1206" s="3"/>
      <c r="N1206" s="3"/>
      <c r="O1206" s="3"/>
      <c r="P1206" s="3"/>
      <c r="Q1206" s="3"/>
      <c r="R1206" s="3"/>
      <c r="S1206" s="3"/>
      <c r="T1206" s="3"/>
      <c r="U1206" s="3"/>
    </row>
    <row r="1207">
      <c r="A1207" s="3"/>
      <c r="B1207" s="3"/>
      <c r="C1207" s="3"/>
      <c r="D1207" s="3"/>
      <c r="E1207" s="3"/>
      <c r="F1207" s="3"/>
      <c r="G1207" s="3"/>
      <c r="H1207" s="3"/>
      <c r="K1207" s="3"/>
      <c r="L1207" s="3"/>
      <c r="M1207" s="3"/>
      <c r="N1207" s="3"/>
      <c r="O1207" s="3"/>
      <c r="P1207" s="3"/>
      <c r="Q1207" s="3"/>
      <c r="R1207" s="3"/>
      <c r="S1207" s="3"/>
      <c r="T1207" s="3"/>
      <c r="U1207" s="3"/>
    </row>
    <row r="1208">
      <c r="A1208" s="3"/>
      <c r="B1208" s="3"/>
      <c r="C1208" s="3"/>
      <c r="D1208" s="3"/>
      <c r="E1208" s="3"/>
      <c r="F1208" s="3"/>
      <c r="G1208" s="3"/>
      <c r="H1208" s="3"/>
      <c r="K1208" s="3"/>
      <c r="L1208" s="3"/>
      <c r="M1208" s="3"/>
      <c r="N1208" s="3"/>
      <c r="O1208" s="3"/>
      <c r="P1208" s="3"/>
      <c r="Q1208" s="3"/>
      <c r="R1208" s="3"/>
      <c r="S1208" s="3"/>
      <c r="T1208" s="3"/>
      <c r="U1208" s="3"/>
    </row>
    <row r="1209">
      <c r="A1209" s="3"/>
      <c r="B1209" s="3"/>
      <c r="C1209" s="3"/>
      <c r="D1209" s="3"/>
      <c r="E1209" s="3"/>
      <c r="F1209" s="3"/>
      <c r="G1209" s="3"/>
      <c r="H1209" s="3"/>
      <c r="K1209" s="3"/>
      <c r="L1209" s="3"/>
      <c r="M1209" s="3"/>
      <c r="N1209" s="3"/>
      <c r="O1209" s="3"/>
      <c r="P1209" s="3"/>
      <c r="Q1209" s="3"/>
      <c r="R1209" s="3"/>
      <c r="S1209" s="3"/>
      <c r="T1209" s="3"/>
      <c r="U1209" s="3"/>
    </row>
    <row r="1210">
      <c r="A1210" s="3"/>
      <c r="B1210" s="3"/>
      <c r="C1210" s="3"/>
      <c r="D1210" s="3"/>
      <c r="E1210" s="3"/>
      <c r="F1210" s="3"/>
      <c r="G1210" s="3"/>
      <c r="H1210" s="3"/>
      <c r="K1210" s="3"/>
      <c r="L1210" s="3"/>
      <c r="M1210" s="3"/>
      <c r="N1210" s="3"/>
      <c r="O1210" s="3"/>
      <c r="P1210" s="3"/>
      <c r="Q1210" s="3"/>
      <c r="R1210" s="3"/>
      <c r="S1210" s="3"/>
      <c r="T1210" s="3"/>
      <c r="U1210" s="3"/>
    </row>
    <row r="1211">
      <c r="A1211" s="3"/>
      <c r="B1211" s="3"/>
      <c r="C1211" s="3"/>
      <c r="D1211" s="3"/>
      <c r="E1211" s="3"/>
      <c r="F1211" s="3"/>
      <c r="G1211" s="3"/>
      <c r="H1211" s="3"/>
      <c r="K1211" s="3"/>
      <c r="L1211" s="3"/>
      <c r="M1211" s="3"/>
      <c r="N1211" s="3"/>
      <c r="O1211" s="3"/>
      <c r="P1211" s="3"/>
      <c r="Q1211" s="3"/>
      <c r="R1211" s="3"/>
      <c r="S1211" s="3"/>
      <c r="T1211" s="3"/>
      <c r="U1211" s="3"/>
    </row>
    <row r="1212">
      <c r="A1212" s="3"/>
      <c r="B1212" s="3"/>
      <c r="C1212" s="3"/>
      <c r="D1212" s="3"/>
      <c r="E1212" s="3"/>
      <c r="F1212" s="3"/>
      <c r="G1212" s="3"/>
      <c r="H1212" s="3"/>
      <c r="K1212" s="3"/>
      <c r="L1212" s="3"/>
      <c r="M1212" s="3"/>
      <c r="N1212" s="3"/>
      <c r="O1212" s="3"/>
      <c r="P1212" s="3"/>
      <c r="Q1212" s="3"/>
      <c r="R1212" s="3"/>
      <c r="S1212" s="3"/>
      <c r="T1212" s="3"/>
      <c r="U1212" s="3"/>
    </row>
    <row r="1213">
      <c r="A1213" s="3"/>
      <c r="B1213" s="3"/>
      <c r="C1213" s="3"/>
      <c r="D1213" s="3"/>
      <c r="E1213" s="3"/>
      <c r="F1213" s="3"/>
      <c r="G1213" s="3"/>
      <c r="H1213" s="3"/>
      <c r="K1213" s="3"/>
      <c r="L1213" s="3"/>
      <c r="M1213" s="3"/>
      <c r="N1213" s="3"/>
      <c r="O1213" s="3"/>
      <c r="P1213" s="3"/>
      <c r="Q1213" s="3"/>
      <c r="R1213" s="3"/>
      <c r="S1213" s="3"/>
      <c r="T1213" s="3"/>
      <c r="U1213" s="3"/>
    </row>
    <row r="1214">
      <c r="A1214" s="3"/>
      <c r="B1214" s="3"/>
      <c r="C1214" s="3"/>
      <c r="D1214" s="3"/>
      <c r="E1214" s="3"/>
      <c r="F1214" s="3"/>
      <c r="G1214" s="3"/>
      <c r="H1214" s="3"/>
      <c r="K1214" s="3"/>
      <c r="L1214" s="3"/>
      <c r="M1214" s="3"/>
      <c r="N1214" s="3"/>
      <c r="O1214" s="3"/>
      <c r="P1214" s="3"/>
      <c r="Q1214" s="3"/>
      <c r="R1214" s="3"/>
      <c r="S1214" s="3"/>
      <c r="T1214" s="3"/>
      <c r="U1214" s="3"/>
    </row>
    <row r="1215">
      <c r="A1215" s="3"/>
      <c r="B1215" s="3"/>
      <c r="C1215" s="3"/>
      <c r="D1215" s="3"/>
      <c r="E1215" s="3"/>
      <c r="F1215" s="3"/>
      <c r="G1215" s="3"/>
      <c r="H1215" s="3"/>
      <c r="K1215" s="3"/>
      <c r="L1215" s="3"/>
      <c r="M1215" s="3"/>
      <c r="N1215" s="3"/>
      <c r="O1215" s="3"/>
      <c r="P1215" s="3"/>
      <c r="Q1215" s="3"/>
      <c r="R1215" s="3"/>
      <c r="S1215" s="3"/>
      <c r="T1215" s="3"/>
      <c r="U1215" s="3"/>
    </row>
    <row r="1216">
      <c r="A1216" s="3"/>
      <c r="B1216" s="3"/>
      <c r="C1216" s="3"/>
      <c r="D1216" s="3"/>
      <c r="E1216" s="3"/>
      <c r="F1216" s="3"/>
      <c r="G1216" s="3"/>
      <c r="H1216" s="3"/>
      <c r="K1216" s="3"/>
      <c r="L1216" s="3"/>
      <c r="M1216" s="3"/>
      <c r="N1216" s="3"/>
      <c r="O1216" s="3"/>
      <c r="P1216" s="3"/>
      <c r="Q1216" s="3"/>
      <c r="R1216" s="3"/>
      <c r="S1216" s="3"/>
      <c r="T1216" s="3"/>
      <c r="U1216" s="3"/>
    </row>
    <row r="1217">
      <c r="A1217" s="3"/>
      <c r="B1217" s="3"/>
      <c r="C1217" s="3"/>
      <c r="D1217" s="3"/>
      <c r="E1217" s="3"/>
      <c r="F1217" s="3"/>
      <c r="G1217" s="3"/>
      <c r="H1217" s="3"/>
      <c r="K1217" s="3"/>
      <c r="L1217" s="3"/>
      <c r="M1217" s="3"/>
      <c r="N1217" s="3"/>
      <c r="O1217" s="3"/>
      <c r="P1217" s="3"/>
      <c r="Q1217" s="3"/>
      <c r="R1217" s="3"/>
      <c r="S1217" s="3"/>
      <c r="T1217" s="3"/>
      <c r="U1217" s="3"/>
    </row>
    <row r="1218">
      <c r="A1218" s="3"/>
      <c r="B1218" s="3"/>
      <c r="C1218" s="3"/>
      <c r="D1218" s="3"/>
      <c r="E1218" s="3"/>
      <c r="F1218" s="3"/>
      <c r="G1218" s="3"/>
      <c r="H1218" s="3"/>
      <c r="K1218" s="3"/>
      <c r="L1218" s="3"/>
      <c r="M1218" s="3"/>
      <c r="N1218" s="3"/>
      <c r="O1218" s="3"/>
      <c r="P1218" s="3"/>
      <c r="Q1218" s="3"/>
      <c r="R1218" s="3"/>
      <c r="S1218" s="3"/>
      <c r="T1218" s="3"/>
      <c r="U1218" s="3"/>
    </row>
    <row r="1219">
      <c r="A1219" s="3"/>
      <c r="B1219" s="3"/>
      <c r="C1219" s="3"/>
      <c r="D1219" s="3"/>
      <c r="E1219" s="3"/>
      <c r="F1219" s="3"/>
      <c r="G1219" s="3"/>
      <c r="H1219" s="3"/>
      <c r="K1219" s="3"/>
      <c r="L1219" s="3"/>
      <c r="M1219" s="3"/>
      <c r="N1219" s="3"/>
      <c r="O1219" s="3"/>
      <c r="P1219" s="3"/>
      <c r="Q1219" s="3"/>
      <c r="R1219" s="3"/>
      <c r="S1219" s="3"/>
      <c r="T1219" s="3"/>
      <c r="U1219" s="3"/>
    </row>
    <row r="1220">
      <c r="A1220" s="3"/>
      <c r="B1220" s="3"/>
      <c r="C1220" s="3"/>
      <c r="D1220" s="3"/>
      <c r="E1220" s="3"/>
      <c r="F1220" s="3"/>
      <c r="G1220" s="3"/>
      <c r="H1220" s="3"/>
      <c r="K1220" s="3"/>
      <c r="L1220" s="3"/>
      <c r="M1220" s="3"/>
      <c r="N1220" s="3"/>
      <c r="O1220" s="3"/>
      <c r="P1220" s="3"/>
      <c r="Q1220" s="3"/>
      <c r="R1220" s="3"/>
      <c r="S1220" s="3"/>
      <c r="T1220" s="3"/>
      <c r="U1220" s="3"/>
    </row>
    <row r="1221">
      <c r="A1221" s="3"/>
      <c r="B1221" s="3"/>
      <c r="C1221" s="3"/>
      <c r="D1221" s="3"/>
      <c r="E1221" s="3"/>
      <c r="F1221" s="3"/>
      <c r="G1221" s="3"/>
      <c r="H1221" s="3"/>
      <c r="K1221" s="3"/>
      <c r="L1221" s="3"/>
      <c r="M1221" s="3"/>
      <c r="N1221" s="3"/>
      <c r="O1221" s="3"/>
      <c r="P1221" s="3"/>
      <c r="Q1221" s="3"/>
      <c r="R1221" s="3"/>
      <c r="S1221" s="3"/>
      <c r="T1221" s="3"/>
      <c r="U1221" s="3"/>
    </row>
    <row r="1222">
      <c r="A1222" s="3"/>
      <c r="B1222" s="3"/>
      <c r="C1222" s="3"/>
      <c r="D1222" s="3"/>
      <c r="E1222" s="3"/>
      <c r="F1222" s="3"/>
      <c r="G1222" s="3"/>
      <c r="H1222" s="3"/>
      <c r="K1222" s="3"/>
      <c r="L1222" s="3"/>
      <c r="M1222" s="3"/>
      <c r="N1222" s="3"/>
      <c r="O1222" s="3"/>
      <c r="P1222" s="3"/>
      <c r="Q1222" s="3"/>
      <c r="R1222" s="3"/>
      <c r="S1222" s="3"/>
      <c r="T1222" s="3"/>
      <c r="U1222" s="3"/>
    </row>
    <row r="1223">
      <c r="A1223" s="3"/>
      <c r="B1223" s="3"/>
      <c r="C1223" s="3"/>
      <c r="D1223" s="3"/>
      <c r="E1223" s="3"/>
      <c r="F1223" s="3"/>
      <c r="G1223" s="3"/>
      <c r="H1223" s="3"/>
      <c r="K1223" s="3"/>
      <c r="L1223" s="3"/>
      <c r="M1223" s="3"/>
      <c r="N1223" s="3"/>
      <c r="O1223" s="3"/>
      <c r="P1223" s="3"/>
      <c r="Q1223" s="3"/>
      <c r="R1223" s="3"/>
      <c r="S1223" s="3"/>
      <c r="T1223" s="3"/>
      <c r="U1223" s="3"/>
    </row>
    <row r="1224">
      <c r="A1224" s="3"/>
      <c r="B1224" s="3"/>
      <c r="C1224" s="3"/>
      <c r="D1224" s="3"/>
      <c r="E1224" s="3"/>
      <c r="F1224" s="3"/>
      <c r="G1224" s="3"/>
      <c r="H1224" s="3"/>
      <c r="K1224" s="3"/>
      <c r="L1224" s="3"/>
      <c r="M1224" s="3"/>
      <c r="N1224" s="3"/>
      <c r="O1224" s="3"/>
      <c r="P1224" s="3"/>
      <c r="Q1224" s="3"/>
      <c r="R1224" s="3"/>
      <c r="S1224" s="3"/>
      <c r="T1224" s="3"/>
      <c r="U1224" s="3"/>
    </row>
    <row r="1225">
      <c r="A1225" s="3"/>
      <c r="B1225" s="3"/>
      <c r="C1225" s="3"/>
      <c r="D1225" s="3"/>
      <c r="E1225" s="3"/>
      <c r="F1225" s="3"/>
      <c r="G1225" s="3"/>
      <c r="H1225" s="3"/>
      <c r="K1225" s="3"/>
      <c r="L1225" s="3"/>
      <c r="M1225" s="3"/>
      <c r="N1225" s="3"/>
      <c r="O1225" s="3"/>
      <c r="P1225" s="3"/>
      <c r="Q1225" s="3"/>
      <c r="R1225" s="3"/>
      <c r="S1225" s="3"/>
      <c r="T1225" s="3"/>
      <c r="U1225" s="3"/>
    </row>
    <row r="1226">
      <c r="A1226" s="3"/>
      <c r="B1226" s="3"/>
      <c r="C1226" s="3"/>
      <c r="D1226" s="3"/>
      <c r="E1226" s="3"/>
      <c r="F1226" s="3"/>
      <c r="G1226" s="3"/>
      <c r="H1226" s="3"/>
      <c r="K1226" s="3"/>
      <c r="L1226" s="3"/>
      <c r="M1226" s="3"/>
      <c r="N1226" s="3"/>
      <c r="O1226" s="3"/>
      <c r="P1226" s="3"/>
      <c r="Q1226" s="3"/>
      <c r="R1226" s="3"/>
      <c r="S1226" s="3"/>
      <c r="T1226" s="3"/>
      <c r="U1226" s="3"/>
    </row>
    <row r="1227">
      <c r="A1227" s="3"/>
      <c r="B1227" s="3"/>
      <c r="C1227" s="3"/>
      <c r="D1227" s="3"/>
      <c r="E1227" s="3"/>
      <c r="F1227" s="3"/>
      <c r="G1227" s="3"/>
      <c r="H1227" s="3"/>
      <c r="K1227" s="3"/>
      <c r="L1227" s="3"/>
      <c r="M1227" s="3"/>
      <c r="N1227" s="3"/>
      <c r="O1227" s="3"/>
      <c r="P1227" s="3"/>
      <c r="Q1227" s="3"/>
      <c r="R1227" s="3"/>
      <c r="S1227" s="3"/>
      <c r="T1227" s="3"/>
      <c r="U1227" s="3"/>
    </row>
    <row r="1228">
      <c r="A1228" s="3"/>
      <c r="B1228" s="3"/>
      <c r="C1228" s="3"/>
      <c r="D1228" s="3"/>
      <c r="E1228" s="3"/>
      <c r="F1228" s="3"/>
      <c r="G1228" s="3"/>
      <c r="H1228" s="3"/>
      <c r="K1228" s="3"/>
      <c r="L1228" s="3"/>
      <c r="M1228" s="3"/>
      <c r="N1228" s="3"/>
      <c r="O1228" s="3"/>
      <c r="P1228" s="3"/>
      <c r="Q1228" s="3"/>
      <c r="R1228" s="3"/>
      <c r="S1228" s="3"/>
      <c r="T1228" s="3"/>
      <c r="U1228" s="3"/>
    </row>
    <row r="1229">
      <c r="A1229" s="3"/>
      <c r="B1229" s="3"/>
      <c r="C1229" s="3"/>
      <c r="D1229" s="3"/>
      <c r="E1229" s="3"/>
      <c r="F1229" s="3"/>
      <c r="G1229" s="3"/>
      <c r="H1229" s="3"/>
      <c r="K1229" s="3"/>
      <c r="L1229" s="3"/>
      <c r="M1229" s="3"/>
      <c r="N1229" s="3"/>
      <c r="O1229" s="3"/>
      <c r="P1229" s="3"/>
      <c r="Q1229" s="3"/>
      <c r="R1229" s="3"/>
      <c r="S1229" s="3"/>
      <c r="T1229" s="3"/>
      <c r="U1229" s="3"/>
    </row>
    <row r="1230">
      <c r="A1230" s="3"/>
      <c r="B1230" s="3"/>
      <c r="C1230" s="3"/>
      <c r="D1230" s="3"/>
      <c r="E1230" s="3"/>
      <c r="F1230" s="3"/>
      <c r="G1230" s="3"/>
      <c r="H1230" s="3"/>
      <c r="K1230" s="3"/>
      <c r="L1230" s="3"/>
      <c r="M1230" s="3"/>
      <c r="N1230" s="3"/>
      <c r="O1230" s="3"/>
      <c r="P1230" s="3"/>
      <c r="Q1230" s="3"/>
      <c r="R1230" s="3"/>
      <c r="S1230" s="3"/>
      <c r="T1230" s="3"/>
      <c r="U1230" s="3"/>
    </row>
    <row r="1231">
      <c r="A1231" s="3"/>
      <c r="B1231" s="3"/>
      <c r="C1231" s="3"/>
      <c r="D1231" s="3"/>
      <c r="E1231" s="3"/>
      <c r="F1231" s="3"/>
      <c r="G1231" s="3"/>
      <c r="H1231" s="3"/>
      <c r="K1231" s="3"/>
      <c r="L1231" s="3"/>
      <c r="M1231" s="3"/>
      <c r="N1231" s="3"/>
      <c r="O1231" s="3"/>
      <c r="P1231" s="3"/>
      <c r="Q1231" s="3"/>
      <c r="R1231" s="3"/>
      <c r="S1231" s="3"/>
      <c r="T1231" s="3"/>
      <c r="U1231" s="3"/>
    </row>
    <row r="1232">
      <c r="A1232" s="3"/>
      <c r="B1232" s="3"/>
      <c r="C1232" s="3"/>
      <c r="D1232" s="3"/>
      <c r="E1232" s="3"/>
      <c r="F1232" s="3"/>
      <c r="G1232" s="3"/>
      <c r="H1232" s="3"/>
      <c r="K1232" s="3"/>
      <c r="L1232" s="3"/>
      <c r="M1232" s="3"/>
      <c r="N1232" s="3"/>
      <c r="O1232" s="3"/>
      <c r="P1232" s="3"/>
      <c r="Q1232" s="3"/>
      <c r="R1232" s="3"/>
      <c r="S1232" s="3"/>
      <c r="T1232" s="3"/>
      <c r="U1232" s="3"/>
    </row>
    <row r="1233">
      <c r="A1233" s="3"/>
      <c r="B1233" s="3"/>
      <c r="C1233" s="3"/>
      <c r="D1233" s="3"/>
      <c r="E1233" s="3"/>
      <c r="F1233" s="3"/>
      <c r="G1233" s="3"/>
      <c r="H1233" s="3"/>
      <c r="K1233" s="3"/>
      <c r="L1233" s="3"/>
      <c r="M1233" s="3"/>
      <c r="N1233" s="3"/>
      <c r="O1233" s="3"/>
      <c r="P1233" s="3"/>
      <c r="Q1233" s="3"/>
      <c r="R1233" s="3"/>
      <c r="S1233" s="3"/>
      <c r="T1233" s="3"/>
      <c r="U1233" s="3"/>
    </row>
    <row r="1234">
      <c r="A1234" s="3"/>
      <c r="B1234" s="3"/>
      <c r="C1234" s="3"/>
      <c r="D1234" s="3"/>
      <c r="E1234" s="3"/>
      <c r="F1234" s="3"/>
      <c r="G1234" s="3"/>
      <c r="H1234" s="3"/>
      <c r="K1234" s="3"/>
      <c r="L1234" s="3"/>
      <c r="M1234" s="3"/>
      <c r="N1234" s="3"/>
      <c r="O1234" s="3"/>
      <c r="P1234" s="3"/>
      <c r="Q1234" s="3"/>
      <c r="R1234" s="3"/>
      <c r="S1234" s="3"/>
      <c r="T1234" s="3"/>
      <c r="U1234" s="3"/>
    </row>
    <row r="1235">
      <c r="A1235" s="3"/>
      <c r="B1235" s="3"/>
      <c r="C1235" s="3"/>
      <c r="D1235" s="3"/>
      <c r="E1235" s="3"/>
      <c r="F1235" s="3"/>
      <c r="G1235" s="3"/>
      <c r="H1235" s="3"/>
      <c r="K1235" s="3"/>
      <c r="L1235" s="3"/>
      <c r="M1235" s="3"/>
      <c r="N1235" s="3"/>
      <c r="O1235" s="3"/>
      <c r="P1235" s="3"/>
      <c r="Q1235" s="3"/>
      <c r="R1235" s="3"/>
      <c r="S1235" s="3"/>
      <c r="T1235" s="3"/>
      <c r="U1235" s="3"/>
    </row>
    <row r="1236">
      <c r="A1236" s="3"/>
      <c r="B1236" s="3"/>
      <c r="C1236" s="3"/>
      <c r="D1236" s="3"/>
      <c r="E1236" s="3"/>
      <c r="F1236" s="3"/>
      <c r="G1236" s="3"/>
      <c r="H1236" s="3"/>
      <c r="K1236" s="3"/>
      <c r="L1236" s="3"/>
      <c r="M1236" s="3"/>
      <c r="N1236" s="3"/>
      <c r="O1236" s="3"/>
      <c r="P1236" s="3"/>
      <c r="Q1236" s="3"/>
      <c r="R1236" s="3"/>
      <c r="S1236" s="3"/>
      <c r="T1236" s="3"/>
      <c r="U1236" s="3"/>
    </row>
    <row r="1237">
      <c r="A1237" s="3"/>
      <c r="B1237" s="3"/>
      <c r="C1237" s="3"/>
      <c r="D1237" s="3"/>
      <c r="E1237" s="3"/>
      <c r="F1237" s="3"/>
      <c r="G1237" s="3"/>
      <c r="H1237" s="3"/>
      <c r="K1237" s="3"/>
      <c r="L1237" s="3"/>
      <c r="M1237" s="3"/>
      <c r="N1237" s="3"/>
      <c r="O1237" s="3"/>
      <c r="P1237" s="3"/>
      <c r="Q1237" s="3"/>
      <c r="R1237" s="3"/>
      <c r="S1237" s="3"/>
      <c r="T1237" s="3"/>
      <c r="U1237" s="3"/>
    </row>
    <row r="1238">
      <c r="A1238" s="3"/>
      <c r="B1238" s="3"/>
      <c r="C1238" s="3"/>
      <c r="D1238" s="3"/>
      <c r="E1238" s="3"/>
      <c r="F1238" s="3"/>
      <c r="G1238" s="3"/>
      <c r="H1238" s="3"/>
      <c r="K1238" s="3"/>
      <c r="L1238" s="3"/>
      <c r="M1238" s="3"/>
      <c r="N1238" s="3"/>
      <c r="O1238" s="3"/>
      <c r="P1238" s="3"/>
      <c r="Q1238" s="3"/>
      <c r="R1238" s="3"/>
      <c r="S1238" s="3"/>
      <c r="T1238" s="3"/>
      <c r="U1238" s="3"/>
    </row>
    <row r="1239">
      <c r="A1239" s="3"/>
      <c r="B1239" s="3"/>
      <c r="C1239" s="3"/>
      <c r="D1239" s="3"/>
      <c r="E1239" s="3"/>
      <c r="F1239" s="3"/>
      <c r="G1239" s="3"/>
      <c r="H1239" s="3"/>
      <c r="K1239" s="3"/>
      <c r="L1239" s="3"/>
      <c r="M1239" s="3"/>
      <c r="N1239" s="3"/>
      <c r="O1239" s="3"/>
      <c r="P1239" s="3"/>
      <c r="Q1239" s="3"/>
      <c r="R1239" s="3"/>
      <c r="S1239" s="3"/>
      <c r="T1239" s="3"/>
      <c r="U1239" s="3"/>
    </row>
    <row r="1240">
      <c r="A1240" s="3"/>
      <c r="B1240" s="3"/>
      <c r="C1240" s="3"/>
      <c r="D1240" s="3"/>
      <c r="E1240" s="3"/>
      <c r="F1240" s="3"/>
      <c r="G1240" s="3"/>
      <c r="H1240" s="3"/>
      <c r="K1240" s="3"/>
      <c r="L1240" s="3"/>
      <c r="M1240" s="3"/>
      <c r="N1240" s="3"/>
      <c r="O1240" s="3"/>
      <c r="P1240" s="3"/>
      <c r="Q1240" s="3"/>
      <c r="R1240" s="3"/>
      <c r="S1240" s="3"/>
      <c r="T1240" s="3"/>
      <c r="U1240" s="3"/>
    </row>
    <row r="1241">
      <c r="A1241" s="3"/>
      <c r="B1241" s="3"/>
      <c r="C1241" s="3"/>
      <c r="D1241" s="3"/>
      <c r="E1241" s="3"/>
      <c r="F1241" s="3"/>
      <c r="G1241" s="3"/>
      <c r="H1241" s="3"/>
      <c r="K1241" s="3"/>
      <c r="L1241" s="3"/>
      <c r="M1241" s="3"/>
      <c r="N1241" s="3"/>
      <c r="O1241" s="3"/>
      <c r="P1241" s="3"/>
      <c r="Q1241" s="3"/>
      <c r="R1241" s="3"/>
      <c r="S1241" s="3"/>
      <c r="T1241" s="3"/>
      <c r="U1241" s="3"/>
    </row>
    <row r="1242">
      <c r="A1242" s="3"/>
      <c r="B1242" s="3"/>
      <c r="C1242" s="3"/>
      <c r="D1242" s="3"/>
      <c r="E1242" s="3"/>
      <c r="F1242" s="3"/>
      <c r="G1242" s="3"/>
      <c r="H1242" s="3"/>
      <c r="K1242" s="3"/>
      <c r="L1242" s="3"/>
      <c r="M1242" s="3"/>
      <c r="N1242" s="3"/>
      <c r="O1242" s="3"/>
      <c r="P1242" s="3"/>
      <c r="Q1242" s="3"/>
      <c r="R1242" s="3"/>
      <c r="S1242" s="3"/>
      <c r="T1242" s="3"/>
      <c r="U1242" s="3"/>
    </row>
    <row r="1243">
      <c r="A1243" s="3"/>
      <c r="B1243" s="3"/>
      <c r="C1243" s="3"/>
      <c r="D1243" s="3"/>
      <c r="E1243" s="3"/>
      <c r="F1243" s="3"/>
      <c r="G1243" s="3"/>
      <c r="H1243" s="3"/>
      <c r="K1243" s="3"/>
      <c r="L1243" s="3"/>
      <c r="M1243" s="3"/>
      <c r="N1243" s="3"/>
      <c r="O1243" s="3"/>
      <c r="P1243" s="3"/>
      <c r="Q1243" s="3"/>
      <c r="R1243" s="3"/>
      <c r="S1243" s="3"/>
      <c r="T1243" s="3"/>
      <c r="U1243" s="3"/>
    </row>
    <row r="1244">
      <c r="A1244" s="3"/>
      <c r="B1244" s="3"/>
      <c r="C1244" s="3"/>
      <c r="D1244" s="3"/>
      <c r="E1244" s="3"/>
      <c r="F1244" s="3"/>
      <c r="G1244" s="3"/>
      <c r="H1244" s="3"/>
      <c r="K1244" s="3"/>
      <c r="L1244" s="3"/>
      <c r="M1244" s="3"/>
      <c r="N1244" s="3"/>
      <c r="O1244" s="3"/>
      <c r="P1244" s="3"/>
      <c r="Q1244" s="3"/>
      <c r="R1244" s="3"/>
      <c r="S1244" s="3"/>
      <c r="T1244" s="3"/>
      <c r="U1244" s="3"/>
    </row>
    <row r="1245">
      <c r="A1245" s="3"/>
      <c r="B1245" s="3"/>
      <c r="C1245" s="3"/>
      <c r="D1245" s="3"/>
      <c r="E1245" s="3"/>
      <c r="F1245" s="3"/>
      <c r="G1245" s="3"/>
      <c r="H1245" s="3"/>
      <c r="K1245" s="3"/>
      <c r="L1245" s="3"/>
      <c r="M1245" s="3"/>
      <c r="N1245" s="3"/>
      <c r="O1245" s="3"/>
      <c r="P1245" s="3"/>
      <c r="Q1245" s="3"/>
      <c r="R1245" s="3"/>
      <c r="S1245" s="3"/>
      <c r="T1245" s="3"/>
      <c r="U1245" s="3"/>
    </row>
    <row r="1246">
      <c r="A1246" s="3"/>
      <c r="B1246" s="3"/>
      <c r="C1246" s="3"/>
      <c r="D1246" s="3"/>
      <c r="E1246" s="3"/>
      <c r="F1246" s="3"/>
      <c r="G1246" s="3"/>
      <c r="H1246" s="3"/>
      <c r="K1246" s="3"/>
      <c r="L1246" s="3"/>
      <c r="M1246" s="3"/>
      <c r="N1246" s="3"/>
      <c r="O1246" s="3"/>
      <c r="P1246" s="3"/>
      <c r="Q1246" s="3"/>
      <c r="R1246" s="3"/>
      <c r="S1246" s="3"/>
      <c r="T1246" s="3"/>
      <c r="U1246" s="3"/>
    </row>
    <row r="1247">
      <c r="A1247" s="3"/>
      <c r="B1247" s="3"/>
      <c r="C1247" s="3"/>
      <c r="D1247" s="3"/>
      <c r="E1247" s="3"/>
      <c r="F1247" s="3"/>
      <c r="G1247" s="3"/>
      <c r="H1247" s="3"/>
      <c r="K1247" s="3"/>
      <c r="L1247" s="3"/>
      <c r="M1247" s="3"/>
      <c r="N1247" s="3"/>
      <c r="O1247" s="3"/>
      <c r="P1247" s="3"/>
      <c r="Q1247" s="3"/>
      <c r="R1247" s="3"/>
      <c r="S1247" s="3"/>
      <c r="T1247" s="3"/>
      <c r="U1247" s="3"/>
    </row>
    <row r="1248">
      <c r="A1248" s="3"/>
      <c r="B1248" s="3"/>
      <c r="C1248" s="3"/>
      <c r="D1248" s="3"/>
      <c r="E1248" s="3"/>
      <c r="F1248" s="3"/>
      <c r="G1248" s="3"/>
      <c r="H1248" s="3"/>
      <c r="K1248" s="3"/>
      <c r="L1248" s="3"/>
      <c r="M1248" s="3"/>
      <c r="N1248" s="3"/>
      <c r="O1248" s="3"/>
      <c r="P1248" s="3"/>
      <c r="Q1248" s="3"/>
      <c r="R1248" s="3"/>
      <c r="S1248" s="3"/>
      <c r="T1248" s="3"/>
      <c r="U1248" s="3"/>
    </row>
    <row r="1249">
      <c r="A1249" s="3"/>
      <c r="B1249" s="3"/>
      <c r="C1249" s="3"/>
      <c r="D1249" s="3"/>
      <c r="E1249" s="3"/>
      <c r="F1249" s="3"/>
      <c r="G1249" s="3"/>
      <c r="H1249" s="3"/>
      <c r="K1249" s="3"/>
      <c r="L1249" s="3"/>
      <c r="M1249" s="3"/>
      <c r="N1249" s="3"/>
      <c r="O1249" s="3"/>
      <c r="P1249" s="3"/>
      <c r="Q1249" s="3"/>
      <c r="R1249" s="3"/>
      <c r="S1249" s="3"/>
      <c r="T1249" s="3"/>
      <c r="U1249" s="3"/>
    </row>
    <row r="1250">
      <c r="A1250" s="3"/>
      <c r="B1250" s="3"/>
      <c r="C1250" s="3"/>
      <c r="D1250" s="3"/>
      <c r="E1250" s="3"/>
      <c r="F1250" s="3"/>
      <c r="G1250" s="3"/>
      <c r="H1250" s="3"/>
      <c r="K1250" s="3"/>
      <c r="L1250" s="3"/>
      <c r="M1250" s="3"/>
      <c r="N1250" s="3"/>
      <c r="O1250" s="3"/>
      <c r="P1250" s="3"/>
      <c r="Q1250" s="3"/>
      <c r="R1250" s="3"/>
      <c r="S1250" s="3"/>
      <c r="T1250" s="3"/>
      <c r="U1250" s="3"/>
    </row>
    <row r="1251">
      <c r="A1251" s="3"/>
      <c r="B1251" s="3"/>
      <c r="C1251" s="3"/>
      <c r="D1251" s="3"/>
      <c r="E1251" s="3"/>
      <c r="F1251" s="3"/>
      <c r="G1251" s="3"/>
      <c r="H1251" s="3"/>
      <c r="K1251" s="3"/>
      <c r="L1251" s="3"/>
      <c r="M1251" s="3"/>
      <c r="N1251" s="3"/>
      <c r="O1251" s="3"/>
      <c r="P1251" s="3"/>
      <c r="Q1251" s="3"/>
      <c r="R1251" s="3"/>
      <c r="S1251" s="3"/>
      <c r="T1251" s="3"/>
      <c r="U1251" s="3"/>
    </row>
    <row r="1252">
      <c r="A1252" s="3"/>
      <c r="B1252" s="3"/>
      <c r="C1252" s="3"/>
      <c r="D1252" s="3"/>
      <c r="E1252" s="3"/>
      <c r="F1252" s="3"/>
      <c r="G1252" s="3"/>
      <c r="H1252" s="3"/>
      <c r="K1252" s="3"/>
      <c r="L1252" s="3"/>
      <c r="M1252" s="3"/>
      <c r="N1252" s="3"/>
      <c r="O1252" s="3"/>
      <c r="P1252" s="3"/>
      <c r="Q1252" s="3"/>
      <c r="R1252" s="3"/>
      <c r="S1252" s="3"/>
      <c r="T1252" s="3"/>
      <c r="U1252" s="3"/>
    </row>
    <row r="1253">
      <c r="A1253" s="3"/>
      <c r="B1253" s="3"/>
      <c r="C1253" s="3"/>
      <c r="D1253" s="3"/>
      <c r="E1253" s="3"/>
      <c r="F1253" s="3"/>
      <c r="G1253" s="3"/>
      <c r="H1253" s="3"/>
      <c r="K1253" s="3"/>
      <c r="L1253" s="3"/>
      <c r="M1253" s="3"/>
      <c r="N1253" s="3"/>
      <c r="O1253" s="3"/>
      <c r="P1253" s="3"/>
      <c r="Q1253" s="3"/>
      <c r="R1253" s="3"/>
      <c r="S1253" s="3"/>
      <c r="T1253" s="3"/>
      <c r="U1253" s="3"/>
    </row>
    <row r="1254">
      <c r="A1254" s="3"/>
      <c r="B1254" s="3"/>
      <c r="C1254" s="3"/>
      <c r="D1254" s="3"/>
      <c r="E1254" s="3"/>
      <c r="F1254" s="3"/>
      <c r="G1254" s="3"/>
      <c r="H1254" s="3"/>
      <c r="K1254" s="3"/>
      <c r="L1254" s="3"/>
      <c r="M1254" s="3"/>
      <c r="N1254" s="3"/>
      <c r="O1254" s="3"/>
      <c r="P1254" s="3"/>
      <c r="Q1254" s="3"/>
      <c r="R1254" s="3"/>
      <c r="S1254" s="3"/>
      <c r="T1254" s="3"/>
      <c r="U1254" s="3"/>
    </row>
    <row r="1255">
      <c r="A1255" s="3"/>
      <c r="B1255" s="3"/>
      <c r="C1255" s="3"/>
      <c r="D1255" s="3"/>
      <c r="E1255" s="3"/>
      <c r="F1255" s="3"/>
      <c r="G1255" s="3"/>
      <c r="H1255" s="3"/>
      <c r="K1255" s="3"/>
      <c r="L1255" s="3"/>
      <c r="M1255" s="3"/>
      <c r="N1255" s="3"/>
      <c r="O1255" s="3"/>
      <c r="P1255" s="3"/>
      <c r="Q1255" s="3"/>
      <c r="R1255" s="3"/>
      <c r="S1255" s="3"/>
      <c r="T1255" s="3"/>
      <c r="U1255" s="3"/>
    </row>
    <row r="1256">
      <c r="A1256" s="3"/>
      <c r="B1256" s="3"/>
      <c r="C1256" s="3"/>
      <c r="D1256" s="3"/>
      <c r="E1256" s="3"/>
      <c r="F1256" s="3"/>
      <c r="G1256" s="3"/>
      <c r="H1256" s="3"/>
      <c r="K1256" s="3"/>
      <c r="L1256" s="3"/>
      <c r="M1256" s="3"/>
      <c r="N1256" s="3"/>
      <c r="O1256" s="3"/>
      <c r="P1256" s="3"/>
      <c r="Q1256" s="3"/>
      <c r="R1256" s="3"/>
      <c r="S1256" s="3"/>
      <c r="T1256" s="3"/>
      <c r="U1256" s="3"/>
    </row>
    <row r="1257">
      <c r="A1257" s="3"/>
      <c r="B1257" s="3"/>
      <c r="C1257" s="3"/>
      <c r="D1257" s="3"/>
      <c r="E1257" s="3"/>
      <c r="F1257" s="3"/>
      <c r="G1257" s="3"/>
      <c r="H1257" s="3"/>
      <c r="K1257" s="3"/>
      <c r="L1257" s="3"/>
      <c r="M1257" s="3"/>
      <c r="N1257" s="3"/>
      <c r="O1257" s="3"/>
      <c r="P1257" s="3"/>
      <c r="Q1257" s="3"/>
      <c r="R1257" s="3"/>
      <c r="S1257" s="3"/>
      <c r="T1257" s="3"/>
      <c r="U1257" s="3"/>
    </row>
    <row r="1258">
      <c r="A1258" s="3"/>
      <c r="B1258" s="3"/>
      <c r="C1258" s="3"/>
      <c r="D1258" s="3"/>
      <c r="E1258" s="3"/>
      <c r="F1258" s="3"/>
      <c r="G1258" s="3"/>
      <c r="H1258" s="3"/>
      <c r="K1258" s="3"/>
      <c r="L1258" s="3"/>
      <c r="M1258" s="3"/>
      <c r="N1258" s="3"/>
      <c r="O1258" s="3"/>
      <c r="P1258" s="3"/>
      <c r="Q1258" s="3"/>
      <c r="R1258" s="3"/>
      <c r="S1258" s="3"/>
      <c r="T1258" s="3"/>
      <c r="U1258" s="3"/>
    </row>
    <row r="1259">
      <c r="A1259" s="3"/>
      <c r="B1259" s="3"/>
      <c r="C1259" s="3"/>
      <c r="D1259" s="3"/>
      <c r="E1259" s="3"/>
      <c r="F1259" s="3"/>
      <c r="G1259" s="3"/>
      <c r="H1259" s="3"/>
      <c r="K1259" s="3"/>
      <c r="L1259" s="3"/>
      <c r="M1259" s="3"/>
      <c r="N1259" s="3"/>
      <c r="O1259" s="3"/>
      <c r="P1259" s="3"/>
      <c r="Q1259" s="3"/>
      <c r="R1259" s="3"/>
      <c r="S1259" s="3"/>
      <c r="T1259" s="3"/>
      <c r="U1259" s="3"/>
    </row>
    <row r="1260">
      <c r="A1260" s="3"/>
      <c r="B1260" s="3"/>
      <c r="C1260" s="3"/>
      <c r="D1260" s="3"/>
      <c r="E1260" s="3"/>
      <c r="F1260" s="3"/>
      <c r="G1260" s="3"/>
      <c r="H1260" s="3"/>
      <c r="K1260" s="3"/>
      <c r="L1260" s="3"/>
      <c r="M1260" s="3"/>
      <c r="N1260" s="3"/>
      <c r="O1260" s="3"/>
      <c r="P1260" s="3"/>
      <c r="Q1260" s="3"/>
      <c r="R1260" s="3"/>
      <c r="S1260" s="3"/>
      <c r="T1260" s="3"/>
      <c r="U1260" s="3"/>
    </row>
    <row r="1261">
      <c r="A1261" s="3"/>
      <c r="B1261" s="3"/>
      <c r="C1261" s="3"/>
      <c r="D1261" s="3"/>
      <c r="E1261" s="3"/>
      <c r="F1261" s="3"/>
      <c r="G1261" s="3"/>
      <c r="H1261" s="3"/>
      <c r="K1261" s="3"/>
      <c r="L1261" s="3"/>
      <c r="M1261" s="3"/>
      <c r="N1261" s="3"/>
      <c r="O1261" s="3"/>
      <c r="P1261" s="3"/>
      <c r="Q1261" s="3"/>
      <c r="R1261" s="3"/>
      <c r="S1261" s="3"/>
      <c r="T1261" s="3"/>
      <c r="U1261" s="3"/>
    </row>
    <row r="1262">
      <c r="A1262" s="3"/>
      <c r="B1262" s="3"/>
      <c r="C1262" s="3"/>
      <c r="D1262" s="3"/>
      <c r="E1262" s="3"/>
      <c r="F1262" s="3"/>
      <c r="G1262" s="3"/>
      <c r="H1262" s="3"/>
      <c r="K1262" s="3"/>
      <c r="L1262" s="3"/>
      <c r="M1262" s="3"/>
      <c r="N1262" s="3"/>
      <c r="O1262" s="3"/>
      <c r="P1262" s="3"/>
      <c r="Q1262" s="3"/>
      <c r="R1262" s="3"/>
      <c r="S1262" s="3"/>
      <c r="T1262" s="3"/>
      <c r="U1262" s="3"/>
    </row>
    <row r="1263">
      <c r="A1263" s="3"/>
      <c r="B1263" s="3"/>
      <c r="C1263" s="3"/>
      <c r="D1263" s="3"/>
      <c r="E1263" s="3"/>
      <c r="F1263" s="3"/>
      <c r="G1263" s="3"/>
      <c r="H1263" s="3"/>
      <c r="K1263" s="3"/>
      <c r="L1263" s="3"/>
      <c r="M1263" s="3"/>
      <c r="N1263" s="3"/>
      <c r="O1263" s="3"/>
      <c r="P1263" s="3"/>
      <c r="Q1263" s="3"/>
      <c r="R1263" s="3"/>
      <c r="S1263" s="3"/>
      <c r="T1263" s="3"/>
      <c r="U1263" s="3"/>
    </row>
    <row r="1264">
      <c r="A1264" s="3"/>
      <c r="B1264" s="3"/>
      <c r="C1264" s="3"/>
      <c r="D1264" s="3"/>
      <c r="E1264" s="3"/>
      <c r="F1264" s="3"/>
      <c r="G1264" s="3"/>
      <c r="H1264" s="3"/>
      <c r="K1264" s="3"/>
      <c r="L1264" s="3"/>
      <c r="M1264" s="3"/>
      <c r="N1264" s="3"/>
      <c r="O1264" s="3"/>
      <c r="P1264" s="3"/>
      <c r="Q1264" s="3"/>
      <c r="R1264" s="3"/>
      <c r="S1264" s="3"/>
      <c r="T1264" s="3"/>
      <c r="U1264" s="3"/>
    </row>
    <row r="1265">
      <c r="A1265" s="3"/>
      <c r="B1265" s="3"/>
      <c r="C1265" s="3"/>
      <c r="D1265" s="3"/>
      <c r="E1265" s="3"/>
      <c r="F1265" s="3"/>
      <c r="G1265" s="3"/>
      <c r="H1265" s="3"/>
      <c r="K1265" s="3"/>
      <c r="L1265" s="3"/>
      <c r="M1265" s="3"/>
      <c r="N1265" s="3"/>
      <c r="O1265" s="3"/>
      <c r="P1265" s="3"/>
      <c r="Q1265" s="3"/>
      <c r="R1265" s="3"/>
      <c r="S1265" s="3"/>
      <c r="T1265" s="3"/>
      <c r="U1265" s="3"/>
    </row>
    <row r="1266">
      <c r="A1266" s="3"/>
      <c r="B1266" s="3"/>
      <c r="C1266" s="3"/>
      <c r="D1266" s="3"/>
      <c r="E1266" s="3"/>
      <c r="F1266" s="3"/>
      <c r="G1266" s="3"/>
      <c r="H1266" s="3"/>
      <c r="K1266" s="3"/>
      <c r="L1266" s="3"/>
      <c r="M1266" s="3"/>
      <c r="N1266" s="3"/>
      <c r="O1266" s="3"/>
      <c r="P1266" s="3"/>
      <c r="Q1266" s="3"/>
      <c r="R1266" s="3"/>
      <c r="S1266" s="3"/>
      <c r="T1266" s="3"/>
      <c r="U1266" s="3"/>
    </row>
    <row r="1267">
      <c r="A1267" s="3"/>
      <c r="B1267" s="3"/>
      <c r="C1267" s="3"/>
      <c r="D1267" s="3"/>
      <c r="E1267" s="3"/>
      <c r="F1267" s="3"/>
      <c r="G1267" s="3"/>
      <c r="H1267" s="3"/>
      <c r="K1267" s="3"/>
      <c r="L1267" s="3"/>
      <c r="M1267" s="3"/>
      <c r="N1267" s="3"/>
      <c r="O1267" s="3"/>
      <c r="P1267" s="3"/>
      <c r="Q1267" s="3"/>
      <c r="R1267" s="3"/>
      <c r="S1267" s="3"/>
      <c r="T1267" s="3"/>
      <c r="U1267" s="3"/>
    </row>
    <row r="1268">
      <c r="A1268" s="3"/>
      <c r="B1268" s="3"/>
      <c r="C1268" s="3"/>
      <c r="D1268" s="3"/>
      <c r="E1268" s="3"/>
      <c r="F1268" s="3"/>
      <c r="G1268" s="3"/>
      <c r="H1268" s="3"/>
      <c r="K1268" s="3"/>
      <c r="L1268" s="3"/>
      <c r="M1268" s="3"/>
      <c r="N1268" s="3"/>
      <c r="O1268" s="3"/>
      <c r="P1268" s="3"/>
      <c r="Q1268" s="3"/>
      <c r="R1268" s="3"/>
      <c r="S1268" s="3"/>
      <c r="T1268" s="3"/>
      <c r="U1268" s="3"/>
    </row>
    <row r="1269">
      <c r="A1269" s="3"/>
      <c r="B1269" s="3"/>
      <c r="C1269" s="3"/>
      <c r="D1269" s="3"/>
      <c r="E1269" s="3"/>
      <c r="F1269" s="3"/>
      <c r="G1269" s="3"/>
      <c r="H1269" s="3"/>
      <c r="K1269" s="3"/>
      <c r="L1269" s="3"/>
      <c r="M1269" s="3"/>
      <c r="N1269" s="3"/>
      <c r="O1269" s="3"/>
      <c r="P1269" s="3"/>
      <c r="Q1269" s="3"/>
      <c r="R1269" s="3"/>
      <c r="S1269" s="3"/>
      <c r="T1269" s="3"/>
      <c r="U1269" s="3"/>
    </row>
    <row r="1270">
      <c r="A1270" s="3"/>
      <c r="B1270" s="3"/>
      <c r="C1270" s="3"/>
      <c r="D1270" s="3"/>
      <c r="E1270" s="3"/>
      <c r="F1270" s="3"/>
      <c r="G1270" s="3"/>
      <c r="H1270" s="3"/>
      <c r="K1270" s="3"/>
      <c r="L1270" s="3"/>
      <c r="M1270" s="3"/>
      <c r="N1270" s="3"/>
      <c r="O1270" s="3"/>
      <c r="P1270" s="3"/>
      <c r="Q1270" s="3"/>
      <c r="R1270" s="3"/>
      <c r="S1270" s="3"/>
      <c r="T1270" s="3"/>
      <c r="U1270" s="3"/>
    </row>
    <row r="1271">
      <c r="A1271" s="3"/>
      <c r="B1271" s="3"/>
      <c r="C1271" s="3"/>
      <c r="D1271" s="3"/>
      <c r="E1271" s="3"/>
      <c r="F1271" s="3"/>
      <c r="G1271" s="3"/>
      <c r="H1271" s="3"/>
      <c r="K1271" s="3"/>
      <c r="L1271" s="3"/>
      <c r="M1271" s="3"/>
      <c r="N1271" s="3"/>
      <c r="O1271" s="3"/>
      <c r="P1271" s="3"/>
      <c r="Q1271" s="3"/>
      <c r="R1271" s="3"/>
      <c r="S1271" s="3"/>
      <c r="T1271" s="3"/>
      <c r="U1271" s="3"/>
    </row>
    <row r="1272">
      <c r="A1272" s="3"/>
      <c r="B1272" s="3"/>
      <c r="C1272" s="3"/>
      <c r="D1272" s="3"/>
      <c r="E1272" s="3"/>
      <c r="F1272" s="3"/>
      <c r="G1272" s="3"/>
      <c r="H1272" s="3"/>
      <c r="K1272" s="3"/>
      <c r="L1272" s="3"/>
      <c r="M1272" s="3"/>
      <c r="N1272" s="3"/>
      <c r="O1272" s="3"/>
      <c r="P1272" s="3"/>
      <c r="Q1272" s="3"/>
      <c r="R1272" s="3"/>
      <c r="S1272" s="3"/>
      <c r="T1272" s="3"/>
      <c r="U1272" s="3"/>
    </row>
    <row r="1273">
      <c r="A1273" s="3"/>
      <c r="B1273" s="3"/>
      <c r="C1273" s="3"/>
      <c r="D1273" s="3"/>
      <c r="E1273" s="3"/>
      <c r="F1273" s="3"/>
      <c r="G1273" s="3"/>
      <c r="H1273" s="3"/>
      <c r="K1273" s="3"/>
      <c r="L1273" s="3"/>
      <c r="M1273" s="3"/>
      <c r="N1273" s="3"/>
      <c r="O1273" s="3"/>
      <c r="P1273" s="3"/>
      <c r="Q1273" s="3"/>
      <c r="R1273" s="3"/>
      <c r="S1273" s="3"/>
      <c r="T1273" s="3"/>
      <c r="U1273" s="3"/>
    </row>
    <row r="1274">
      <c r="A1274" s="3"/>
      <c r="B1274" s="3"/>
      <c r="C1274" s="3"/>
      <c r="D1274" s="3"/>
      <c r="E1274" s="3"/>
      <c r="F1274" s="3"/>
      <c r="G1274" s="3"/>
      <c r="H1274" s="3"/>
      <c r="K1274" s="3"/>
      <c r="L1274" s="3"/>
      <c r="M1274" s="3"/>
      <c r="N1274" s="3"/>
      <c r="O1274" s="3"/>
      <c r="P1274" s="3"/>
      <c r="Q1274" s="3"/>
      <c r="R1274" s="3"/>
      <c r="S1274" s="3"/>
      <c r="T1274" s="3"/>
      <c r="U1274" s="3"/>
    </row>
    <row r="1275">
      <c r="A1275" s="3"/>
      <c r="B1275" s="3"/>
      <c r="C1275" s="3"/>
      <c r="D1275" s="3"/>
      <c r="E1275" s="3"/>
      <c r="F1275" s="3"/>
      <c r="G1275" s="3"/>
      <c r="H1275" s="3"/>
      <c r="K1275" s="3"/>
      <c r="L1275" s="3"/>
      <c r="M1275" s="3"/>
      <c r="N1275" s="3"/>
      <c r="O1275" s="3"/>
      <c r="P1275" s="3"/>
      <c r="Q1275" s="3"/>
      <c r="R1275" s="3"/>
      <c r="S1275" s="3"/>
      <c r="T1275" s="3"/>
      <c r="U1275" s="3"/>
    </row>
    <row r="1276">
      <c r="A1276" s="3"/>
      <c r="B1276" s="3"/>
      <c r="C1276" s="3"/>
      <c r="D1276" s="3"/>
      <c r="E1276" s="3"/>
      <c r="F1276" s="3"/>
      <c r="G1276" s="3"/>
      <c r="H1276" s="3"/>
      <c r="K1276" s="3"/>
      <c r="L1276" s="3"/>
      <c r="M1276" s="3"/>
      <c r="N1276" s="3"/>
      <c r="O1276" s="3"/>
      <c r="P1276" s="3"/>
      <c r="Q1276" s="3"/>
      <c r="R1276" s="3"/>
      <c r="S1276" s="3"/>
      <c r="T1276" s="3"/>
      <c r="U1276" s="3"/>
    </row>
    <row r="1277">
      <c r="A1277" s="3"/>
      <c r="B1277" s="3"/>
      <c r="C1277" s="3"/>
      <c r="D1277" s="3"/>
      <c r="E1277" s="3"/>
      <c r="F1277" s="3"/>
      <c r="G1277" s="3"/>
      <c r="H1277" s="3"/>
      <c r="K1277" s="3"/>
      <c r="L1277" s="3"/>
      <c r="M1277" s="3"/>
      <c r="N1277" s="3"/>
      <c r="O1277" s="3"/>
      <c r="P1277" s="3"/>
      <c r="Q1277" s="3"/>
      <c r="R1277" s="3"/>
      <c r="S1277" s="3"/>
      <c r="T1277" s="3"/>
      <c r="U1277" s="3"/>
    </row>
    <row r="1278">
      <c r="A1278" s="3"/>
      <c r="B1278" s="3"/>
      <c r="C1278" s="3"/>
      <c r="D1278" s="3"/>
      <c r="E1278" s="3"/>
      <c r="F1278" s="3"/>
      <c r="G1278" s="3"/>
      <c r="H1278" s="3"/>
      <c r="K1278" s="3"/>
      <c r="L1278" s="3"/>
      <c r="M1278" s="3"/>
      <c r="N1278" s="3"/>
      <c r="O1278" s="3"/>
      <c r="P1278" s="3"/>
      <c r="Q1278" s="3"/>
      <c r="R1278" s="3"/>
      <c r="S1278" s="3"/>
      <c r="T1278" s="3"/>
      <c r="U1278" s="3"/>
    </row>
    <row r="1279">
      <c r="A1279" s="3"/>
      <c r="B1279" s="3"/>
      <c r="C1279" s="3"/>
      <c r="D1279" s="3"/>
      <c r="E1279" s="3"/>
      <c r="F1279" s="3"/>
      <c r="G1279" s="3"/>
      <c r="H1279" s="3"/>
      <c r="K1279" s="3"/>
      <c r="L1279" s="3"/>
      <c r="M1279" s="3"/>
      <c r="N1279" s="3"/>
      <c r="O1279" s="3"/>
      <c r="P1279" s="3"/>
      <c r="Q1279" s="3"/>
      <c r="R1279" s="3"/>
      <c r="S1279" s="3"/>
      <c r="T1279" s="3"/>
      <c r="U1279" s="3"/>
    </row>
    <row r="1280">
      <c r="A1280" s="3"/>
      <c r="B1280" s="3"/>
      <c r="C1280" s="3"/>
      <c r="D1280" s="3"/>
      <c r="E1280" s="3"/>
      <c r="F1280" s="3"/>
      <c r="G1280" s="3"/>
      <c r="H1280" s="3"/>
      <c r="K1280" s="3"/>
      <c r="L1280" s="3"/>
      <c r="M1280" s="3"/>
      <c r="N1280" s="3"/>
      <c r="O1280" s="3"/>
      <c r="P1280" s="3"/>
      <c r="Q1280" s="3"/>
      <c r="R1280" s="3"/>
      <c r="S1280" s="3"/>
      <c r="T1280" s="3"/>
      <c r="U1280" s="3"/>
    </row>
    <row r="1281">
      <c r="A1281" s="3"/>
      <c r="B1281" s="3"/>
      <c r="C1281" s="3"/>
      <c r="D1281" s="3"/>
      <c r="E1281" s="3"/>
      <c r="F1281" s="3"/>
      <c r="G1281" s="3"/>
      <c r="H1281" s="3"/>
      <c r="K1281" s="3"/>
      <c r="L1281" s="3"/>
      <c r="M1281" s="3"/>
      <c r="N1281" s="3"/>
      <c r="O1281" s="3"/>
      <c r="P1281" s="3"/>
      <c r="Q1281" s="3"/>
      <c r="R1281" s="3"/>
      <c r="S1281" s="3"/>
      <c r="T1281" s="3"/>
      <c r="U1281" s="3"/>
    </row>
    <row r="1282">
      <c r="A1282" s="3"/>
      <c r="B1282" s="3"/>
      <c r="C1282" s="3"/>
      <c r="D1282" s="3"/>
      <c r="E1282" s="3"/>
      <c r="F1282" s="3"/>
      <c r="G1282" s="3"/>
      <c r="H1282" s="3"/>
      <c r="K1282" s="3"/>
      <c r="L1282" s="3"/>
      <c r="M1282" s="3"/>
      <c r="N1282" s="3"/>
      <c r="O1282" s="3"/>
      <c r="P1282" s="3"/>
      <c r="Q1282" s="3"/>
      <c r="R1282" s="3"/>
      <c r="S1282" s="3"/>
      <c r="T1282" s="3"/>
      <c r="U1282" s="3"/>
    </row>
    <row r="1283">
      <c r="A1283" s="3"/>
      <c r="B1283" s="3"/>
      <c r="C1283" s="3"/>
      <c r="D1283" s="3"/>
      <c r="E1283" s="3"/>
      <c r="F1283" s="3"/>
      <c r="G1283" s="3"/>
      <c r="H1283" s="3"/>
      <c r="K1283" s="3"/>
      <c r="L1283" s="3"/>
      <c r="M1283" s="3"/>
      <c r="N1283" s="3"/>
      <c r="O1283" s="3"/>
      <c r="P1283" s="3"/>
      <c r="Q1283" s="3"/>
      <c r="R1283" s="3"/>
      <c r="S1283" s="3"/>
      <c r="T1283" s="3"/>
      <c r="U1283" s="3"/>
    </row>
    <row r="1284">
      <c r="A1284" s="3"/>
      <c r="B1284" s="3"/>
      <c r="C1284" s="3"/>
      <c r="D1284" s="3"/>
      <c r="E1284" s="3"/>
      <c r="F1284" s="3"/>
      <c r="G1284" s="3"/>
      <c r="H1284" s="3"/>
      <c r="K1284" s="3"/>
      <c r="L1284" s="3"/>
      <c r="M1284" s="3"/>
      <c r="N1284" s="3"/>
      <c r="O1284" s="3"/>
      <c r="P1284" s="3"/>
      <c r="Q1284" s="3"/>
      <c r="R1284" s="3"/>
      <c r="S1284" s="3"/>
      <c r="T1284" s="3"/>
      <c r="U1284" s="3"/>
    </row>
    <row r="1285">
      <c r="A1285" s="3"/>
      <c r="B1285" s="3"/>
      <c r="C1285" s="3"/>
      <c r="D1285" s="3"/>
      <c r="E1285" s="3"/>
      <c r="F1285" s="3"/>
      <c r="G1285" s="3"/>
      <c r="H1285" s="3"/>
      <c r="K1285" s="3"/>
      <c r="L1285" s="3"/>
      <c r="M1285" s="3"/>
      <c r="N1285" s="3"/>
      <c r="O1285" s="3"/>
      <c r="P1285" s="3"/>
      <c r="Q1285" s="3"/>
      <c r="R1285" s="3"/>
      <c r="S1285" s="3"/>
      <c r="T1285" s="3"/>
      <c r="U1285" s="3"/>
    </row>
    <row r="1286">
      <c r="A1286" s="3"/>
      <c r="B1286" s="3"/>
      <c r="C1286" s="3"/>
      <c r="D1286" s="3"/>
      <c r="E1286" s="3"/>
      <c r="F1286" s="3"/>
      <c r="G1286" s="3"/>
      <c r="H1286" s="3"/>
      <c r="K1286" s="3"/>
      <c r="L1286" s="3"/>
      <c r="M1286" s="3"/>
      <c r="N1286" s="3"/>
      <c r="O1286" s="3"/>
      <c r="P1286" s="3"/>
      <c r="Q1286" s="3"/>
      <c r="R1286" s="3"/>
      <c r="S1286" s="3"/>
      <c r="T1286" s="3"/>
      <c r="U1286" s="3"/>
    </row>
    <row r="1287">
      <c r="A1287" s="3"/>
      <c r="B1287" s="3"/>
      <c r="C1287" s="3"/>
      <c r="D1287" s="3"/>
      <c r="E1287" s="3"/>
      <c r="F1287" s="3"/>
      <c r="G1287" s="3"/>
      <c r="H1287" s="3"/>
      <c r="K1287" s="3"/>
      <c r="L1287" s="3"/>
      <c r="M1287" s="3"/>
      <c r="N1287" s="3"/>
      <c r="O1287" s="3"/>
      <c r="P1287" s="3"/>
      <c r="Q1287" s="3"/>
      <c r="R1287" s="3"/>
      <c r="S1287" s="3"/>
      <c r="T1287" s="3"/>
      <c r="U1287" s="3"/>
    </row>
    <row r="1288">
      <c r="A1288" s="3"/>
      <c r="B1288" s="3"/>
      <c r="C1288" s="3"/>
      <c r="D1288" s="3"/>
      <c r="E1288" s="3"/>
      <c r="F1288" s="3"/>
      <c r="G1288" s="3"/>
      <c r="H1288" s="3"/>
      <c r="K1288" s="3"/>
      <c r="L1288" s="3"/>
      <c r="M1288" s="3"/>
      <c r="N1288" s="3"/>
      <c r="O1288" s="3"/>
      <c r="P1288" s="3"/>
      <c r="Q1288" s="3"/>
      <c r="R1288" s="3"/>
      <c r="S1288" s="3"/>
      <c r="T1288" s="3"/>
      <c r="U1288" s="3"/>
    </row>
    <row r="1289">
      <c r="A1289" s="3"/>
      <c r="B1289" s="3"/>
      <c r="C1289" s="3"/>
      <c r="D1289" s="3"/>
      <c r="E1289" s="3"/>
      <c r="F1289" s="3"/>
      <c r="G1289" s="3"/>
      <c r="H1289" s="3"/>
      <c r="K1289" s="3"/>
      <c r="L1289" s="3"/>
      <c r="M1289" s="3"/>
      <c r="N1289" s="3"/>
      <c r="O1289" s="3"/>
      <c r="P1289" s="3"/>
      <c r="Q1289" s="3"/>
      <c r="R1289" s="3"/>
      <c r="S1289" s="3"/>
      <c r="T1289" s="3"/>
      <c r="U1289" s="3"/>
    </row>
    <row r="1290">
      <c r="A1290" s="3"/>
      <c r="B1290" s="3"/>
      <c r="C1290" s="3"/>
      <c r="D1290" s="3"/>
      <c r="E1290" s="3"/>
      <c r="F1290" s="3"/>
      <c r="G1290" s="3"/>
      <c r="H1290" s="3"/>
      <c r="K1290" s="3"/>
      <c r="L1290" s="3"/>
      <c r="M1290" s="3"/>
      <c r="N1290" s="3"/>
      <c r="O1290" s="3"/>
      <c r="P1290" s="3"/>
      <c r="Q1290" s="3"/>
      <c r="R1290" s="3"/>
      <c r="S1290" s="3"/>
      <c r="T1290" s="3"/>
      <c r="U1290" s="3"/>
    </row>
    <row r="1291">
      <c r="A1291" s="3"/>
      <c r="B1291" s="3"/>
      <c r="C1291" s="3"/>
      <c r="D1291" s="3"/>
      <c r="E1291" s="3"/>
      <c r="F1291" s="3"/>
      <c r="G1291" s="3"/>
      <c r="H1291" s="3"/>
      <c r="K1291" s="3"/>
      <c r="L1291" s="3"/>
      <c r="M1291" s="3"/>
      <c r="N1291" s="3"/>
      <c r="O1291" s="3"/>
      <c r="P1291" s="3"/>
      <c r="Q1291" s="3"/>
      <c r="R1291" s="3"/>
      <c r="S1291" s="3"/>
      <c r="T1291" s="3"/>
      <c r="U1291" s="3"/>
    </row>
    <row r="1292">
      <c r="A1292" s="3"/>
      <c r="B1292" s="3"/>
      <c r="C1292" s="3"/>
      <c r="D1292" s="3"/>
      <c r="E1292" s="3"/>
      <c r="F1292" s="3"/>
      <c r="G1292" s="3"/>
      <c r="H1292" s="3"/>
      <c r="K1292" s="3"/>
      <c r="L1292" s="3"/>
      <c r="M1292" s="3"/>
      <c r="N1292" s="3"/>
      <c r="O1292" s="3"/>
      <c r="P1292" s="3"/>
      <c r="Q1292" s="3"/>
      <c r="R1292" s="3"/>
      <c r="S1292" s="3"/>
      <c r="T1292" s="3"/>
      <c r="U1292" s="3"/>
    </row>
    <row r="1293">
      <c r="A1293" s="3"/>
      <c r="B1293" s="3"/>
      <c r="C1293" s="3"/>
      <c r="D1293" s="3"/>
      <c r="E1293" s="3"/>
      <c r="F1293" s="3"/>
      <c r="G1293" s="3"/>
      <c r="H1293" s="3"/>
      <c r="K1293" s="3"/>
      <c r="L1293" s="3"/>
      <c r="M1293" s="3"/>
      <c r="N1293" s="3"/>
      <c r="O1293" s="3"/>
      <c r="P1293" s="3"/>
      <c r="Q1293" s="3"/>
      <c r="R1293" s="3"/>
      <c r="S1293" s="3"/>
      <c r="T1293" s="3"/>
      <c r="U1293" s="3"/>
    </row>
    <row r="1294">
      <c r="A1294" s="3"/>
      <c r="B1294" s="3"/>
      <c r="C1294" s="3"/>
      <c r="D1294" s="3"/>
      <c r="E1294" s="3"/>
      <c r="F1294" s="3"/>
      <c r="G1294" s="3"/>
      <c r="H1294" s="3"/>
      <c r="K1294" s="3"/>
      <c r="L1294" s="3"/>
      <c r="M1294" s="3"/>
      <c r="N1294" s="3"/>
      <c r="O1294" s="3"/>
      <c r="P1294" s="3"/>
      <c r="Q1294" s="3"/>
      <c r="R1294" s="3"/>
      <c r="S1294" s="3"/>
      <c r="T1294" s="3"/>
      <c r="U1294" s="3"/>
    </row>
    <row r="1295">
      <c r="A1295" s="3"/>
      <c r="B1295" s="3"/>
      <c r="C1295" s="3"/>
      <c r="D1295" s="3"/>
      <c r="E1295" s="3"/>
      <c r="F1295" s="3"/>
      <c r="G1295" s="3"/>
      <c r="H1295" s="3"/>
      <c r="K1295" s="3"/>
      <c r="L1295" s="3"/>
      <c r="M1295" s="3"/>
      <c r="N1295" s="3"/>
      <c r="O1295" s="3"/>
      <c r="P1295" s="3"/>
      <c r="Q1295" s="3"/>
      <c r="R1295" s="3"/>
      <c r="S1295" s="3"/>
      <c r="T1295" s="3"/>
      <c r="U1295" s="3"/>
    </row>
    <row r="1296">
      <c r="A1296" s="3"/>
      <c r="B1296" s="3"/>
      <c r="C1296" s="3"/>
      <c r="D1296" s="3"/>
      <c r="E1296" s="3"/>
      <c r="F1296" s="3"/>
      <c r="G1296" s="3"/>
      <c r="H1296" s="3"/>
      <c r="K1296" s="3"/>
      <c r="L1296" s="3"/>
      <c r="M1296" s="3"/>
      <c r="N1296" s="3"/>
      <c r="O1296" s="3"/>
      <c r="P1296" s="3"/>
      <c r="Q1296" s="3"/>
      <c r="R1296" s="3"/>
      <c r="S1296" s="3"/>
      <c r="T1296" s="3"/>
      <c r="U1296" s="3"/>
    </row>
    <row r="1297">
      <c r="A1297" s="3"/>
      <c r="B1297" s="3"/>
      <c r="C1297" s="3"/>
      <c r="D1297" s="3"/>
      <c r="E1297" s="3"/>
      <c r="F1297" s="3"/>
      <c r="G1297" s="3"/>
      <c r="H1297" s="3"/>
      <c r="K1297" s="3"/>
      <c r="L1297" s="3"/>
      <c r="M1297" s="3"/>
      <c r="N1297" s="3"/>
      <c r="O1297" s="3"/>
      <c r="P1297" s="3"/>
      <c r="Q1297" s="3"/>
      <c r="R1297" s="3"/>
      <c r="S1297" s="3"/>
      <c r="T1297" s="3"/>
      <c r="U1297" s="3"/>
    </row>
    <row r="1298">
      <c r="A1298" s="3"/>
      <c r="B1298" s="3"/>
      <c r="C1298" s="3"/>
      <c r="D1298" s="3"/>
      <c r="E1298" s="3"/>
      <c r="F1298" s="3"/>
      <c r="G1298" s="3"/>
      <c r="H1298" s="3"/>
      <c r="K1298" s="3"/>
      <c r="L1298" s="3"/>
      <c r="M1298" s="3"/>
      <c r="N1298" s="3"/>
      <c r="O1298" s="3"/>
      <c r="P1298" s="3"/>
      <c r="Q1298" s="3"/>
      <c r="R1298" s="3"/>
      <c r="S1298" s="3"/>
      <c r="T1298" s="3"/>
      <c r="U1298" s="3"/>
    </row>
    <row r="1299">
      <c r="A1299" s="3"/>
      <c r="B1299" s="3"/>
      <c r="C1299" s="3"/>
      <c r="D1299" s="3"/>
      <c r="E1299" s="3"/>
      <c r="F1299" s="3"/>
      <c r="G1299" s="3"/>
      <c r="H1299" s="3"/>
      <c r="K1299" s="3"/>
      <c r="L1299" s="3"/>
      <c r="M1299" s="3"/>
      <c r="N1299" s="3"/>
      <c r="O1299" s="3"/>
      <c r="P1299" s="3"/>
      <c r="Q1299" s="3"/>
      <c r="R1299" s="3"/>
      <c r="S1299" s="3"/>
      <c r="T1299" s="3"/>
      <c r="U1299" s="3"/>
    </row>
    <row r="1300">
      <c r="A1300" s="3"/>
      <c r="B1300" s="3"/>
      <c r="C1300" s="3"/>
      <c r="D1300" s="3"/>
      <c r="E1300" s="3"/>
      <c r="F1300" s="3"/>
      <c r="G1300" s="3"/>
      <c r="H1300" s="3"/>
      <c r="K1300" s="3"/>
      <c r="L1300" s="3"/>
      <c r="M1300" s="3"/>
      <c r="N1300" s="3"/>
      <c r="O1300" s="3"/>
      <c r="P1300" s="3"/>
      <c r="Q1300" s="3"/>
      <c r="R1300" s="3"/>
      <c r="S1300" s="3"/>
      <c r="T1300" s="3"/>
      <c r="U1300" s="3"/>
    </row>
    <row r="1301">
      <c r="A1301" s="3"/>
      <c r="B1301" s="3"/>
      <c r="C1301" s="3"/>
      <c r="D1301" s="3"/>
      <c r="E1301" s="3"/>
      <c r="F1301" s="3"/>
      <c r="G1301" s="3"/>
      <c r="H1301" s="3"/>
      <c r="K1301" s="3"/>
      <c r="L1301" s="3"/>
      <c r="M1301" s="3"/>
      <c r="N1301" s="3"/>
      <c r="O1301" s="3"/>
      <c r="P1301" s="3"/>
      <c r="Q1301" s="3"/>
      <c r="R1301" s="3"/>
      <c r="S1301" s="3"/>
      <c r="T1301" s="3"/>
      <c r="U1301" s="3"/>
    </row>
    <row r="1302">
      <c r="A1302" s="3"/>
      <c r="B1302" s="3"/>
      <c r="C1302" s="3"/>
      <c r="D1302" s="3"/>
      <c r="E1302" s="3"/>
      <c r="F1302" s="3"/>
      <c r="G1302" s="3"/>
      <c r="H1302" s="3"/>
      <c r="K1302" s="3"/>
      <c r="L1302" s="3"/>
      <c r="M1302" s="3"/>
      <c r="N1302" s="3"/>
      <c r="O1302" s="3"/>
      <c r="P1302" s="3"/>
      <c r="Q1302" s="3"/>
      <c r="R1302" s="3"/>
      <c r="S1302" s="3"/>
      <c r="T1302" s="3"/>
      <c r="U1302" s="3"/>
    </row>
    <row r="1303">
      <c r="A1303" s="3"/>
      <c r="B1303" s="3"/>
      <c r="C1303" s="3"/>
      <c r="D1303" s="3"/>
      <c r="E1303" s="3"/>
      <c r="F1303" s="3"/>
      <c r="G1303" s="3"/>
      <c r="H1303" s="3"/>
      <c r="K1303" s="3"/>
      <c r="L1303" s="3"/>
      <c r="M1303" s="3"/>
      <c r="N1303" s="3"/>
      <c r="O1303" s="3"/>
      <c r="P1303" s="3"/>
      <c r="Q1303" s="3"/>
      <c r="R1303" s="3"/>
      <c r="S1303" s="3"/>
      <c r="T1303" s="3"/>
      <c r="U1303" s="3"/>
    </row>
    <row r="1304">
      <c r="A1304" s="3"/>
      <c r="B1304" s="3"/>
      <c r="C1304" s="3"/>
      <c r="D1304" s="3"/>
      <c r="E1304" s="3"/>
      <c r="F1304" s="3"/>
      <c r="G1304" s="3"/>
      <c r="H1304" s="3"/>
      <c r="K1304" s="3"/>
      <c r="L1304" s="3"/>
      <c r="M1304" s="3"/>
      <c r="N1304" s="3"/>
      <c r="O1304" s="3"/>
      <c r="P1304" s="3"/>
      <c r="Q1304" s="3"/>
      <c r="R1304" s="3"/>
      <c r="S1304" s="3"/>
      <c r="T1304" s="3"/>
      <c r="U1304" s="3"/>
    </row>
    <row r="1305">
      <c r="A1305" s="3"/>
      <c r="B1305" s="3"/>
      <c r="C1305" s="3"/>
      <c r="D1305" s="3"/>
      <c r="E1305" s="3"/>
      <c r="F1305" s="3"/>
      <c r="G1305" s="3"/>
      <c r="H1305" s="3"/>
      <c r="K1305" s="3"/>
      <c r="L1305" s="3"/>
      <c r="M1305" s="3"/>
      <c r="N1305" s="3"/>
      <c r="O1305" s="3"/>
      <c r="P1305" s="3"/>
      <c r="Q1305" s="3"/>
      <c r="R1305" s="3"/>
      <c r="S1305" s="3"/>
      <c r="T1305" s="3"/>
      <c r="U1305" s="3"/>
    </row>
    <row r="1306">
      <c r="A1306" s="3"/>
      <c r="B1306" s="3"/>
      <c r="C1306" s="3"/>
      <c r="D1306" s="3"/>
      <c r="E1306" s="3"/>
      <c r="F1306" s="3"/>
      <c r="G1306" s="3"/>
      <c r="H1306" s="3"/>
      <c r="K1306" s="3"/>
      <c r="L1306" s="3"/>
      <c r="M1306" s="3"/>
      <c r="N1306" s="3"/>
      <c r="O1306" s="3"/>
      <c r="P1306" s="3"/>
      <c r="Q1306" s="3"/>
      <c r="R1306" s="3"/>
      <c r="S1306" s="3"/>
      <c r="T1306" s="3"/>
      <c r="U1306" s="3"/>
    </row>
    <row r="1307">
      <c r="A1307" s="3"/>
      <c r="B1307" s="3"/>
      <c r="C1307" s="3"/>
      <c r="D1307" s="3"/>
      <c r="E1307" s="3"/>
      <c r="F1307" s="3"/>
      <c r="G1307" s="3"/>
      <c r="H1307" s="3"/>
      <c r="K1307" s="3"/>
      <c r="L1307" s="3"/>
      <c r="M1307" s="3"/>
      <c r="N1307" s="3"/>
      <c r="O1307" s="3"/>
      <c r="P1307" s="3"/>
      <c r="Q1307" s="3"/>
      <c r="R1307" s="3"/>
      <c r="S1307" s="3"/>
      <c r="T1307" s="3"/>
      <c r="U1307" s="3"/>
    </row>
    <row r="1308">
      <c r="A1308" s="3"/>
      <c r="B1308" s="3"/>
      <c r="C1308" s="3"/>
      <c r="D1308" s="3"/>
      <c r="E1308" s="3"/>
      <c r="F1308" s="3"/>
      <c r="G1308" s="3"/>
      <c r="H1308" s="3"/>
      <c r="K1308" s="3"/>
      <c r="L1308" s="3"/>
      <c r="M1308" s="3"/>
      <c r="N1308" s="3"/>
      <c r="O1308" s="3"/>
      <c r="P1308" s="3"/>
      <c r="Q1308" s="3"/>
      <c r="R1308" s="3"/>
      <c r="S1308" s="3"/>
      <c r="T1308" s="3"/>
      <c r="U1308" s="3"/>
    </row>
    <row r="1309">
      <c r="A1309" s="3"/>
      <c r="B1309" s="3"/>
      <c r="C1309" s="3"/>
      <c r="D1309" s="3"/>
      <c r="E1309" s="3"/>
      <c r="F1309" s="3"/>
      <c r="G1309" s="3"/>
      <c r="H1309" s="3"/>
      <c r="K1309" s="3"/>
      <c r="L1309" s="3"/>
      <c r="M1309" s="3"/>
      <c r="N1309" s="3"/>
      <c r="O1309" s="3"/>
      <c r="P1309" s="3"/>
      <c r="Q1309" s="3"/>
      <c r="R1309" s="3"/>
      <c r="S1309" s="3"/>
      <c r="T1309" s="3"/>
      <c r="U1309" s="3"/>
    </row>
    <row r="1310">
      <c r="A1310" s="3"/>
      <c r="B1310" s="3"/>
      <c r="C1310" s="3"/>
      <c r="D1310" s="3"/>
      <c r="E1310" s="3"/>
      <c r="F1310" s="3"/>
      <c r="G1310" s="3"/>
      <c r="H1310" s="3"/>
      <c r="K1310" s="3"/>
      <c r="L1310" s="3"/>
      <c r="M1310" s="3"/>
      <c r="N1310" s="3"/>
      <c r="O1310" s="3"/>
      <c r="P1310" s="3"/>
      <c r="Q1310" s="3"/>
      <c r="R1310" s="3"/>
      <c r="S1310" s="3"/>
      <c r="T1310" s="3"/>
      <c r="U1310" s="3"/>
    </row>
    <row r="1311">
      <c r="A1311" s="3"/>
      <c r="B1311" s="3"/>
      <c r="C1311" s="3"/>
      <c r="D1311" s="3"/>
      <c r="E1311" s="3"/>
      <c r="F1311" s="3"/>
      <c r="G1311" s="3"/>
      <c r="H1311" s="3"/>
      <c r="K1311" s="3"/>
      <c r="L1311" s="3"/>
      <c r="M1311" s="3"/>
      <c r="N1311" s="3"/>
      <c r="O1311" s="3"/>
      <c r="P1311" s="3"/>
      <c r="Q1311" s="3"/>
      <c r="R1311" s="3"/>
      <c r="S1311" s="3"/>
      <c r="T1311" s="3"/>
      <c r="U1311" s="3"/>
    </row>
    <row r="1312">
      <c r="A1312" s="3"/>
      <c r="B1312" s="3"/>
      <c r="C1312" s="3"/>
      <c r="D1312" s="3"/>
      <c r="E1312" s="3"/>
      <c r="F1312" s="3"/>
      <c r="G1312" s="3"/>
      <c r="H1312" s="3"/>
      <c r="K1312" s="3"/>
      <c r="L1312" s="3"/>
      <c r="M1312" s="3"/>
      <c r="N1312" s="3"/>
      <c r="O1312" s="3"/>
      <c r="P1312" s="3"/>
      <c r="Q1312" s="3"/>
      <c r="R1312" s="3"/>
      <c r="S1312" s="3"/>
      <c r="T1312" s="3"/>
      <c r="U1312" s="3"/>
    </row>
    <row r="1313">
      <c r="A1313" s="3"/>
      <c r="B1313" s="3"/>
      <c r="C1313" s="3"/>
      <c r="D1313" s="3"/>
      <c r="E1313" s="3"/>
      <c r="F1313" s="3"/>
      <c r="G1313" s="3"/>
      <c r="H1313" s="3"/>
      <c r="K1313" s="3"/>
      <c r="L1313" s="3"/>
      <c r="M1313" s="3"/>
      <c r="N1313" s="3"/>
      <c r="O1313" s="3"/>
      <c r="P1313" s="3"/>
      <c r="Q1313" s="3"/>
      <c r="R1313" s="3"/>
      <c r="S1313" s="3"/>
      <c r="T1313" s="3"/>
      <c r="U1313" s="3"/>
    </row>
    <row r="1314">
      <c r="A1314" s="3"/>
      <c r="B1314" s="3"/>
      <c r="C1314" s="3"/>
      <c r="D1314" s="3"/>
      <c r="E1314" s="3"/>
      <c r="F1314" s="3"/>
      <c r="G1314" s="3"/>
      <c r="H1314" s="3"/>
      <c r="K1314" s="3"/>
      <c r="L1314" s="3"/>
      <c r="M1314" s="3"/>
      <c r="N1314" s="3"/>
      <c r="O1314" s="3"/>
      <c r="P1314" s="3"/>
      <c r="Q1314" s="3"/>
      <c r="R1314" s="3"/>
      <c r="S1314" s="3"/>
      <c r="T1314" s="3"/>
      <c r="U1314" s="3"/>
    </row>
    <row r="1315">
      <c r="A1315" s="3"/>
      <c r="B1315" s="3"/>
      <c r="C1315" s="3"/>
      <c r="D1315" s="3"/>
      <c r="E1315" s="3"/>
      <c r="F1315" s="3"/>
      <c r="G1315" s="3"/>
      <c r="H1315" s="3"/>
      <c r="K1315" s="3"/>
      <c r="L1315" s="3"/>
      <c r="M1315" s="3"/>
      <c r="N1315" s="3"/>
      <c r="O1315" s="3"/>
      <c r="P1315" s="3"/>
      <c r="Q1315" s="3"/>
      <c r="R1315" s="3"/>
      <c r="S1315" s="3"/>
      <c r="T1315" s="3"/>
      <c r="U1315" s="3"/>
    </row>
    <row r="1316">
      <c r="A1316" s="3"/>
      <c r="B1316" s="3"/>
      <c r="C1316" s="3"/>
      <c r="D1316" s="3"/>
      <c r="E1316" s="3"/>
      <c r="F1316" s="3"/>
      <c r="G1316" s="3"/>
      <c r="H1316" s="3"/>
      <c r="K1316" s="3"/>
      <c r="L1316" s="3"/>
      <c r="M1316" s="3"/>
      <c r="N1316" s="3"/>
      <c r="O1316" s="3"/>
      <c r="P1316" s="3"/>
      <c r="Q1316" s="3"/>
      <c r="R1316" s="3"/>
      <c r="S1316" s="3"/>
      <c r="T1316" s="3"/>
      <c r="U1316" s="3"/>
    </row>
    <row r="1317">
      <c r="A1317" s="3"/>
      <c r="B1317" s="3"/>
      <c r="C1317" s="3"/>
      <c r="D1317" s="3"/>
      <c r="E1317" s="3"/>
      <c r="F1317" s="3"/>
      <c r="G1317" s="3"/>
      <c r="H1317" s="3"/>
      <c r="K1317" s="3"/>
      <c r="L1317" s="3"/>
      <c r="M1317" s="3"/>
      <c r="N1317" s="3"/>
      <c r="O1317" s="3"/>
      <c r="P1317" s="3"/>
      <c r="Q1317" s="3"/>
      <c r="R1317" s="3"/>
      <c r="S1317" s="3"/>
      <c r="T1317" s="3"/>
      <c r="U1317" s="3"/>
    </row>
    <row r="1318">
      <c r="A1318" s="3"/>
      <c r="B1318" s="3"/>
      <c r="C1318" s="3"/>
      <c r="D1318" s="3"/>
      <c r="E1318" s="3"/>
      <c r="F1318" s="3"/>
      <c r="G1318" s="3"/>
      <c r="H1318" s="3"/>
      <c r="K1318" s="3"/>
      <c r="L1318" s="3"/>
      <c r="M1318" s="3"/>
      <c r="N1318" s="3"/>
      <c r="O1318" s="3"/>
      <c r="P1318" s="3"/>
      <c r="Q1318" s="3"/>
      <c r="R1318" s="3"/>
      <c r="S1318" s="3"/>
      <c r="T1318" s="3"/>
      <c r="U1318" s="3"/>
    </row>
    <row r="1319">
      <c r="A1319" s="3"/>
      <c r="B1319" s="3"/>
      <c r="C1319" s="3"/>
      <c r="D1319" s="3"/>
      <c r="E1319" s="3"/>
      <c r="F1319" s="3"/>
      <c r="G1319" s="3"/>
      <c r="H1319" s="3"/>
      <c r="K1319" s="3"/>
      <c r="L1319" s="3"/>
      <c r="M1319" s="3"/>
      <c r="N1319" s="3"/>
      <c r="O1319" s="3"/>
      <c r="P1319" s="3"/>
      <c r="Q1319" s="3"/>
      <c r="R1319" s="3"/>
      <c r="S1319" s="3"/>
      <c r="T1319" s="3"/>
      <c r="U1319" s="3"/>
    </row>
    <row r="1320">
      <c r="A1320" s="3"/>
      <c r="B1320" s="3"/>
      <c r="C1320" s="3"/>
      <c r="D1320" s="3"/>
      <c r="E1320" s="3"/>
      <c r="F1320" s="3"/>
      <c r="G1320" s="3"/>
      <c r="H1320" s="3"/>
      <c r="K1320" s="3"/>
      <c r="L1320" s="3"/>
      <c r="M1320" s="3"/>
      <c r="N1320" s="3"/>
      <c r="O1320" s="3"/>
      <c r="P1320" s="3"/>
      <c r="Q1320" s="3"/>
      <c r="R1320" s="3"/>
      <c r="S1320" s="3"/>
      <c r="T1320" s="3"/>
      <c r="U1320" s="3"/>
    </row>
    <row r="1321">
      <c r="A1321" s="3"/>
      <c r="B1321" s="3"/>
      <c r="C1321" s="3"/>
      <c r="D1321" s="3"/>
      <c r="E1321" s="3"/>
      <c r="F1321" s="3"/>
      <c r="G1321" s="3"/>
      <c r="H1321" s="3"/>
      <c r="K1321" s="3"/>
      <c r="L1321" s="3"/>
      <c r="M1321" s="3"/>
      <c r="N1321" s="3"/>
      <c r="O1321" s="3"/>
      <c r="P1321" s="3"/>
      <c r="Q1321" s="3"/>
      <c r="R1321" s="3"/>
      <c r="S1321" s="3"/>
      <c r="T1321" s="3"/>
      <c r="U1321" s="3"/>
    </row>
    <row r="1322">
      <c r="A1322" s="3"/>
      <c r="B1322" s="3"/>
      <c r="C1322" s="3"/>
      <c r="D1322" s="3"/>
      <c r="E1322" s="3"/>
      <c r="F1322" s="3"/>
      <c r="G1322" s="3"/>
      <c r="H1322" s="3"/>
      <c r="K1322" s="3"/>
      <c r="L1322" s="3"/>
      <c r="M1322" s="3"/>
      <c r="N1322" s="3"/>
      <c r="O1322" s="3"/>
      <c r="P1322" s="3"/>
      <c r="Q1322" s="3"/>
      <c r="R1322" s="3"/>
      <c r="S1322" s="3"/>
      <c r="T1322" s="3"/>
      <c r="U1322" s="3"/>
    </row>
    <row r="1323">
      <c r="A1323" s="3"/>
      <c r="B1323" s="3"/>
      <c r="C1323" s="3"/>
      <c r="D1323" s="3"/>
      <c r="E1323" s="3"/>
      <c r="F1323" s="3"/>
      <c r="G1323" s="3"/>
      <c r="H1323" s="3"/>
      <c r="K1323" s="3"/>
      <c r="L1323" s="3"/>
      <c r="M1323" s="3"/>
      <c r="N1323" s="3"/>
      <c r="O1323" s="3"/>
      <c r="P1323" s="3"/>
      <c r="Q1323" s="3"/>
      <c r="R1323" s="3"/>
      <c r="S1323" s="3"/>
      <c r="T1323" s="3"/>
      <c r="U1323" s="3"/>
    </row>
    <row r="1324">
      <c r="A1324" s="3"/>
      <c r="B1324" s="3"/>
      <c r="C1324" s="3"/>
      <c r="D1324" s="3"/>
      <c r="E1324" s="3"/>
      <c r="F1324" s="3"/>
      <c r="G1324" s="3"/>
      <c r="H1324" s="3"/>
      <c r="K1324" s="3"/>
      <c r="L1324" s="3"/>
      <c r="M1324" s="3"/>
      <c r="N1324" s="3"/>
      <c r="O1324" s="3"/>
      <c r="P1324" s="3"/>
      <c r="Q1324" s="3"/>
      <c r="R1324" s="3"/>
      <c r="S1324" s="3"/>
      <c r="T1324" s="3"/>
      <c r="U1324" s="3"/>
    </row>
    <row r="1325">
      <c r="A1325" s="3"/>
      <c r="B1325" s="3"/>
      <c r="C1325" s="3"/>
      <c r="D1325" s="3"/>
      <c r="E1325" s="3"/>
      <c r="F1325" s="3"/>
      <c r="G1325" s="3"/>
      <c r="H1325" s="3"/>
      <c r="K1325" s="3"/>
      <c r="L1325" s="3"/>
      <c r="M1325" s="3"/>
      <c r="N1325" s="3"/>
      <c r="O1325" s="3"/>
      <c r="P1325" s="3"/>
      <c r="Q1325" s="3"/>
      <c r="R1325" s="3"/>
      <c r="S1325" s="3"/>
      <c r="T1325" s="3"/>
      <c r="U1325" s="3"/>
    </row>
    <row r="1326">
      <c r="A1326" s="3"/>
      <c r="B1326" s="3"/>
      <c r="C1326" s="3"/>
      <c r="D1326" s="3"/>
      <c r="E1326" s="3"/>
      <c r="F1326" s="3"/>
      <c r="G1326" s="3"/>
      <c r="H1326" s="3"/>
      <c r="K1326" s="3"/>
      <c r="L1326" s="3"/>
      <c r="M1326" s="3"/>
      <c r="N1326" s="3"/>
      <c r="O1326" s="3"/>
      <c r="P1326" s="3"/>
      <c r="Q1326" s="3"/>
      <c r="R1326" s="3"/>
      <c r="S1326" s="3"/>
      <c r="T1326" s="3"/>
      <c r="U1326" s="3"/>
    </row>
    <row r="1327">
      <c r="A1327" s="3"/>
      <c r="B1327" s="3"/>
      <c r="C1327" s="3"/>
      <c r="D1327" s="3"/>
      <c r="E1327" s="3"/>
      <c r="F1327" s="3"/>
      <c r="G1327" s="3"/>
      <c r="H1327" s="3"/>
      <c r="K1327" s="3"/>
      <c r="L1327" s="3"/>
      <c r="M1327" s="3"/>
      <c r="N1327" s="3"/>
      <c r="O1327" s="3"/>
      <c r="P1327" s="3"/>
      <c r="Q1327" s="3"/>
      <c r="R1327" s="3"/>
      <c r="S1327" s="3"/>
      <c r="T1327" s="3"/>
      <c r="U1327" s="3"/>
    </row>
    <row r="1328">
      <c r="A1328" s="3"/>
      <c r="B1328" s="3"/>
      <c r="C1328" s="3"/>
      <c r="D1328" s="3"/>
      <c r="E1328" s="3"/>
      <c r="F1328" s="3"/>
      <c r="G1328" s="3"/>
      <c r="H1328" s="3"/>
      <c r="K1328" s="3"/>
      <c r="L1328" s="3"/>
      <c r="M1328" s="3"/>
      <c r="N1328" s="3"/>
      <c r="O1328" s="3"/>
      <c r="P1328" s="3"/>
      <c r="Q1328" s="3"/>
      <c r="R1328" s="3"/>
      <c r="S1328" s="3"/>
      <c r="T1328" s="3"/>
      <c r="U1328" s="3"/>
    </row>
    <row r="1329">
      <c r="A1329" s="3"/>
      <c r="B1329" s="3"/>
      <c r="C1329" s="3"/>
      <c r="D1329" s="3"/>
      <c r="E1329" s="3"/>
      <c r="F1329" s="3"/>
      <c r="G1329" s="3"/>
      <c r="H1329" s="3"/>
      <c r="K1329" s="3"/>
      <c r="L1329" s="3"/>
      <c r="M1329" s="3"/>
      <c r="N1329" s="3"/>
      <c r="O1329" s="3"/>
      <c r="P1329" s="3"/>
      <c r="Q1329" s="3"/>
      <c r="R1329" s="3"/>
      <c r="S1329" s="3"/>
      <c r="T1329" s="3"/>
      <c r="U1329" s="3"/>
    </row>
    <row r="1330">
      <c r="A1330" s="3"/>
      <c r="B1330" s="3"/>
      <c r="C1330" s="3"/>
      <c r="D1330" s="3"/>
      <c r="E1330" s="3"/>
      <c r="F1330" s="3"/>
      <c r="G1330" s="3"/>
      <c r="H1330" s="3"/>
      <c r="K1330" s="3"/>
      <c r="L1330" s="3"/>
      <c r="M1330" s="3"/>
      <c r="N1330" s="3"/>
      <c r="O1330" s="3"/>
      <c r="P1330" s="3"/>
      <c r="Q1330" s="3"/>
      <c r="R1330" s="3"/>
      <c r="S1330" s="3"/>
      <c r="T1330" s="3"/>
      <c r="U1330" s="3"/>
    </row>
    <row r="1331">
      <c r="A1331" s="3"/>
      <c r="B1331" s="3"/>
      <c r="C1331" s="3"/>
      <c r="D1331" s="3"/>
      <c r="E1331" s="3"/>
      <c r="F1331" s="3"/>
      <c r="G1331" s="3"/>
      <c r="H1331" s="3"/>
      <c r="K1331" s="3"/>
      <c r="L1331" s="3"/>
      <c r="M1331" s="3"/>
      <c r="N1331" s="3"/>
      <c r="O1331" s="3"/>
      <c r="P1331" s="3"/>
      <c r="Q1331" s="3"/>
      <c r="R1331" s="3"/>
      <c r="S1331" s="3"/>
      <c r="T1331" s="3"/>
      <c r="U1331" s="3"/>
    </row>
    <row r="1332">
      <c r="A1332" s="3"/>
      <c r="B1332" s="3"/>
      <c r="C1332" s="3"/>
      <c r="D1332" s="3"/>
      <c r="E1332" s="3"/>
      <c r="F1332" s="3"/>
      <c r="G1332" s="3"/>
      <c r="H1332" s="3"/>
      <c r="K1332" s="3"/>
      <c r="L1332" s="3"/>
      <c r="M1332" s="3"/>
      <c r="N1332" s="3"/>
      <c r="O1332" s="3"/>
      <c r="P1332" s="3"/>
      <c r="Q1332" s="3"/>
      <c r="R1332" s="3"/>
      <c r="S1332" s="3"/>
      <c r="T1332" s="3"/>
      <c r="U1332" s="3"/>
    </row>
    <row r="1333">
      <c r="A1333" s="3"/>
      <c r="B1333" s="3"/>
      <c r="C1333" s="3"/>
      <c r="D1333" s="3"/>
      <c r="E1333" s="3"/>
      <c r="F1333" s="3"/>
      <c r="G1333" s="3"/>
      <c r="H1333" s="3"/>
      <c r="K1333" s="3"/>
      <c r="L1333" s="3"/>
      <c r="M1333" s="3"/>
      <c r="N1333" s="3"/>
      <c r="O1333" s="3"/>
      <c r="P1333" s="3"/>
      <c r="Q1333" s="3"/>
      <c r="R1333" s="3"/>
      <c r="S1333" s="3"/>
      <c r="T1333" s="3"/>
      <c r="U1333" s="3"/>
    </row>
    <row r="1334">
      <c r="A1334" s="3"/>
      <c r="B1334" s="3"/>
      <c r="C1334" s="3"/>
      <c r="D1334" s="3"/>
      <c r="E1334" s="3"/>
      <c r="F1334" s="3"/>
      <c r="G1334" s="3"/>
      <c r="H1334" s="3"/>
      <c r="K1334" s="3"/>
      <c r="L1334" s="3"/>
      <c r="M1334" s="3"/>
      <c r="N1334" s="3"/>
      <c r="O1334" s="3"/>
      <c r="P1334" s="3"/>
      <c r="Q1334" s="3"/>
      <c r="R1334" s="3"/>
      <c r="S1334" s="3"/>
      <c r="T1334" s="3"/>
      <c r="U1334" s="3"/>
    </row>
    <row r="1335">
      <c r="A1335" s="3"/>
      <c r="B1335" s="3"/>
      <c r="C1335" s="3"/>
      <c r="D1335" s="3"/>
      <c r="E1335" s="3"/>
      <c r="F1335" s="3"/>
      <c r="G1335" s="3"/>
      <c r="H1335" s="3"/>
      <c r="K1335" s="3"/>
      <c r="L1335" s="3"/>
      <c r="M1335" s="3"/>
      <c r="N1335" s="3"/>
      <c r="O1335" s="3"/>
      <c r="P1335" s="3"/>
      <c r="Q1335" s="3"/>
      <c r="R1335" s="3"/>
      <c r="S1335" s="3"/>
      <c r="T1335" s="3"/>
      <c r="U1335" s="3"/>
    </row>
    <row r="1336">
      <c r="A1336" s="3"/>
      <c r="B1336" s="3"/>
      <c r="C1336" s="3"/>
      <c r="D1336" s="3"/>
      <c r="E1336" s="3"/>
      <c r="F1336" s="3"/>
      <c r="G1336" s="3"/>
      <c r="H1336" s="3"/>
      <c r="K1336" s="3"/>
      <c r="L1336" s="3"/>
      <c r="M1336" s="3"/>
      <c r="N1336" s="3"/>
      <c r="O1336" s="3"/>
      <c r="P1336" s="3"/>
      <c r="Q1336" s="3"/>
      <c r="R1336" s="3"/>
      <c r="S1336" s="3"/>
      <c r="T1336" s="3"/>
      <c r="U1336" s="3"/>
    </row>
    <row r="1337">
      <c r="A1337" s="3"/>
      <c r="B1337" s="3"/>
      <c r="C1337" s="3"/>
      <c r="D1337" s="3"/>
      <c r="E1337" s="3"/>
      <c r="F1337" s="3"/>
      <c r="G1337" s="3"/>
      <c r="H1337" s="3"/>
      <c r="K1337" s="3"/>
      <c r="L1337" s="3"/>
      <c r="M1337" s="3"/>
      <c r="N1337" s="3"/>
      <c r="O1337" s="3"/>
      <c r="P1337" s="3"/>
      <c r="Q1337" s="3"/>
      <c r="R1337" s="3"/>
      <c r="S1337" s="3"/>
      <c r="T1337" s="3"/>
      <c r="U1337" s="3"/>
    </row>
    <row r="1338">
      <c r="A1338" s="3"/>
      <c r="B1338" s="3"/>
      <c r="C1338" s="3"/>
      <c r="D1338" s="3"/>
      <c r="E1338" s="3"/>
      <c r="F1338" s="3"/>
      <c r="G1338" s="3"/>
      <c r="H1338" s="3"/>
      <c r="K1338" s="3"/>
      <c r="L1338" s="3"/>
      <c r="M1338" s="3"/>
      <c r="N1338" s="3"/>
      <c r="O1338" s="3"/>
      <c r="P1338" s="3"/>
      <c r="Q1338" s="3"/>
      <c r="R1338" s="3"/>
      <c r="S1338" s="3"/>
      <c r="T1338" s="3"/>
      <c r="U1338" s="3"/>
    </row>
    <row r="1339">
      <c r="A1339" s="3"/>
      <c r="B1339" s="3"/>
      <c r="C1339" s="3"/>
      <c r="D1339" s="3"/>
      <c r="E1339" s="3"/>
      <c r="F1339" s="3"/>
      <c r="G1339" s="3"/>
      <c r="H1339" s="3"/>
      <c r="K1339" s="3"/>
      <c r="L1339" s="3"/>
      <c r="M1339" s="3"/>
      <c r="N1339" s="3"/>
      <c r="O1339" s="3"/>
      <c r="P1339" s="3"/>
      <c r="Q1339" s="3"/>
      <c r="R1339" s="3"/>
      <c r="S1339" s="3"/>
      <c r="T1339" s="3"/>
      <c r="U1339" s="3"/>
    </row>
    <row r="1340">
      <c r="A1340" s="3"/>
      <c r="B1340" s="3"/>
      <c r="C1340" s="3"/>
      <c r="D1340" s="3"/>
      <c r="E1340" s="3"/>
      <c r="F1340" s="3"/>
      <c r="G1340" s="3"/>
      <c r="H1340" s="3"/>
      <c r="K1340" s="3"/>
      <c r="L1340" s="3"/>
      <c r="M1340" s="3"/>
      <c r="N1340" s="3"/>
      <c r="O1340" s="3"/>
      <c r="P1340" s="3"/>
      <c r="Q1340" s="3"/>
      <c r="R1340" s="3"/>
      <c r="S1340" s="3"/>
      <c r="T1340" s="3"/>
      <c r="U1340" s="3"/>
    </row>
    <row r="1341">
      <c r="A1341" s="3"/>
      <c r="B1341" s="3"/>
      <c r="C1341" s="3"/>
      <c r="D1341" s="3"/>
      <c r="E1341" s="3"/>
      <c r="F1341" s="3"/>
      <c r="G1341" s="3"/>
      <c r="H1341" s="3"/>
      <c r="K1341" s="3"/>
      <c r="L1341" s="3"/>
      <c r="M1341" s="3"/>
      <c r="N1341" s="3"/>
      <c r="O1341" s="3"/>
      <c r="P1341" s="3"/>
      <c r="Q1341" s="3"/>
      <c r="R1341" s="3"/>
      <c r="S1341" s="3"/>
      <c r="T1341" s="3"/>
      <c r="U1341" s="3"/>
    </row>
    <row r="1342">
      <c r="A1342" s="3"/>
      <c r="B1342" s="3"/>
      <c r="C1342" s="3"/>
      <c r="D1342" s="3"/>
      <c r="E1342" s="3"/>
      <c r="F1342" s="3"/>
      <c r="G1342" s="3"/>
      <c r="H1342" s="3"/>
      <c r="K1342" s="3"/>
      <c r="L1342" s="3"/>
      <c r="M1342" s="3"/>
      <c r="N1342" s="3"/>
      <c r="O1342" s="3"/>
      <c r="P1342" s="3"/>
      <c r="Q1342" s="3"/>
      <c r="R1342" s="3"/>
      <c r="S1342" s="3"/>
      <c r="T1342" s="3"/>
      <c r="U1342" s="3"/>
    </row>
    <row r="1343">
      <c r="A1343" s="3"/>
      <c r="B1343" s="3"/>
      <c r="C1343" s="3"/>
      <c r="D1343" s="3"/>
      <c r="E1343" s="3"/>
      <c r="F1343" s="3"/>
      <c r="G1343" s="3"/>
      <c r="H1343" s="3"/>
      <c r="K1343" s="3"/>
      <c r="L1343" s="3"/>
      <c r="M1343" s="3"/>
      <c r="N1343" s="3"/>
      <c r="O1343" s="3"/>
      <c r="P1343" s="3"/>
      <c r="Q1343" s="3"/>
      <c r="R1343" s="3"/>
      <c r="S1343" s="3"/>
      <c r="T1343" s="3"/>
      <c r="U1343" s="3"/>
    </row>
    <row r="1344">
      <c r="A1344" s="3"/>
      <c r="B1344" s="3"/>
      <c r="C1344" s="3"/>
      <c r="D1344" s="3"/>
      <c r="E1344" s="3"/>
      <c r="F1344" s="3"/>
      <c r="G1344" s="3"/>
      <c r="H1344" s="3"/>
      <c r="K1344" s="3"/>
      <c r="L1344" s="3"/>
      <c r="M1344" s="3"/>
      <c r="N1344" s="3"/>
      <c r="O1344" s="3"/>
      <c r="P1344" s="3"/>
      <c r="Q1344" s="3"/>
      <c r="R1344" s="3"/>
      <c r="S1344" s="3"/>
      <c r="T1344" s="3"/>
      <c r="U1344" s="3"/>
    </row>
    <row r="1345">
      <c r="A1345" s="3"/>
      <c r="B1345" s="3"/>
      <c r="C1345" s="3"/>
      <c r="D1345" s="3"/>
      <c r="E1345" s="3"/>
      <c r="F1345" s="3"/>
      <c r="G1345" s="3"/>
      <c r="H1345" s="3"/>
      <c r="K1345" s="3"/>
      <c r="L1345" s="3"/>
      <c r="M1345" s="3"/>
      <c r="N1345" s="3"/>
      <c r="O1345" s="3"/>
      <c r="P1345" s="3"/>
      <c r="Q1345" s="3"/>
      <c r="R1345" s="3"/>
      <c r="S1345" s="3"/>
      <c r="T1345" s="3"/>
      <c r="U1345" s="3"/>
    </row>
    <row r="1346">
      <c r="A1346" s="3"/>
      <c r="B1346" s="3"/>
      <c r="C1346" s="3"/>
      <c r="D1346" s="3"/>
      <c r="E1346" s="3"/>
      <c r="F1346" s="3"/>
      <c r="G1346" s="3"/>
      <c r="H1346" s="3"/>
      <c r="K1346" s="3"/>
      <c r="L1346" s="3"/>
      <c r="M1346" s="3"/>
      <c r="N1346" s="3"/>
      <c r="O1346" s="3"/>
      <c r="P1346" s="3"/>
      <c r="Q1346" s="3"/>
      <c r="R1346" s="3"/>
      <c r="S1346" s="3"/>
      <c r="T1346" s="3"/>
      <c r="U1346" s="3"/>
    </row>
    <row r="1347">
      <c r="A1347" s="3"/>
      <c r="B1347" s="3"/>
      <c r="C1347" s="3"/>
      <c r="D1347" s="3"/>
      <c r="E1347" s="3"/>
      <c r="F1347" s="3"/>
      <c r="G1347" s="3"/>
      <c r="H1347" s="3"/>
      <c r="K1347" s="3"/>
      <c r="L1347" s="3"/>
      <c r="M1347" s="3"/>
      <c r="N1347" s="3"/>
      <c r="O1347" s="3"/>
      <c r="P1347" s="3"/>
      <c r="Q1347" s="3"/>
      <c r="R1347" s="3"/>
      <c r="S1347" s="3"/>
      <c r="T1347" s="3"/>
      <c r="U1347" s="3"/>
    </row>
    <row r="1348">
      <c r="A1348" s="3"/>
      <c r="B1348" s="3"/>
      <c r="C1348" s="3"/>
      <c r="D1348" s="3"/>
      <c r="E1348" s="3"/>
      <c r="F1348" s="3"/>
      <c r="G1348" s="3"/>
      <c r="H1348" s="3"/>
      <c r="K1348" s="3"/>
      <c r="L1348" s="3"/>
      <c r="M1348" s="3"/>
      <c r="N1348" s="3"/>
      <c r="O1348" s="3"/>
      <c r="P1348" s="3"/>
      <c r="Q1348" s="3"/>
      <c r="R1348" s="3"/>
      <c r="S1348" s="3"/>
      <c r="T1348" s="3"/>
      <c r="U1348" s="3"/>
    </row>
    <row r="1349">
      <c r="A1349" s="3"/>
      <c r="B1349" s="3"/>
      <c r="C1349" s="3"/>
      <c r="D1349" s="3"/>
      <c r="E1349" s="3"/>
      <c r="F1349" s="3"/>
      <c r="G1349" s="3"/>
      <c r="H1349" s="3"/>
      <c r="K1349" s="3"/>
      <c r="L1349" s="3"/>
      <c r="M1349" s="3"/>
      <c r="N1349" s="3"/>
      <c r="O1349" s="3"/>
      <c r="P1349" s="3"/>
      <c r="Q1349" s="3"/>
      <c r="R1349" s="3"/>
      <c r="S1349" s="3"/>
      <c r="T1349" s="3"/>
      <c r="U1349" s="3"/>
    </row>
    <row r="1350">
      <c r="A1350" s="3"/>
      <c r="B1350" s="3"/>
      <c r="C1350" s="3"/>
      <c r="D1350" s="3"/>
      <c r="E1350" s="3"/>
      <c r="F1350" s="3"/>
      <c r="G1350" s="3"/>
      <c r="H1350" s="3"/>
      <c r="K1350" s="3"/>
      <c r="L1350" s="3"/>
      <c r="M1350" s="3"/>
      <c r="N1350" s="3"/>
      <c r="O1350" s="3"/>
      <c r="P1350" s="3"/>
      <c r="Q1350" s="3"/>
      <c r="R1350" s="3"/>
      <c r="S1350" s="3"/>
      <c r="T1350" s="3"/>
      <c r="U1350" s="3"/>
    </row>
    <row r="1351">
      <c r="A1351" s="3"/>
      <c r="B1351" s="3"/>
      <c r="C1351" s="3"/>
      <c r="D1351" s="3"/>
      <c r="E1351" s="3"/>
      <c r="F1351" s="3"/>
      <c r="G1351" s="3"/>
      <c r="H1351" s="3"/>
      <c r="K1351" s="3"/>
      <c r="L1351" s="3"/>
      <c r="M1351" s="3"/>
      <c r="N1351" s="3"/>
      <c r="O1351" s="3"/>
      <c r="P1351" s="3"/>
      <c r="Q1351" s="3"/>
      <c r="R1351" s="3"/>
      <c r="S1351" s="3"/>
      <c r="T1351" s="3"/>
      <c r="U1351" s="3"/>
    </row>
    <row r="1352">
      <c r="A1352" s="3"/>
      <c r="B1352" s="3"/>
      <c r="C1352" s="3"/>
      <c r="D1352" s="3"/>
      <c r="E1352" s="3"/>
      <c r="F1352" s="3"/>
      <c r="G1352" s="3"/>
      <c r="H1352" s="3"/>
      <c r="K1352" s="3"/>
      <c r="L1352" s="3"/>
      <c r="M1352" s="3"/>
      <c r="N1352" s="3"/>
      <c r="O1352" s="3"/>
      <c r="P1352" s="3"/>
      <c r="Q1352" s="3"/>
      <c r="R1352" s="3"/>
      <c r="S1352" s="3"/>
      <c r="T1352" s="3"/>
      <c r="U1352" s="3"/>
    </row>
    <row r="1353">
      <c r="A1353" s="3"/>
      <c r="B1353" s="3"/>
      <c r="C1353" s="3"/>
      <c r="D1353" s="3"/>
      <c r="E1353" s="3"/>
      <c r="F1353" s="3"/>
      <c r="G1353" s="3"/>
      <c r="H1353" s="3"/>
      <c r="K1353" s="3"/>
      <c r="L1353" s="3"/>
      <c r="M1353" s="3"/>
      <c r="N1353" s="3"/>
      <c r="O1353" s="3"/>
      <c r="P1353" s="3"/>
      <c r="Q1353" s="3"/>
      <c r="R1353" s="3"/>
      <c r="S1353" s="3"/>
      <c r="T1353" s="3"/>
      <c r="U1353" s="3"/>
    </row>
    <row r="1354">
      <c r="A1354" s="3"/>
      <c r="B1354" s="3"/>
      <c r="C1354" s="3"/>
      <c r="D1354" s="3"/>
      <c r="E1354" s="3"/>
      <c r="F1354" s="3"/>
      <c r="G1354" s="3"/>
      <c r="H1354" s="3"/>
      <c r="K1354" s="3"/>
      <c r="L1354" s="3"/>
      <c r="M1354" s="3"/>
      <c r="N1354" s="3"/>
      <c r="O1354" s="3"/>
      <c r="P1354" s="3"/>
      <c r="Q1354" s="3"/>
      <c r="R1354" s="3"/>
      <c r="S1354" s="3"/>
      <c r="T1354" s="3"/>
      <c r="U1354" s="3"/>
    </row>
    <row r="1355">
      <c r="A1355" s="3"/>
      <c r="B1355" s="3"/>
      <c r="C1355" s="3"/>
      <c r="D1355" s="3"/>
      <c r="E1355" s="3"/>
      <c r="F1355" s="3"/>
      <c r="G1355" s="3"/>
      <c r="H1355" s="3"/>
      <c r="K1355" s="3"/>
      <c r="L1355" s="3"/>
      <c r="M1355" s="3"/>
      <c r="N1355" s="3"/>
      <c r="O1355" s="3"/>
      <c r="P1355" s="3"/>
      <c r="Q1355" s="3"/>
      <c r="R1355" s="3"/>
      <c r="S1355" s="3"/>
      <c r="T1355" s="3"/>
      <c r="U1355" s="3"/>
    </row>
    <row r="1356">
      <c r="A1356" s="3"/>
      <c r="B1356" s="3"/>
      <c r="C1356" s="3"/>
      <c r="D1356" s="3"/>
      <c r="E1356" s="3"/>
      <c r="F1356" s="3"/>
      <c r="G1356" s="3"/>
      <c r="H1356" s="3"/>
      <c r="K1356" s="3"/>
      <c r="L1356" s="3"/>
      <c r="M1356" s="3"/>
      <c r="N1356" s="3"/>
      <c r="O1356" s="3"/>
      <c r="P1356" s="3"/>
      <c r="Q1356" s="3"/>
      <c r="R1356" s="3"/>
      <c r="S1356" s="3"/>
      <c r="T1356" s="3"/>
      <c r="U1356" s="3"/>
    </row>
    <row r="1357">
      <c r="A1357" s="3"/>
      <c r="B1357" s="3"/>
      <c r="C1357" s="3"/>
      <c r="D1357" s="3"/>
      <c r="E1357" s="3"/>
      <c r="F1357" s="3"/>
      <c r="G1357" s="3"/>
      <c r="H1357" s="3"/>
      <c r="K1357" s="3"/>
      <c r="L1357" s="3"/>
      <c r="M1357" s="3"/>
      <c r="N1357" s="3"/>
      <c r="O1357" s="3"/>
      <c r="P1357" s="3"/>
      <c r="Q1357" s="3"/>
      <c r="R1357" s="3"/>
      <c r="S1357" s="3"/>
      <c r="T1357" s="3"/>
      <c r="U1357" s="3"/>
    </row>
    <row r="1358">
      <c r="A1358" s="3"/>
      <c r="B1358" s="3"/>
      <c r="C1358" s="3"/>
      <c r="D1358" s="3"/>
      <c r="E1358" s="3"/>
      <c r="F1358" s="3"/>
      <c r="G1358" s="3"/>
      <c r="H1358" s="3"/>
      <c r="K1358" s="3"/>
      <c r="L1358" s="3"/>
      <c r="M1358" s="3"/>
      <c r="N1358" s="3"/>
      <c r="O1358" s="3"/>
      <c r="P1358" s="3"/>
      <c r="Q1358" s="3"/>
      <c r="R1358" s="3"/>
      <c r="S1358" s="3"/>
      <c r="T1358" s="3"/>
      <c r="U1358" s="3"/>
    </row>
    <row r="1359">
      <c r="A1359" s="3"/>
      <c r="B1359" s="3"/>
      <c r="C1359" s="3"/>
      <c r="D1359" s="3"/>
      <c r="E1359" s="3"/>
      <c r="F1359" s="3"/>
      <c r="G1359" s="3"/>
      <c r="H1359" s="3"/>
      <c r="K1359" s="3"/>
      <c r="L1359" s="3"/>
      <c r="M1359" s="3"/>
      <c r="N1359" s="3"/>
      <c r="O1359" s="3"/>
      <c r="P1359" s="3"/>
      <c r="Q1359" s="3"/>
      <c r="R1359" s="3"/>
      <c r="S1359" s="3"/>
      <c r="T1359" s="3"/>
      <c r="U1359" s="3"/>
    </row>
    <row r="1360">
      <c r="A1360" s="3"/>
      <c r="B1360" s="3"/>
      <c r="C1360" s="3"/>
      <c r="D1360" s="3"/>
      <c r="E1360" s="3"/>
      <c r="F1360" s="3"/>
      <c r="G1360" s="3"/>
      <c r="H1360" s="3"/>
      <c r="K1360" s="3"/>
      <c r="L1360" s="3"/>
      <c r="M1360" s="3"/>
      <c r="N1360" s="3"/>
      <c r="O1360" s="3"/>
      <c r="P1360" s="3"/>
      <c r="Q1360" s="3"/>
      <c r="R1360" s="3"/>
      <c r="S1360" s="3"/>
      <c r="T1360" s="3"/>
      <c r="U1360" s="3"/>
    </row>
    <row r="1361">
      <c r="A1361" s="3"/>
      <c r="B1361" s="3"/>
      <c r="C1361" s="3"/>
      <c r="D1361" s="3"/>
      <c r="E1361" s="3"/>
      <c r="F1361" s="3"/>
      <c r="G1361" s="3"/>
      <c r="H1361" s="3"/>
      <c r="K1361" s="3"/>
      <c r="L1361" s="3"/>
      <c r="M1361" s="3"/>
      <c r="N1361" s="3"/>
      <c r="O1361" s="3"/>
      <c r="P1361" s="3"/>
      <c r="Q1361" s="3"/>
      <c r="R1361" s="3"/>
      <c r="S1361" s="3"/>
      <c r="T1361" s="3"/>
      <c r="U1361" s="3"/>
    </row>
    <row r="1362">
      <c r="A1362" s="3"/>
      <c r="B1362" s="3"/>
      <c r="C1362" s="3"/>
      <c r="D1362" s="3"/>
      <c r="E1362" s="3"/>
      <c r="F1362" s="3"/>
      <c r="G1362" s="3"/>
      <c r="H1362" s="3"/>
      <c r="K1362" s="3"/>
      <c r="L1362" s="3"/>
      <c r="M1362" s="3"/>
      <c r="N1362" s="3"/>
      <c r="O1362" s="3"/>
      <c r="P1362" s="3"/>
      <c r="Q1362" s="3"/>
      <c r="R1362" s="3"/>
      <c r="S1362" s="3"/>
      <c r="T1362" s="3"/>
      <c r="U1362" s="3"/>
    </row>
    <row r="1363">
      <c r="A1363" s="3"/>
      <c r="B1363" s="3"/>
      <c r="C1363" s="3"/>
      <c r="D1363" s="3"/>
      <c r="E1363" s="3"/>
      <c r="F1363" s="3"/>
      <c r="G1363" s="3"/>
      <c r="H1363" s="3"/>
      <c r="K1363" s="3"/>
      <c r="L1363" s="3"/>
      <c r="M1363" s="3"/>
      <c r="N1363" s="3"/>
      <c r="O1363" s="3"/>
      <c r="P1363" s="3"/>
      <c r="Q1363" s="3"/>
      <c r="R1363" s="3"/>
      <c r="S1363" s="3"/>
      <c r="T1363" s="3"/>
      <c r="U1363" s="3"/>
    </row>
    <row r="1364">
      <c r="A1364" s="3"/>
      <c r="B1364" s="3"/>
      <c r="C1364" s="3"/>
      <c r="D1364" s="3"/>
      <c r="E1364" s="3"/>
      <c r="F1364" s="3"/>
      <c r="G1364" s="3"/>
      <c r="H1364" s="3"/>
      <c r="K1364" s="3"/>
      <c r="L1364" s="3"/>
      <c r="M1364" s="3"/>
      <c r="N1364" s="3"/>
      <c r="O1364" s="3"/>
      <c r="P1364" s="3"/>
      <c r="Q1364" s="3"/>
      <c r="R1364" s="3"/>
      <c r="S1364" s="3"/>
      <c r="T1364" s="3"/>
      <c r="U1364" s="3"/>
    </row>
    <row r="1365">
      <c r="A1365" s="3"/>
      <c r="B1365" s="3"/>
      <c r="C1365" s="3"/>
      <c r="D1365" s="3"/>
      <c r="E1365" s="3"/>
      <c r="F1365" s="3"/>
      <c r="G1365" s="3"/>
      <c r="H1365" s="3"/>
      <c r="K1365" s="3"/>
      <c r="L1365" s="3"/>
      <c r="M1365" s="3"/>
      <c r="N1365" s="3"/>
      <c r="O1365" s="3"/>
      <c r="P1365" s="3"/>
      <c r="Q1365" s="3"/>
      <c r="R1365" s="3"/>
      <c r="S1365" s="3"/>
      <c r="T1365" s="3"/>
      <c r="U1365" s="3"/>
    </row>
    <row r="1366">
      <c r="A1366" s="3"/>
      <c r="B1366" s="3"/>
      <c r="C1366" s="3"/>
      <c r="D1366" s="3"/>
      <c r="E1366" s="3"/>
      <c r="F1366" s="3"/>
      <c r="G1366" s="3"/>
      <c r="H1366" s="3"/>
      <c r="K1366" s="3"/>
      <c r="L1366" s="3"/>
      <c r="M1366" s="3"/>
      <c r="N1366" s="3"/>
      <c r="O1366" s="3"/>
      <c r="P1366" s="3"/>
      <c r="Q1366" s="3"/>
      <c r="R1366" s="3"/>
      <c r="S1366" s="3"/>
      <c r="T1366" s="3"/>
      <c r="U1366" s="3"/>
    </row>
    <row r="1367">
      <c r="A1367" s="3"/>
      <c r="B1367" s="3"/>
      <c r="C1367" s="3"/>
      <c r="D1367" s="3"/>
      <c r="E1367" s="3"/>
      <c r="F1367" s="3"/>
      <c r="G1367" s="3"/>
      <c r="H1367" s="3"/>
      <c r="K1367" s="3"/>
      <c r="L1367" s="3"/>
      <c r="M1367" s="3"/>
      <c r="N1367" s="3"/>
      <c r="O1367" s="3"/>
      <c r="P1367" s="3"/>
      <c r="Q1367" s="3"/>
      <c r="R1367" s="3"/>
      <c r="S1367" s="3"/>
      <c r="T1367" s="3"/>
      <c r="U1367" s="3"/>
    </row>
    <row r="1368">
      <c r="A1368" s="3"/>
      <c r="B1368" s="3"/>
      <c r="C1368" s="3"/>
      <c r="D1368" s="3"/>
      <c r="E1368" s="3"/>
      <c r="F1368" s="3"/>
      <c r="G1368" s="3"/>
      <c r="H1368" s="3"/>
      <c r="K1368" s="3"/>
      <c r="L1368" s="3"/>
      <c r="M1368" s="3"/>
      <c r="N1368" s="3"/>
      <c r="O1368" s="3"/>
      <c r="P1368" s="3"/>
      <c r="Q1368" s="3"/>
      <c r="R1368" s="3"/>
      <c r="S1368" s="3"/>
      <c r="T1368" s="3"/>
      <c r="U1368" s="3"/>
    </row>
    <row r="1369">
      <c r="A1369" s="3"/>
      <c r="B1369" s="3"/>
      <c r="C1369" s="3"/>
      <c r="D1369" s="3"/>
      <c r="E1369" s="3"/>
      <c r="F1369" s="3"/>
      <c r="G1369" s="3"/>
      <c r="H1369" s="3"/>
      <c r="K1369" s="3"/>
      <c r="L1369" s="3"/>
      <c r="M1369" s="3"/>
      <c r="N1369" s="3"/>
      <c r="O1369" s="3"/>
      <c r="P1369" s="3"/>
      <c r="Q1369" s="3"/>
      <c r="R1369" s="3"/>
      <c r="S1369" s="3"/>
      <c r="T1369" s="3"/>
      <c r="U1369" s="3"/>
    </row>
    <row r="1370">
      <c r="A1370" s="3"/>
      <c r="B1370" s="3"/>
      <c r="C1370" s="3"/>
      <c r="D1370" s="3"/>
      <c r="E1370" s="3"/>
      <c r="F1370" s="3"/>
      <c r="G1370" s="3"/>
      <c r="H1370" s="3"/>
      <c r="K1370" s="3"/>
      <c r="L1370" s="3"/>
      <c r="M1370" s="3"/>
      <c r="N1370" s="3"/>
      <c r="O1370" s="3"/>
      <c r="P1370" s="3"/>
      <c r="Q1370" s="3"/>
      <c r="R1370" s="3"/>
      <c r="S1370" s="3"/>
      <c r="T1370" s="3"/>
      <c r="U1370" s="3"/>
    </row>
    <row r="1371">
      <c r="A1371" s="3"/>
      <c r="B1371" s="3"/>
      <c r="C1371" s="3"/>
      <c r="D1371" s="3"/>
      <c r="E1371" s="3"/>
      <c r="F1371" s="3"/>
      <c r="G1371" s="3"/>
      <c r="H1371" s="3"/>
      <c r="K1371" s="3"/>
      <c r="L1371" s="3"/>
      <c r="M1371" s="3"/>
      <c r="N1371" s="3"/>
      <c r="O1371" s="3"/>
      <c r="P1371" s="3"/>
      <c r="Q1371" s="3"/>
      <c r="R1371" s="3"/>
      <c r="S1371" s="3"/>
      <c r="T1371" s="3"/>
      <c r="U1371" s="3"/>
    </row>
    <row r="1372">
      <c r="A1372" s="3"/>
      <c r="B1372" s="3"/>
      <c r="C1372" s="3"/>
      <c r="D1372" s="3"/>
      <c r="E1372" s="3"/>
      <c r="F1372" s="3"/>
      <c r="G1372" s="3"/>
      <c r="H1372" s="3"/>
      <c r="K1372" s="3"/>
      <c r="L1372" s="3"/>
      <c r="M1372" s="3"/>
      <c r="N1372" s="3"/>
      <c r="O1372" s="3"/>
      <c r="P1372" s="3"/>
      <c r="Q1372" s="3"/>
      <c r="R1372" s="3"/>
      <c r="S1372" s="3"/>
      <c r="T1372" s="3"/>
      <c r="U1372" s="3"/>
    </row>
    <row r="1373">
      <c r="A1373" s="3"/>
      <c r="B1373" s="3"/>
      <c r="C1373" s="3"/>
      <c r="D1373" s="3"/>
      <c r="E1373" s="3"/>
      <c r="F1373" s="3"/>
      <c r="G1373" s="3"/>
      <c r="H1373" s="3"/>
      <c r="K1373" s="3"/>
      <c r="L1373" s="3"/>
      <c r="M1373" s="3"/>
      <c r="N1373" s="3"/>
      <c r="O1373" s="3"/>
      <c r="P1373" s="3"/>
      <c r="Q1373" s="3"/>
      <c r="R1373" s="3"/>
      <c r="S1373" s="3"/>
      <c r="T1373" s="3"/>
      <c r="U1373" s="3"/>
    </row>
    <row r="1374">
      <c r="A1374" s="3"/>
      <c r="B1374" s="3"/>
      <c r="C1374" s="3"/>
      <c r="D1374" s="3"/>
      <c r="E1374" s="3"/>
      <c r="F1374" s="3"/>
      <c r="G1374" s="3"/>
      <c r="H1374" s="3"/>
      <c r="K1374" s="3"/>
      <c r="L1374" s="3"/>
      <c r="M1374" s="3"/>
      <c r="N1374" s="3"/>
      <c r="O1374" s="3"/>
      <c r="P1374" s="3"/>
      <c r="Q1374" s="3"/>
      <c r="R1374" s="3"/>
      <c r="S1374" s="3"/>
      <c r="T1374" s="3"/>
      <c r="U1374" s="3"/>
    </row>
    <row r="1375">
      <c r="A1375" s="3"/>
      <c r="B1375" s="3"/>
      <c r="C1375" s="3"/>
      <c r="D1375" s="3"/>
      <c r="E1375" s="3"/>
      <c r="F1375" s="3"/>
      <c r="G1375" s="3"/>
      <c r="H1375" s="3"/>
      <c r="K1375" s="3"/>
      <c r="L1375" s="3"/>
      <c r="M1375" s="3"/>
      <c r="N1375" s="3"/>
      <c r="O1375" s="3"/>
      <c r="P1375" s="3"/>
      <c r="Q1375" s="3"/>
      <c r="R1375" s="3"/>
      <c r="S1375" s="3"/>
      <c r="T1375" s="3"/>
      <c r="U1375" s="3"/>
    </row>
    <row r="1376">
      <c r="A1376" s="3"/>
      <c r="B1376" s="3"/>
      <c r="C1376" s="3"/>
      <c r="D1376" s="3"/>
      <c r="E1376" s="3"/>
      <c r="F1376" s="3"/>
      <c r="G1376" s="3"/>
      <c r="H1376" s="3"/>
      <c r="K1376" s="3"/>
      <c r="L1376" s="3"/>
      <c r="M1376" s="3"/>
      <c r="N1376" s="3"/>
      <c r="O1376" s="3"/>
      <c r="P1376" s="3"/>
      <c r="Q1376" s="3"/>
      <c r="R1376" s="3"/>
      <c r="S1376" s="3"/>
      <c r="T1376" s="3"/>
      <c r="U1376" s="3"/>
    </row>
    <row r="1377">
      <c r="A1377" s="3"/>
      <c r="B1377" s="3"/>
      <c r="C1377" s="3"/>
      <c r="D1377" s="3"/>
      <c r="E1377" s="3"/>
      <c r="F1377" s="3"/>
      <c r="G1377" s="3"/>
      <c r="H1377" s="3"/>
      <c r="K1377" s="3"/>
      <c r="L1377" s="3"/>
      <c r="M1377" s="3"/>
      <c r="N1377" s="3"/>
      <c r="O1377" s="3"/>
      <c r="P1377" s="3"/>
      <c r="Q1377" s="3"/>
      <c r="R1377" s="3"/>
      <c r="S1377" s="3"/>
      <c r="T1377" s="3"/>
      <c r="U1377" s="3"/>
    </row>
    <row r="1378">
      <c r="A1378" s="3"/>
      <c r="B1378" s="3"/>
      <c r="C1378" s="3"/>
      <c r="D1378" s="3"/>
      <c r="E1378" s="3"/>
      <c r="F1378" s="3"/>
      <c r="G1378" s="3"/>
      <c r="H1378" s="3"/>
      <c r="K1378" s="3"/>
      <c r="L1378" s="3"/>
      <c r="M1378" s="3"/>
      <c r="N1378" s="3"/>
      <c r="O1378" s="3"/>
      <c r="P1378" s="3"/>
      <c r="Q1378" s="3"/>
      <c r="R1378" s="3"/>
      <c r="S1378" s="3"/>
      <c r="T1378" s="3"/>
      <c r="U1378" s="3"/>
    </row>
    <row r="1379">
      <c r="A1379" s="3"/>
      <c r="B1379" s="3"/>
      <c r="C1379" s="3"/>
      <c r="D1379" s="3"/>
      <c r="E1379" s="3"/>
      <c r="F1379" s="3"/>
      <c r="G1379" s="3"/>
      <c r="H1379" s="3"/>
      <c r="K1379" s="3"/>
      <c r="L1379" s="3"/>
      <c r="M1379" s="3"/>
      <c r="N1379" s="3"/>
      <c r="O1379" s="3"/>
      <c r="P1379" s="3"/>
      <c r="Q1379" s="3"/>
      <c r="R1379" s="3"/>
      <c r="S1379" s="3"/>
      <c r="T1379" s="3"/>
      <c r="U1379" s="3"/>
    </row>
    <row r="1380">
      <c r="A1380" s="3"/>
      <c r="B1380" s="3"/>
      <c r="C1380" s="3"/>
      <c r="D1380" s="3"/>
      <c r="E1380" s="3"/>
      <c r="F1380" s="3"/>
      <c r="G1380" s="3"/>
      <c r="H1380" s="3"/>
      <c r="K1380" s="3"/>
      <c r="L1380" s="3"/>
      <c r="M1380" s="3"/>
      <c r="N1380" s="3"/>
      <c r="O1380" s="3"/>
      <c r="P1380" s="3"/>
      <c r="Q1380" s="3"/>
      <c r="R1380" s="3"/>
      <c r="S1380" s="3"/>
      <c r="T1380" s="3"/>
      <c r="U1380" s="3"/>
    </row>
    <row r="1381">
      <c r="A1381" s="3"/>
      <c r="B1381" s="3"/>
      <c r="C1381" s="3"/>
      <c r="D1381" s="3"/>
      <c r="E1381" s="3"/>
      <c r="F1381" s="3"/>
      <c r="G1381" s="3"/>
      <c r="H1381" s="3"/>
      <c r="K1381" s="3"/>
      <c r="L1381" s="3"/>
      <c r="M1381" s="3"/>
      <c r="N1381" s="3"/>
      <c r="O1381" s="3"/>
      <c r="P1381" s="3"/>
      <c r="Q1381" s="3"/>
      <c r="R1381" s="3"/>
      <c r="S1381" s="3"/>
      <c r="T1381" s="3"/>
      <c r="U1381" s="3"/>
    </row>
    <row r="1382">
      <c r="A1382" s="3"/>
      <c r="B1382" s="3"/>
      <c r="C1382" s="3"/>
      <c r="D1382" s="3"/>
      <c r="E1382" s="3"/>
      <c r="F1382" s="3"/>
      <c r="G1382" s="3"/>
      <c r="H1382" s="3"/>
      <c r="K1382" s="3"/>
      <c r="L1382" s="3"/>
      <c r="M1382" s="3"/>
      <c r="N1382" s="3"/>
      <c r="O1382" s="3"/>
      <c r="P1382" s="3"/>
      <c r="Q1382" s="3"/>
      <c r="R1382" s="3"/>
      <c r="S1382" s="3"/>
      <c r="T1382" s="3"/>
      <c r="U1382" s="3"/>
    </row>
    <row r="1383">
      <c r="A1383" s="3"/>
      <c r="B1383" s="3"/>
      <c r="C1383" s="3"/>
      <c r="D1383" s="3"/>
      <c r="E1383" s="3"/>
      <c r="F1383" s="3"/>
      <c r="G1383" s="3"/>
      <c r="H1383" s="3"/>
      <c r="K1383" s="3"/>
      <c r="L1383" s="3"/>
      <c r="M1383" s="3"/>
      <c r="N1383" s="3"/>
      <c r="O1383" s="3"/>
      <c r="P1383" s="3"/>
      <c r="Q1383" s="3"/>
      <c r="R1383" s="3"/>
      <c r="S1383" s="3"/>
      <c r="T1383" s="3"/>
      <c r="U1383" s="3"/>
    </row>
    <row r="1384">
      <c r="A1384" s="3"/>
      <c r="B1384" s="3"/>
      <c r="C1384" s="3"/>
      <c r="D1384" s="3"/>
      <c r="E1384" s="3"/>
      <c r="F1384" s="3"/>
      <c r="G1384" s="3"/>
      <c r="H1384" s="3"/>
      <c r="K1384" s="3"/>
      <c r="L1384" s="3"/>
      <c r="M1384" s="3"/>
      <c r="N1384" s="3"/>
      <c r="O1384" s="3"/>
      <c r="P1384" s="3"/>
      <c r="Q1384" s="3"/>
      <c r="R1384" s="3"/>
      <c r="S1384" s="3"/>
      <c r="T1384" s="3"/>
      <c r="U1384" s="3"/>
    </row>
    <row r="1385">
      <c r="A1385" s="3"/>
      <c r="B1385" s="3"/>
      <c r="C1385" s="3"/>
      <c r="D1385" s="3"/>
      <c r="E1385" s="3"/>
      <c r="F1385" s="3"/>
      <c r="G1385" s="3"/>
      <c r="H1385" s="3"/>
      <c r="K1385" s="3"/>
      <c r="L1385" s="3"/>
      <c r="M1385" s="3"/>
      <c r="N1385" s="3"/>
      <c r="O1385" s="3"/>
      <c r="P1385" s="3"/>
      <c r="Q1385" s="3"/>
      <c r="R1385" s="3"/>
      <c r="S1385" s="3"/>
      <c r="T1385" s="3"/>
      <c r="U1385" s="3"/>
    </row>
    <row r="1386">
      <c r="A1386" s="3"/>
      <c r="B1386" s="3"/>
      <c r="C1386" s="3"/>
      <c r="D1386" s="3"/>
      <c r="E1386" s="3"/>
      <c r="F1386" s="3"/>
      <c r="G1386" s="3"/>
      <c r="H1386" s="3"/>
      <c r="K1386" s="3"/>
      <c r="L1386" s="3"/>
      <c r="M1386" s="3"/>
      <c r="N1386" s="3"/>
      <c r="O1386" s="3"/>
      <c r="P1386" s="3"/>
      <c r="Q1386" s="3"/>
      <c r="R1386" s="3"/>
      <c r="S1386" s="3"/>
      <c r="T1386" s="3"/>
      <c r="U1386" s="3"/>
    </row>
    <row r="1387">
      <c r="A1387" s="3"/>
      <c r="B1387" s="3"/>
      <c r="C1387" s="3"/>
      <c r="D1387" s="3"/>
      <c r="E1387" s="3"/>
      <c r="F1387" s="3"/>
      <c r="G1387" s="3"/>
      <c r="H1387" s="3"/>
      <c r="K1387" s="3"/>
      <c r="L1387" s="3"/>
      <c r="M1387" s="3"/>
      <c r="N1387" s="3"/>
      <c r="O1387" s="3"/>
      <c r="P1387" s="3"/>
      <c r="Q1387" s="3"/>
      <c r="R1387" s="3"/>
      <c r="S1387" s="3"/>
      <c r="T1387" s="3"/>
      <c r="U1387" s="3"/>
    </row>
    <row r="1388">
      <c r="A1388" s="3"/>
      <c r="B1388" s="3"/>
      <c r="C1388" s="3"/>
      <c r="D1388" s="3"/>
      <c r="E1388" s="3"/>
      <c r="F1388" s="3"/>
      <c r="G1388" s="3"/>
      <c r="H1388" s="3"/>
      <c r="K1388" s="3"/>
      <c r="L1388" s="3"/>
      <c r="M1388" s="3"/>
      <c r="N1388" s="3"/>
      <c r="O1388" s="3"/>
      <c r="P1388" s="3"/>
      <c r="Q1388" s="3"/>
      <c r="R1388" s="3"/>
      <c r="S1388" s="3"/>
      <c r="T1388" s="3"/>
      <c r="U1388" s="3"/>
    </row>
    <row r="1389">
      <c r="A1389" s="3"/>
      <c r="B1389" s="3"/>
      <c r="C1389" s="3"/>
      <c r="D1389" s="3"/>
      <c r="E1389" s="3"/>
      <c r="F1389" s="3"/>
      <c r="G1389" s="3"/>
      <c r="H1389" s="3"/>
      <c r="K1389" s="3"/>
      <c r="L1389" s="3"/>
      <c r="M1389" s="3"/>
      <c r="N1389" s="3"/>
      <c r="O1389" s="3"/>
      <c r="P1389" s="3"/>
      <c r="Q1389" s="3"/>
      <c r="R1389" s="3"/>
      <c r="S1389" s="3"/>
      <c r="T1389" s="3"/>
      <c r="U1389" s="3"/>
    </row>
    <row r="1390">
      <c r="A1390" s="3"/>
      <c r="B1390" s="3"/>
      <c r="C1390" s="3"/>
      <c r="D1390" s="3"/>
      <c r="E1390" s="3"/>
      <c r="F1390" s="3"/>
      <c r="G1390" s="3"/>
      <c r="H1390" s="3"/>
      <c r="K1390" s="3"/>
      <c r="L1390" s="3"/>
      <c r="M1390" s="3"/>
      <c r="N1390" s="3"/>
      <c r="O1390" s="3"/>
      <c r="P1390" s="3"/>
      <c r="Q1390" s="3"/>
      <c r="R1390" s="3"/>
      <c r="S1390" s="3"/>
      <c r="T1390" s="3"/>
      <c r="U1390" s="3"/>
    </row>
    <row r="1391">
      <c r="A1391" s="3"/>
      <c r="B1391" s="3"/>
      <c r="C1391" s="3"/>
      <c r="D1391" s="3"/>
      <c r="E1391" s="3"/>
      <c r="F1391" s="3"/>
      <c r="G1391" s="3"/>
      <c r="H1391" s="3"/>
      <c r="K1391" s="3"/>
      <c r="L1391" s="3"/>
      <c r="M1391" s="3"/>
      <c r="N1391" s="3"/>
      <c r="O1391" s="3"/>
      <c r="P1391" s="3"/>
      <c r="Q1391" s="3"/>
      <c r="R1391" s="3"/>
      <c r="S1391" s="3"/>
      <c r="T1391" s="3"/>
      <c r="U1391" s="3"/>
    </row>
    <row r="1392">
      <c r="A1392" s="3"/>
      <c r="B1392" s="3"/>
      <c r="C1392" s="3"/>
      <c r="D1392" s="3"/>
      <c r="E1392" s="3"/>
      <c r="F1392" s="3"/>
      <c r="G1392" s="3"/>
      <c r="H1392" s="3"/>
      <c r="K1392" s="3"/>
      <c r="L1392" s="3"/>
      <c r="M1392" s="3"/>
      <c r="N1392" s="3"/>
      <c r="O1392" s="3"/>
      <c r="P1392" s="3"/>
      <c r="Q1392" s="3"/>
      <c r="R1392" s="3"/>
      <c r="S1392" s="3"/>
      <c r="T1392" s="3"/>
      <c r="U1392" s="3"/>
    </row>
    <row r="1393">
      <c r="A1393" s="3"/>
      <c r="B1393" s="3"/>
      <c r="C1393" s="3"/>
      <c r="D1393" s="3"/>
      <c r="E1393" s="3"/>
      <c r="F1393" s="3"/>
      <c r="G1393" s="3"/>
      <c r="H1393" s="3"/>
      <c r="K1393" s="3"/>
      <c r="L1393" s="3"/>
      <c r="M1393" s="3"/>
      <c r="N1393" s="3"/>
      <c r="O1393" s="3"/>
      <c r="P1393" s="3"/>
      <c r="Q1393" s="3"/>
      <c r="R1393" s="3"/>
      <c r="S1393" s="3"/>
      <c r="T1393" s="3"/>
      <c r="U1393" s="3"/>
    </row>
    <row r="1394">
      <c r="A1394" s="3"/>
      <c r="B1394" s="3"/>
      <c r="C1394" s="3"/>
      <c r="D1394" s="3"/>
      <c r="E1394" s="3"/>
      <c r="F1394" s="3"/>
      <c r="G1394" s="3"/>
      <c r="H1394" s="3"/>
      <c r="K1394" s="3"/>
      <c r="L1394" s="3"/>
      <c r="M1394" s="3"/>
      <c r="N1394" s="3"/>
      <c r="O1394" s="3"/>
      <c r="P1394" s="3"/>
      <c r="Q1394" s="3"/>
      <c r="R1394" s="3"/>
      <c r="S1394" s="3"/>
      <c r="T1394" s="3"/>
      <c r="U1394" s="3"/>
    </row>
    <row r="1395">
      <c r="A1395" s="3"/>
      <c r="B1395" s="3"/>
      <c r="C1395" s="3"/>
      <c r="D1395" s="3"/>
      <c r="E1395" s="3"/>
      <c r="F1395" s="3"/>
      <c r="G1395" s="3"/>
      <c r="H1395" s="3"/>
      <c r="K1395" s="3"/>
      <c r="L1395" s="3"/>
      <c r="M1395" s="3"/>
      <c r="N1395" s="3"/>
      <c r="O1395" s="3"/>
      <c r="P1395" s="3"/>
      <c r="Q1395" s="3"/>
      <c r="R1395" s="3"/>
      <c r="S1395" s="3"/>
      <c r="T1395" s="3"/>
      <c r="U1395" s="3"/>
    </row>
    <row r="1396">
      <c r="A1396" s="3"/>
      <c r="B1396" s="3"/>
      <c r="C1396" s="3"/>
      <c r="D1396" s="3"/>
      <c r="E1396" s="3"/>
      <c r="F1396" s="3"/>
      <c r="G1396" s="3"/>
      <c r="H1396" s="3"/>
      <c r="K1396" s="3"/>
      <c r="L1396" s="3"/>
      <c r="M1396" s="3"/>
      <c r="N1396" s="3"/>
      <c r="O1396" s="3"/>
      <c r="P1396" s="3"/>
      <c r="Q1396" s="3"/>
      <c r="R1396" s="3"/>
      <c r="S1396" s="3"/>
      <c r="T1396" s="3"/>
      <c r="U1396" s="3"/>
    </row>
    <row r="1397">
      <c r="A1397" s="3"/>
      <c r="B1397" s="3"/>
      <c r="C1397" s="3"/>
      <c r="D1397" s="3"/>
      <c r="E1397" s="3"/>
      <c r="F1397" s="3"/>
      <c r="G1397" s="3"/>
      <c r="H1397" s="3"/>
      <c r="K1397" s="3"/>
      <c r="L1397" s="3"/>
      <c r="M1397" s="3"/>
      <c r="N1397" s="3"/>
      <c r="O1397" s="3"/>
      <c r="P1397" s="3"/>
      <c r="Q1397" s="3"/>
      <c r="R1397" s="3"/>
      <c r="S1397" s="3"/>
      <c r="T1397" s="3"/>
      <c r="U1397" s="3"/>
    </row>
    <row r="1398">
      <c r="A1398" s="3"/>
      <c r="B1398" s="3"/>
      <c r="C1398" s="3"/>
      <c r="D1398" s="3"/>
      <c r="E1398" s="3"/>
      <c r="F1398" s="3"/>
      <c r="G1398" s="3"/>
      <c r="H1398" s="3"/>
      <c r="K1398" s="3"/>
      <c r="L1398" s="3"/>
      <c r="M1398" s="3"/>
      <c r="N1398" s="3"/>
      <c r="O1398" s="3"/>
      <c r="P1398" s="3"/>
      <c r="Q1398" s="3"/>
      <c r="R1398" s="3"/>
      <c r="S1398" s="3"/>
      <c r="T1398" s="3"/>
      <c r="U1398" s="3"/>
    </row>
    <row r="1399">
      <c r="A1399" s="3"/>
      <c r="B1399" s="3"/>
      <c r="C1399" s="3"/>
      <c r="D1399" s="3"/>
      <c r="E1399" s="3"/>
      <c r="F1399" s="3"/>
      <c r="G1399" s="3"/>
      <c r="H1399" s="3"/>
      <c r="K1399" s="3"/>
      <c r="L1399" s="3"/>
      <c r="M1399" s="3"/>
      <c r="N1399" s="3"/>
      <c r="O1399" s="3"/>
      <c r="P1399" s="3"/>
      <c r="Q1399" s="3"/>
      <c r="R1399" s="3"/>
      <c r="S1399" s="3"/>
      <c r="T1399" s="3"/>
      <c r="U1399" s="3"/>
    </row>
    <row r="1400">
      <c r="A1400" s="3"/>
      <c r="B1400" s="3"/>
      <c r="C1400" s="3"/>
      <c r="D1400" s="3"/>
      <c r="E1400" s="3"/>
      <c r="F1400" s="3"/>
      <c r="G1400" s="3"/>
      <c r="H1400" s="3"/>
      <c r="K1400" s="3"/>
      <c r="L1400" s="3"/>
      <c r="M1400" s="3"/>
      <c r="N1400" s="3"/>
      <c r="O1400" s="3"/>
      <c r="P1400" s="3"/>
      <c r="Q1400" s="3"/>
      <c r="R1400" s="3"/>
      <c r="S1400" s="3"/>
      <c r="T1400" s="3"/>
      <c r="U1400" s="3"/>
    </row>
    <row r="1401">
      <c r="A1401" s="3"/>
      <c r="B1401" s="3"/>
      <c r="C1401" s="3"/>
      <c r="D1401" s="3"/>
      <c r="E1401" s="3"/>
      <c r="F1401" s="3"/>
      <c r="G1401" s="3"/>
      <c r="H1401" s="3"/>
      <c r="K1401" s="3"/>
      <c r="L1401" s="3"/>
      <c r="M1401" s="3"/>
      <c r="N1401" s="3"/>
      <c r="O1401" s="3"/>
      <c r="P1401" s="3"/>
      <c r="Q1401" s="3"/>
      <c r="R1401" s="3"/>
      <c r="S1401" s="3"/>
      <c r="T1401" s="3"/>
      <c r="U1401" s="3"/>
    </row>
    <row r="1402">
      <c r="A1402" s="3"/>
      <c r="B1402" s="3"/>
      <c r="C1402" s="3"/>
      <c r="D1402" s="3"/>
      <c r="E1402" s="3"/>
      <c r="F1402" s="3"/>
      <c r="G1402" s="3"/>
      <c r="H1402" s="3"/>
      <c r="K1402" s="3"/>
      <c r="L1402" s="3"/>
      <c r="M1402" s="3"/>
      <c r="N1402" s="3"/>
      <c r="O1402" s="3"/>
      <c r="P1402" s="3"/>
      <c r="Q1402" s="3"/>
      <c r="R1402" s="3"/>
      <c r="S1402" s="3"/>
      <c r="T1402" s="3"/>
      <c r="U1402" s="3"/>
    </row>
    <row r="1403">
      <c r="A1403" s="3"/>
      <c r="B1403" s="3"/>
      <c r="C1403" s="3"/>
      <c r="D1403" s="3"/>
      <c r="E1403" s="3"/>
      <c r="F1403" s="3"/>
      <c r="G1403" s="3"/>
      <c r="H1403" s="3"/>
      <c r="K1403" s="3"/>
      <c r="L1403" s="3"/>
      <c r="M1403" s="3"/>
      <c r="N1403" s="3"/>
      <c r="O1403" s="3"/>
      <c r="P1403" s="3"/>
      <c r="Q1403" s="3"/>
      <c r="R1403" s="3"/>
      <c r="S1403" s="3"/>
      <c r="T1403" s="3"/>
      <c r="U1403" s="3"/>
    </row>
    <row r="1404">
      <c r="A1404" s="3"/>
      <c r="B1404" s="3"/>
      <c r="C1404" s="3"/>
      <c r="D1404" s="3"/>
      <c r="E1404" s="3"/>
      <c r="F1404" s="3"/>
      <c r="G1404" s="3"/>
      <c r="H1404" s="3"/>
      <c r="K1404" s="3"/>
      <c r="L1404" s="3"/>
      <c r="M1404" s="3"/>
      <c r="N1404" s="3"/>
      <c r="O1404" s="3"/>
      <c r="P1404" s="3"/>
      <c r="Q1404" s="3"/>
      <c r="R1404" s="3"/>
      <c r="S1404" s="3"/>
      <c r="T1404" s="3"/>
      <c r="U1404" s="3"/>
    </row>
    <row r="1405">
      <c r="A1405" s="3"/>
      <c r="B1405" s="3"/>
      <c r="C1405" s="3"/>
      <c r="D1405" s="3"/>
      <c r="E1405" s="3"/>
      <c r="F1405" s="3"/>
      <c r="G1405" s="3"/>
      <c r="H1405" s="3"/>
      <c r="K1405" s="3"/>
      <c r="L1405" s="3"/>
      <c r="M1405" s="3"/>
      <c r="N1405" s="3"/>
      <c r="O1405" s="3"/>
      <c r="P1405" s="3"/>
      <c r="Q1405" s="3"/>
      <c r="R1405" s="3"/>
      <c r="S1405" s="3"/>
      <c r="T1405" s="3"/>
      <c r="U1405" s="3"/>
    </row>
    <row r="1406">
      <c r="A1406" s="3"/>
      <c r="B1406" s="3"/>
      <c r="C1406" s="3"/>
      <c r="D1406" s="3"/>
      <c r="E1406" s="3"/>
      <c r="F1406" s="3"/>
      <c r="G1406" s="3"/>
      <c r="H1406" s="3"/>
      <c r="K1406" s="3"/>
      <c r="L1406" s="3"/>
      <c r="M1406" s="3"/>
      <c r="N1406" s="3"/>
      <c r="O1406" s="3"/>
      <c r="P1406" s="3"/>
      <c r="Q1406" s="3"/>
      <c r="R1406" s="3"/>
      <c r="S1406" s="3"/>
      <c r="T1406" s="3"/>
      <c r="U1406" s="3"/>
    </row>
    <row r="1407">
      <c r="A1407" s="3"/>
      <c r="B1407" s="3"/>
      <c r="C1407" s="3"/>
      <c r="D1407" s="3"/>
      <c r="E1407" s="3"/>
      <c r="F1407" s="3"/>
      <c r="G1407" s="3"/>
      <c r="H1407" s="3"/>
      <c r="K1407" s="3"/>
      <c r="L1407" s="3"/>
      <c r="M1407" s="3"/>
      <c r="N1407" s="3"/>
      <c r="O1407" s="3"/>
      <c r="P1407" s="3"/>
      <c r="Q1407" s="3"/>
      <c r="R1407" s="3"/>
      <c r="S1407" s="3"/>
      <c r="T1407" s="3"/>
      <c r="U1407" s="3"/>
    </row>
    <row r="1408">
      <c r="A1408" s="3"/>
      <c r="B1408" s="3"/>
      <c r="C1408" s="3"/>
      <c r="D1408" s="3"/>
      <c r="E1408" s="3"/>
      <c r="F1408" s="3"/>
      <c r="G1408" s="3"/>
      <c r="H1408" s="3"/>
      <c r="K1408" s="3"/>
      <c r="L1408" s="3"/>
      <c r="M1408" s="3"/>
      <c r="N1408" s="3"/>
      <c r="O1408" s="3"/>
      <c r="P1408" s="3"/>
      <c r="Q1408" s="3"/>
      <c r="R1408" s="3"/>
      <c r="S1408" s="3"/>
      <c r="T1408" s="3"/>
      <c r="U1408" s="3"/>
    </row>
    <row r="1409">
      <c r="A1409" s="3"/>
      <c r="B1409" s="3"/>
      <c r="C1409" s="3"/>
      <c r="D1409" s="3"/>
      <c r="E1409" s="3"/>
      <c r="F1409" s="3"/>
      <c r="G1409" s="3"/>
      <c r="H1409" s="3"/>
      <c r="K1409" s="3"/>
      <c r="L1409" s="3"/>
      <c r="M1409" s="3"/>
      <c r="N1409" s="3"/>
      <c r="O1409" s="3"/>
      <c r="P1409" s="3"/>
      <c r="Q1409" s="3"/>
      <c r="R1409" s="3"/>
      <c r="S1409" s="3"/>
      <c r="T1409" s="3"/>
      <c r="U1409" s="3"/>
    </row>
    <row r="1410">
      <c r="A1410" s="3"/>
      <c r="B1410" s="3"/>
      <c r="C1410" s="3"/>
      <c r="D1410" s="3"/>
      <c r="E1410" s="3"/>
      <c r="F1410" s="3"/>
      <c r="G1410" s="3"/>
      <c r="H1410" s="3"/>
      <c r="K1410" s="3"/>
      <c r="L1410" s="3"/>
      <c r="M1410" s="3"/>
      <c r="N1410" s="3"/>
      <c r="O1410" s="3"/>
      <c r="P1410" s="3"/>
      <c r="Q1410" s="3"/>
      <c r="R1410" s="3"/>
      <c r="S1410" s="3"/>
      <c r="T1410" s="3"/>
      <c r="U1410" s="3"/>
    </row>
    <row r="1411">
      <c r="A1411" s="3"/>
      <c r="B1411" s="3"/>
      <c r="C1411" s="3"/>
      <c r="D1411" s="3"/>
      <c r="E1411" s="3"/>
      <c r="F1411" s="3"/>
      <c r="G1411" s="3"/>
      <c r="H1411" s="3"/>
      <c r="K1411" s="3"/>
      <c r="L1411" s="3"/>
      <c r="M1411" s="3"/>
      <c r="N1411" s="3"/>
      <c r="O1411" s="3"/>
      <c r="P1411" s="3"/>
      <c r="Q1411" s="3"/>
      <c r="R1411" s="3"/>
      <c r="S1411" s="3"/>
      <c r="T1411" s="3"/>
      <c r="U1411" s="3"/>
    </row>
    <row r="1412">
      <c r="A1412" s="3"/>
      <c r="B1412" s="3"/>
      <c r="C1412" s="3"/>
      <c r="D1412" s="3"/>
      <c r="E1412" s="3"/>
      <c r="F1412" s="3"/>
      <c r="G1412" s="3"/>
      <c r="H1412" s="3"/>
      <c r="K1412" s="3"/>
      <c r="L1412" s="3"/>
      <c r="M1412" s="3"/>
      <c r="N1412" s="3"/>
      <c r="O1412" s="3"/>
      <c r="P1412" s="3"/>
      <c r="Q1412" s="3"/>
      <c r="R1412" s="3"/>
      <c r="S1412" s="3"/>
      <c r="T1412" s="3"/>
      <c r="U1412" s="3"/>
    </row>
    <row r="1413">
      <c r="A1413" s="3"/>
      <c r="B1413" s="3"/>
      <c r="C1413" s="3"/>
      <c r="D1413" s="3"/>
      <c r="E1413" s="3"/>
      <c r="F1413" s="3"/>
      <c r="G1413" s="3"/>
      <c r="H1413" s="3"/>
      <c r="K1413" s="3"/>
      <c r="L1413" s="3"/>
      <c r="M1413" s="3"/>
      <c r="N1413" s="3"/>
      <c r="O1413" s="3"/>
      <c r="P1413" s="3"/>
      <c r="Q1413" s="3"/>
      <c r="R1413" s="3"/>
      <c r="S1413" s="3"/>
      <c r="T1413" s="3"/>
      <c r="U1413" s="3"/>
    </row>
    <row r="1414">
      <c r="A1414" s="3"/>
      <c r="B1414" s="3"/>
      <c r="C1414" s="3"/>
      <c r="D1414" s="3"/>
      <c r="E1414" s="3"/>
      <c r="F1414" s="3"/>
      <c r="G1414" s="3"/>
      <c r="H1414" s="3"/>
      <c r="K1414" s="3"/>
      <c r="L1414" s="3"/>
      <c r="M1414" s="3"/>
      <c r="N1414" s="3"/>
      <c r="O1414" s="3"/>
      <c r="P1414" s="3"/>
      <c r="Q1414" s="3"/>
      <c r="R1414" s="3"/>
      <c r="S1414" s="3"/>
      <c r="T1414" s="3"/>
      <c r="U1414" s="3"/>
    </row>
    <row r="1415">
      <c r="A1415" s="3"/>
      <c r="B1415" s="3"/>
      <c r="C1415" s="3"/>
      <c r="D1415" s="3"/>
      <c r="E1415" s="3"/>
      <c r="F1415" s="3"/>
      <c r="G1415" s="3"/>
      <c r="H1415" s="3"/>
      <c r="K1415" s="3"/>
      <c r="L1415" s="3"/>
      <c r="M1415" s="3"/>
      <c r="N1415" s="3"/>
      <c r="O1415" s="3"/>
      <c r="P1415" s="3"/>
      <c r="Q1415" s="3"/>
      <c r="R1415" s="3"/>
      <c r="S1415" s="3"/>
      <c r="T1415" s="3"/>
      <c r="U1415" s="3"/>
    </row>
    <row r="1416">
      <c r="A1416" s="3"/>
      <c r="B1416" s="3"/>
      <c r="C1416" s="3"/>
      <c r="D1416" s="3"/>
      <c r="E1416" s="3"/>
      <c r="F1416" s="3"/>
      <c r="G1416" s="3"/>
      <c r="H1416" s="3"/>
      <c r="K1416" s="3"/>
      <c r="L1416" s="3"/>
      <c r="M1416" s="3"/>
      <c r="N1416" s="3"/>
      <c r="O1416" s="3"/>
      <c r="P1416" s="3"/>
      <c r="Q1416" s="3"/>
      <c r="R1416" s="3"/>
      <c r="S1416" s="3"/>
      <c r="T1416" s="3"/>
      <c r="U1416" s="3"/>
    </row>
    <row r="1417">
      <c r="A1417" s="3"/>
      <c r="B1417" s="3"/>
      <c r="C1417" s="3"/>
      <c r="D1417" s="3"/>
      <c r="E1417" s="3"/>
      <c r="F1417" s="3"/>
      <c r="G1417" s="3"/>
      <c r="H1417" s="3"/>
      <c r="K1417" s="3"/>
      <c r="L1417" s="3"/>
      <c r="M1417" s="3"/>
      <c r="N1417" s="3"/>
      <c r="O1417" s="3"/>
      <c r="P1417" s="3"/>
      <c r="Q1417" s="3"/>
      <c r="R1417" s="3"/>
      <c r="S1417" s="3"/>
      <c r="T1417" s="3"/>
      <c r="U1417" s="3"/>
    </row>
    <row r="1418">
      <c r="A1418" s="3"/>
      <c r="B1418" s="3"/>
      <c r="C1418" s="3"/>
      <c r="D1418" s="3"/>
      <c r="E1418" s="3"/>
      <c r="F1418" s="3"/>
      <c r="G1418" s="3"/>
      <c r="H1418" s="3"/>
      <c r="K1418" s="3"/>
      <c r="L1418" s="3"/>
      <c r="M1418" s="3"/>
      <c r="N1418" s="3"/>
      <c r="O1418" s="3"/>
      <c r="P1418" s="3"/>
      <c r="Q1418" s="3"/>
      <c r="R1418" s="3"/>
      <c r="S1418" s="3"/>
      <c r="T1418" s="3"/>
      <c r="U1418" s="3"/>
    </row>
    <row r="1419">
      <c r="A1419" s="3"/>
      <c r="B1419" s="3"/>
      <c r="C1419" s="3"/>
      <c r="D1419" s="3"/>
      <c r="E1419" s="3"/>
      <c r="F1419" s="3"/>
      <c r="G1419" s="3"/>
      <c r="H1419" s="3"/>
      <c r="K1419" s="3"/>
      <c r="L1419" s="3"/>
      <c r="M1419" s="3"/>
      <c r="N1419" s="3"/>
      <c r="O1419" s="3"/>
      <c r="P1419" s="3"/>
      <c r="Q1419" s="3"/>
      <c r="R1419" s="3"/>
      <c r="S1419" s="3"/>
      <c r="T1419" s="3"/>
      <c r="U1419" s="3"/>
    </row>
    <row r="1420">
      <c r="A1420" s="3"/>
      <c r="B1420" s="3"/>
      <c r="C1420" s="3"/>
      <c r="D1420" s="3"/>
      <c r="E1420" s="3"/>
      <c r="F1420" s="3"/>
      <c r="G1420" s="3"/>
      <c r="H1420" s="3"/>
      <c r="K1420" s="3"/>
      <c r="L1420" s="3"/>
      <c r="M1420" s="3"/>
      <c r="N1420" s="3"/>
      <c r="O1420" s="3"/>
      <c r="P1420" s="3"/>
      <c r="Q1420" s="3"/>
      <c r="R1420" s="3"/>
      <c r="S1420" s="3"/>
      <c r="T1420" s="3"/>
      <c r="U1420" s="3"/>
    </row>
    <row r="1421">
      <c r="A1421" s="3"/>
      <c r="B1421" s="3"/>
      <c r="C1421" s="3"/>
      <c r="D1421" s="3"/>
      <c r="E1421" s="3"/>
      <c r="F1421" s="3"/>
      <c r="G1421" s="3"/>
      <c r="H1421" s="3"/>
      <c r="K1421" s="3"/>
      <c r="L1421" s="3"/>
      <c r="M1421" s="3"/>
      <c r="N1421" s="3"/>
      <c r="O1421" s="3"/>
      <c r="P1421" s="3"/>
      <c r="Q1421" s="3"/>
      <c r="R1421" s="3"/>
      <c r="S1421" s="3"/>
      <c r="T1421" s="3"/>
      <c r="U1421" s="3"/>
    </row>
    <row r="1422">
      <c r="A1422" s="3"/>
      <c r="B1422" s="3"/>
      <c r="C1422" s="3"/>
      <c r="D1422" s="3"/>
      <c r="E1422" s="3"/>
      <c r="F1422" s="3"/>
      <c r="G1422" s="3"/>
      <c r="H1422" s="3"/>
      <c r="K1422" s="3"/>
      <c r="L1422" s="3"/>
      <c r="M1422" s="3"/>
      <c r="N1422" s="3"/>
      <c r="O1422" s="3"/>
      <c r="P1422" s="3"/>
      <c r="Q1422" s="3"/>
      <c r="R1422" s="3"/>
      <c r="S1422" s="3"/>
      <c r="T1422" s="3"/>
      <c r="U1422" s="3"/>
    </row>
    <row r="1423">
      <c r="A1423" s="3"/>
      <c r="B1423" s="3"/>
      <c r="C1423" s="3"/>
      <c r="D1423" s="3"/>
      <c r="E1423" s="3"/>
      <c r="F1423" s="3"/>
      <c r="G1423" s="3"/>
      <c r="H1423" s="3"/>
      <c r="K1423" s="3"/>
      <c r="L1423" s="3"/>
      <c r="M1423" s="3"/>
      <c r="N1423" s="3"/>
      <c r="O1423" s="3"/>
      <c r="P1423" s="3"/>
      <c r="Q1423" s="3"/>
      <c r="R1423" s="3"/>
      <c r="S1423" s="3"/>
      <c r="T1423" s="3"/>
      <c r="U1423" s="3"/>
    </row>
    <row r="1424">
      <c r="A1424" s="3"/>
      <c r="B1424" s="3"/>
      <c r="C1424" s="3"/>
      <c r="D1424" s="3"/>
      <c r="E1424" s="3"/>
      <c r="F1424" s="3"/>
      <c r="G1424" s="3"/>
      <c r="H1424" s="3"/>
      <c r="K1424" s="3"/>
      <c r="L1424" s="3"/>
      <c r="M1424" s="3"/>
      <c r="N1424" s="3"/>
      <c r="O1424" s="3"/>
      <c r="P1424" s="3"/>
      <c r="Q1424" s="3"/>
      <c r="R1424" s="3"/>
      <c r="S1424" s="3"/>
      <c r="T1424" s="3"/>
      <c r="U1424" s="3"/>
    </row>
    <row r="1425">
      <c r="A1425" s="3"/>
      <c r="B1425" s="3"/>
      <c r="C1425" s="3"/>
      <c r="D1425" s="3"/>
      <c r="E1425" s="3"/>
      <c r="F1425" s="3"/>
      <c r="G1425" s="3"/>
      <c r="H1425" s="3"/>
      <c r="K1425" s="3"/>
      <c r="L1425" s="3"/>
      <c r="M1425" s="3"/>
      <c r="N1425" s="3"/>
      <c r="O1425" s="3"/>
      <c r="P1425" s="3"/>
      <c r="Q1425" s="3"/>
      <c r="R1425" s="3"/>
      <c r="S1425" s="3"/>
      <c r="T1425" s="3"/>
      <c r="U1425" s="3"/>
    </row>
    <row r="1426">
      <c r="A1426" s="3"/>
      <c r="B1426" s="3"/>
      <c r="C1426" s="3"/>
      <c r="D1426" s="3"/>
      <c r="E1426" s="3"/>
      <c r="F1426" s="3"/>
      <c r="G1426" s="3"/>
      <c r="H1426" s="3"/>
      <c r="K1426" s="3"/>
      <c r="L1426" s="3"/>
      <c r="M1426" s="3"/>
      <c r="N1426" s="3"/>
      <c r="O1426" s="3"/>
      <c r="P1426" s="3"/>
      <c r="Q1426" s="3"/>
      <c r="R1426" s="3"/>
      <c r="S1426" s="3"/>
      <c r="T1426" s="3"/>
      <c r="U1426" s="3"/>
    </row>
    <row r="1427">
      <c r="A1427" s="3"/>
      <c r="B1427" s="3"/>
      <c r="C1427" s="3"/>
      <c r="D1427" s="3"/>
      <c r="E1427" s="3"/>
      <c r="F1427" s="3"/>
      <c r="G1427" s="3"/>
      <c r="H1427" s="3"/>
      <c r="K1427" s="3"/>
      <c r="L1427" s="3"/>
      <c r="M1427" s="3"/>
      <c r="N1427" s="3"/>
      <c r="O1427" s="3"/>
      <c r="P1427" s="3"/>
      <c r="Q1427" s="3"/>
      <c r="R1427" s="3"/>
      <c r="S1427" s="3"/>
      <c r="T1427" s="3"/>
      <c r="U1427" s="3"/>
    </row>
    <row r="1428">
      <c r="A1428" s="3"/>
      <c r="B1428" s="3"/>
      <c r="C1428" s="3"/>
      <c r="D1428" s="3"/>
      <c r="E1428" s="3"/>
      <c r="F1428" s="3"/>
      <c r="G1428" s="3"/>
      <c r="H1428" s="3"/>
      <c r="K1428" s="3"/>
      <c r="L1428" s="3"/>
      <c r="M1428" s="3"/>
      <c r="N1428" s="3"/>
      <c r="O1428" s="3"/>
      <c r="P1428" s="3"/>
      <c r="Q1428" s="3"/>
      <c r="R1428" s="3"/>
      <c r="S1428" s="3"/>
      <c r="T1428" s="3"/>
      <c r="U1428" s="3"/>
    </row>
    <row r="1429">
      <c r="A1429" s="3"/>
      <c r="B1429" s="3"/>
      <c r="C1429" s="3"/>
      <c r="D1429" s="3"/>
      <c r="E1429" s="3"/>
      <c r="F1429" s="3"/>
      <c r="G1429" s="3"/>
      <c r="H1429" s="3"/>
      <c r="K1429" s="3"/>
      <c r="L1429" s="3"/>
      <c r="M1429" s="3"/>
      <c r="N1429" s="3"/>
      <c r="O1429" s="3"/>
      <c r="P1429" s="3"/>
      <c r="Q1429" s="3"/>
      <c r="R1429" s="3"/>
      <c r="S1429" s="3"/>
      <c r="T1429" s="3"/>
      <c r="U1429" s="3"/>
    </row>
    <row r="1430">
      <c r="A1430" s="3"/>
      <c r="B1430" s="3"/>
      <c r="C1430" s="3"/>
      <c r="D1430" s="3"/>
      <c r="E1430" s="3"/>
      <c r="F1430" s="3"/>
      <c r="G1430" s="3"/>
      <c r="H1430" s="3"/>
      <c r="K1430" s="3"/>
      <c r="L1430" s="3"/>
      <c r="M1430" s="3"/>
      <c r="N1430" s="3"/>
      <c r="O1430" s="3"/>
      <c r="P1430" s="3"/>
      <c r="Q1430" s="3"/>
      <c r="R1430" s="3"/>
      <c r="S1430" s="3"/>
      <c r="T1430" s="3"/>
      <c r="U1430" s="3"/>
    </row>
    <row r="1431">
      <c r="A1431" s="3"/>
      <c r="B1431" s="3"/>
      <c r="C1431" s="3"/>
      <c r="D1431" s="3"/>
      <c r="E1431" s="3"/>
      <c r="F1431" s="3"/>
      <c r="G1431" s="3"/>
      <c r="H1431" s="3"/>
      <c r="K1431" s="3"/>
      <c r="L1431" s="3"/>
      <c r="M1431" s="3"/>
      <c r="N1431" s="3"/>
      <c r="O1431" s="3"/>
      <c r="P1431" s="3"/>
      <c r="Q1431" s="3"/>
      <c r="R1431" s="3"/>
      <c r="S1431" s="3"/>
      <c r="T1431" s="3"/>
      <c r="U1431" s="3"/>
    </row>
    <row r="1432">
      <c r="A1432" s="3"/>
      <c r="B1432" s="3"/>
      <c r="C1432" s="3"/>
      <c r="D1432" s="3"/>
      <c r="E1432" s="3"/>
      <c r="F1432" s="3"/>
      <c r="G1432" s="3"/>
      <c r="H1432" s="3"/>
      <c r="K1432" s="3"/>
      <c r="L1432" s="3"/>
      <c r="M1432" s="3"/>
      <c r="N1432" s="3"/>
      <c r="O1432" s="3"/>
      <c r="P1432" s="3"/>
      <c r="Q1432" s="3"/>
      <c r="R1432" s="3"/>
      <c r="S1432" s="3"/>
      <c r="T1432" s="3"/>
      <c r="U1432" s="3"/>
    </row>
    <row r="1433">
      <c r="A1433" s="3"/>
      <c r="B1433" s="3"/>
      <c r="C1433" s="3"/>
      <c r="D1433" s="3"/>
      <c r="E1433" s="3"/>
      <c r="F1433" s="3"/>
      <c r="G1433" s="3"/>
      <c r="H1433" s="3"/>
      <c r="K1433" s="3"/>
      <c r="L1433" s="3"/>
      <c r="M1433" s="3"/>
      <c r="N1433" s="3"/>
      <c r="O1433" s="3"/>
      <c r="P1433" s="3"/>
      <c r="Q1433" s="3"/>
      <c r="R1433" s="3"/>
      <c r="S1433" s="3"/>
      <c r="T1433" s="3"/>
      <c r="U1433" s="3"/>
    </row>
    <row r="1434">
      <c r="A1434" s="3"/>
      <c r="B1434" s="3"/>
      <c r="C1434" s="3"/>
      <c r="D1434" s="3"/>
      <c r="E1434" s="3"/>
      <c r="F1434" s="3"/>
      <c r="G1434" s="3"/>
      <c r="H1434" s="3"/>
      <c r="K1434" s="3"/>
      <c r="L1434" s="3"/>
      <c r="M1434" s="3"/>
      <c r="N1434" s="3"/>
      <c r="O1434" s="3"/>
      <c r="P1434" s="3"/>
      <c r="Q1434" s="3"/>
      <c r="R1434" s="3"/>
      <c r="S1434" s="3"/>
      <c r="T1434" s="3"/>
      <c r="U1434" s="3"/>
    </row>
    <row r="1435">
      <c r="A1435" s="3"/>
      <c r="B1435" s="3"/>
      <c r="C1435" s="3"/>
      <c r="D1435" s="3"/>
      <c r="E1435" s="3"/>
      <c r="F1435" s="3"/>
      <c r="G1435" s="3"/>
      <c r="H1435" s="3"/>
      <c r="K1435" s="3"/>
      <c r="L1435" s="3"/>
      <c r="M1435" s="3"/>
      <c r="N1435" s="3"/>
      <c r="O1435" s="3"/>
      <c r="P1435" s="3"/>
      <c r="Q1435" s="3"/>
      <c r="R1435" s="3"/>
      <c r="S1435" s="3"/>
      <c r="T1435" s="3"/>
      <c r="U1435" s="3"/>
    </row>
    <row r="1436">
      <c r="A1436" s="3"/>
      <c r="B1436" s="3"/>
      <c r="C1436" s="3"/>
      <c r="D1436" s="3"/>
      <c r="E1436" s="3"/>
      <c r="F1436" s="3"/>
      <c r="G1436" s="3"/>
      <c r="H1436" s="3"/>
      <c r="K1436" s="3"/>
      <c r="L1436" s="3"/>
      <c r="M1436" s="3"/>
      <c r="N1436" s="3"/>
      <c r="O1436" s="3"/>
      <c r="P1436" s="3"/>
      <c r="Q1436" s="3"/>
      <c r="R1436" s="3"/>
      <c r="S1436" s="3"/>
      <c r="T1436" s="3"/>
      <c r="U1436" s="3"/>
    </row>
    <row r="1437">
      <c r="A1437" s="3"/>
      <c r="B1437" s="3"/>
      <c r="C1437" s="3"/>
      <c r="D1437" s="3"/>
      <c r="E1437" s="3"/>
      <c r="F1437" s="3"/>
      <c r="G1437" s="3"/>
      <c r="H1437" s="3"/>
      <c r="K1437" s="3"/>
      <c r="L1437" s="3"/>
      <c r="M1437" s="3"/>
      <c r="N1437" s="3"/>
      <c r="O1437" s="3"/>
      <c r="P1437" s="3"/>
      <c r="Q1437" s="3"/>
      <c r="R1437" s="3"/>
      <c r="S1437" s="3"/>
      <c r="T1437" s="3"/>
      <c r="U1437" s="3"/>
    </row>
    <row r="1438">
      <c r="A1438" s="3"/>
      <c r="B1438" s="3"/>
      <c r="C1438" s="3"/>
      <c r="D1438" s="3"/>
      <c r="E1438" s="3"/>
      <c r="F1438" s="3"/>
      <c r="G1438" s="3"/>
      <c r="H1438" s="3"/>
      <c r="K1438" s="3"/>
      <c r="L1438" s="3"/>
      <c r="M1438" s="3"/>
      <c r="N1438" s="3"/>
      <c r="O1438" s="3"/>
      <c r="P1438" s="3"/>
      <c r="Q1438" s="3"/>
      <c r="R1438" s="3"/>
      <c r="S1438" s="3"/>
      <c r="T1438" s="3"/>
      <c r="U1438" s="3"/>
    </row>
    <row r="1439">
      <c r="A1439" s="3"/>
      <c r="B1439" s="3"/>
      <c r="C1439" s="3"/>
      <c r="D1439" s="3"/>
      <c r="E1439" s="3"/>
      <c r="F1439" s="3"/>
      <c r="G1439" s="3"/>
      <c r="H1439" s="3"/>
      <c r="K1439" s="3"/>
      <c r="L1439" s="3"/>
      <c r="M1439" s="3"/>
      <c r="N1439" s="3"/>
      <c r="O1439" s="3"/>
      <c r="P1439" s="3"/>
      <c r="Q1439" s="3"/>
      <c r="R1439" s="3"/>
      <c r="S1439" s="3"/>
      <c r="T1439" s="3"/>
      <c r="U1439" s="3"/>
    </row>
    <row r="1440">
      <c r="A1440" s="3"/>
      <c r="B1440" s="3"/>
      <c r="C1440" s="3"/>
      <c r="D1440" s="3"/>
      <c r="E1440" s="3"/>
      <c r="F1440" s="3"/>
      <c r="G1440" s="3"/>
      <c r="H1440" s="3"/>
      <c r="K1440" s="3"/>
      <c r="L1440" s="3"/>
      <c r="M1440" s="3"/>
      <c r="N1440" s="3"/>
      <c r="O1440" s="3"/>
      <c r="P1440" s="3"/>
      <c r="Q1440" s="3"/>
      <c r="R1440" s="3"/>
      <c r="S1440" s="3"/>
      <c r="T1440" s="3"/>
      <c r="U1440" s="3"/>
    </row>
    <row r="1441">
      <c r="A1441" s="3"/>
      <c r="B1441" s="3"/>
      <c r="C1441" s="3"/>
      <c r="D1441" s="3"/>
      <c r="E1441" s="3"/>
      <c r="F1441" s="3"/>
      <c r="G1441" s="3"/>
      <c r="H1441" s="3"/>
      <c r="K1441" s="3"/>
      <c r="L1441" s="3"/>
      <c r="M1441" s="3"/>
      <c r="N1441" s="3"/>
      <c r="O1441" s="3"/>
      <c r="P1441" s="3"/>
      <c r="Q1441" s="3"/>
      <c r="R1441" s="3"/>
      <c r="S1441" s="3"/>
      <c r="T1441" s="3"/>
      <c r="U1441" s="3"/>
    </row>
    <row r="1442">
      <c r="A1442" s="3"/>
      <c r="B1442" s="3"/>
      <c r="C1442" s="3"/>
      <c r="D1442" s="3"/>
      <c r="E1442" s="3"/>
      <c r="F1442" s="3"/>
      <c r="G1442" s="3"/>
      <c r="H1442" s="3"/>
      <c r="K1442" s="3"/>
      <c r="L1442" s="3"/>
      <c r="M1442" s="3"/>
      <c r="N1442" s="3"/>
      <c r="O1442" s="3"/>
      <c r="P1442" s="3"/>
      <c r="Q1442" s="3"/>
      <c r="R1442" s="3"/>
      <c r="S1442" s="3"/>
      <c r="T1442" s="3"/>
      <c r="U1442" s="3"/>
    </row>
    <row r="1443">
      <c r="A1443" s="3"/>
      <c r="B1443" s="3"/>
      <c r="C1443" s="3"/>
      <c r="D1443" s="3"/>
      <c r="E1443" s="3"/>
      <c r="F1443" s="3"/>
      <c r="G1443" s="3"/>
      <c r="H1443" s="3"/>
      <c r="K1443" s="3"/>
      <c r="L1443" s="3"/>
      <c r="M1443" s="3"/>
      <c r="N1443" s="3"/>
      <c r="O1443" s="3"/>
      <c r="P1443" s="3"/>
      <c r="Q1443" s="3"/>
      <c r="R1443" s="3"/>
      <c r="S1443" s="3"/>
      <c r="T1443" s="3"/>
      <c r="U1443" s="3"/>
    </row>
    <row r="1444">
      <c r="A1444" s="3"/>
      <c r="B1444" s="3"/>
      <c r="C1444" s="3"/>
      <c r="D1444" s="3"/>
      <c r="E1444" s="3"/>
      <c r="F1444" s="3"/>
      <c r="G1444" s="3"/>
      <c r="H1444" s="3"/>
      <c r="K1444" s="3"/>
      <c r="L1444" s="3"/>
      <c r="M1444" s="3"/>
      <c r="N1444" s="3"/>
      <c r="O1444" s="3"/>
      <c r="P1444" s="3"/>
      <c r="Q1444" s="3"/>
      <c r="R1444" s="3"/>
      <c r="S1444" s="3"/>
      <c r="T1444" s="3"/>
      <c r="U1444" s="3"/>
    </row>
    <row r="1445">
      <c r="A1445" s="3"/>
      <c r="B1445" s="3"/>
      <c r="C1445" s="3"/>
      <c r="D1445" s="3"/>
      <c r="E1445" s="3"/>
      <c r="F1445" s="3"/>
      <c r="G1445" s="3"/>
      <c r="H1445" s="3"/>
      <c r="K1445" s="3"/>
      <c r="L1445" s="3"/>
      <c r="M1445" s="3"/>
      <c r="N1445" s="3"/>
      <c r="O1445" s="3"/>
      <c r="P1445" s="3"/>
      <c r="Q1445" s="3"/>
      <c r="R1445" s="3"/>
      <c r="S1445" s="3"/>
      <c r="T1445" s="3"/>
      <c r="U1445" s="3"/>
    </row>
    <row r="1446">
      <c r="A1446" s="3"/>
      <c r="B1446" s="3"/>
      <c r="C1446" s="3"/>
      <c r="D1446" s="3"/>
      <c r="E1446" s="3"/>
      <c r="F1446" s="3"/>
      <c r="G1446" s="3"/>
      <c r="H1446" s="3"/>
      <c r="K1446" s="3"/>
      <c r="L1446" s="3"/>
      <c r="M1446" s="3"/>
      <c r="N1446" s="3"/>
      <c r="O1446" s="3"/>
      <c r="P1446" s="3"/>
      <c r="Q1446" s="3"/>
      <c r="R1446" s="3"/>
      <c r="S1446" s="3"/>
      <c r="T1446" s="3"/>
      <c r="U1446" s="3"/>
    </row>
    <row r="1447">
      <c r="A1447" s="3"/>
      <c r="B1447" s="3"/>
      <c r="C1447" s="3"/>
      <c r="D1447" s="3"/>
      <c r="E1447" s="3"/>
      <c r="F1447" s="3"/>
      <c r="G1447" s="3"/>
      <c r="H1447" s="3"/>
      <c r="K1447" s="3"/>
      <c r="L1447" s="3"/>
      <c r="M1447" s="3"/>
      <c r="N1447" s="3"/>
      <c r="O1447" s="3"/>
      <c r="P1447" s="3"/>
      <c r="Q1447" s="3"/>
      <c r="R1447" s="3"/>
      <c r="S1447" s="3"/>
      <c r="T1447" s="3"/>
      <c r="U1447" s="3"/>
    </row>
    <row r="1448">
      <c r="A1448" s="3"/>
      <c r="B1448" s="3"/>
      <c r="C1448" s="3"/>
      <c r="D1448" s="3"/>
      <c r="E1448" s="3"/>
      <c r="F1448" s="3"/>
      <c r="G1448" s="3"/>
      <c r="H1448" s="3"/>
      <c r="K1448" s="3"/>
      <c r="L1448" s="3"/>
      <c r="M1448" s="3"/>
      <c r="N1448" s="3"/>
      <c r="O1448" s="3"/>
      <c r="P1448" s="3"/>
      <c r="Q1448" s="3"/>
      <c r="R1448" s="3"/>
      <c r="S1448" s="3"/>
      <c r="T1448" s="3"/>
      <c r="U1448" s="3"/>
    </row>
    <row r="1449">
      <c r="A1449" s="3"/>
      <c r="B1449" s="3"/>
      <c r="C1449" s="3"/>
      <c r="D1449" s="3"/>
      <c r="E1449" s="3"/>
      <c r="F1449" s="3"/>
      <c r="G1449" s="3"/>
      <c r="H1449" s="3"/>
      <c r="K1449" s="3"/>
      <c r="L1449" s="3"/>
      <c r="M1449" s="3"/>
      <c r="N1449" s="3"/>
      <c r="O1449" s="3"/>
      <c r="P1449" s="3"/>
      <c r="Q1449" s="3"/>
      <c r="R1449" s="3"/>
      <c r="S1449" s="3"/>
      <c r="T1449" s="3"/>
      <c r="U1449" s="3"/>
    </row>
    <row r="1450">
      <c r="A1450" s="3"/>
      <c r="B1450" s="3"/>
      <c r="C1450" s="3"/>
      <c r="D1450" s="3"/>
      <c r="E1450" s="3"/>
      <c r="F1450" s="3"/>
      <c r="G1450" s="3"/>
      <c r="H1450" s="3"/>
      <c r="K1450" s="3"/>
      <c r="L1450" s="3"/>
      <c r="M1450" s="3"/>
      <c r="N1450" s="3"/>
      <c r="O1450" s="3"/>
      <c r="P1450" s="3"/>
      <c r="Q1450" s="3"/>
      <c r="R1450" s="3"/>
      <c r="S1450" s="3"/>
      <c r="T1450" s="3"/>
      <c r="U1450" s="3"/>
    </row>
    <row r="1451">
      <c r="A1451" s="3"/>
      <c r="B1451" s="3"/>
      <c r="C1451" s="3"/>
      <c r="D1451" s="3"/>
      <c r="E1451" s="3"/>
      <c r="F1451" s="3"/>
      <c r="G1451" s="3"/>
      <c r="H1451" s="3"/>
      <c r="K1451" s="3"/>
      <c r="L1451" s="3"/>
      <c r="M1451" s="3"/>
      <c r="N1451" s="3"/>
      <c r="O1451" s="3"/>
      <c r="P1451" s="3"/>
      <c r="Q1451" s="3"/>
      <c r="R1451" s="3"/>
      <c r="S1451" s="3"/>
      <c r="T1451" s="3"/>
      <c r="U1451" s="3"/>
    </row>
    <row r="1452">
      <c r="A1452" s="3"/>
      <c r="B1452" s="3"/>
      <c r="C1452" s="3"/>
      <c r="D1452" s="3"/>
      <c r="E1452" s="3"/>
      <c r="F1452" s="3"/>
      <c r="G1452" s="3"/>
      <c r="H1452" s="3"/>
      <c r="K1452" s="3"/>
      <c r="L1452" s="3"/>
      <c r="M1452" s="3"/>
      <c r="N1452" s="3"/>
      <c r="O1452" s="3"/>
      <c r="P1452" s="3"/>
      <c r="Q1452" s="3"/>
      <c r="R1452" s="3"/>
      <c r="S1452" s="3"/>
      <c r="T1452" s="3"/>
      <c r="U1452" s="3"/>
    </row>
    <row r="1453">
      <c r="A1453" s="3"/>
      <c r="B1453" s="3"/>
      <c r="C1453" s="3"/>
      <c r="D1453" s="3"/>
      <c r="E1453" s="3"/>
      <c r="F1453" s="3"/>
      <c r="G1453" s="3"/>
      <c r="H1453" s="3"/>
      <c r="K1453" s="3"/>
      <c r="L1453" s="3"/>
      <c r="M1453" s="3"/>
      <c r="N1453" s="3"/>
      <c r="O1453" s="3"/>
      <c r="P1453" s="3"/>
      <c r="Q1453" s="3"/>
      <c r="R1453" s="3"/>
      <c r="S1453" s="3"/>
      <c r="T1453" s="3"/>
      <c r="U1453" s="3"/>
    </row>
    <row r="1454">
      <c r="A1454" s="3"/>
      <c r="B1454" s="3"/>
      <c r="C1454" s="3"/>
      <c r="D1454" s="3"/>
      <c r="E1454" s="3"/>
      <c r="F1454" s="3"/>
      <c r="G1454" s="3"/>
      <c r="H1454" s="3"/>
      <c r="K1454" s="3"/>
      <c r="L1454" s="3"/>
      <c r="M1454" s="3"/>
      <c r="N1454" s="3"/>
      <c r="O1454" s="3"/>
      <c r="P1454" s="3"/>
      <c r="Q1454" s="3"/>
      <c r="R1454" s="3"/>
      <c r="S1454" s="3"/>
      <c r="T1454" s="3"/>
      <c r="U1454" s="3"/>
    </row>
    <row r="1455">
      <c r="A1455" s="3"/>
      <c r="B1455" s="3"/>
      <c r="C1455" s="3"/>
      <c r="D1455" s="3"/>
      <c r="E1455" s="3"/>
      <c r="F1455" s="3"/>
      <c r="G1455" s="3"/>
      <c r="H1455" s="3"/>
      <c r="K1455" s="3"/>
      <c r="L1455" s="3"/>
      <c r="M1455" s="3"/>
      <c r="N1455" s="3"/>
      <c r="O1455" s="3"/>
      <c r="P1455" s="3"/>
      <c r="Q1455" s="3"/>
      <c r="R1455" s="3"/>
      <c r="S1455" s="3"/>
      <c r="T1455" s="3"/>
      <c r="U1455" s="3"/>
    </row>
    <row r="1456">
      <c r="A1456" s="3"/>
      <c r="B1456" s="3"/>
      <c r="C1456" s="3"/>
      <c r="D1456" s="3"/>
      <c r="E1456" s="3"/>
      <c r="F1456" s="3"/>
      <c r="G1456" s="3"/>
      <c r="H1456" s="3"/>
      <c r="K1456" s="3"/>
      <c r="L1456" s="3"/>
      <c r="M1456" s="3"/>
      <c r="N1456" s="3"/>
      <c r="O1456" s="3"/>
      <c r="P1456" s="3"/>
      <c r="Q1456" s="3"/>
      <c r="R1456" s="3"/>
      <c r="S1456" s="3"/>
      <c r="T1456" s="3"/>
      <c r="U1456" s="3"/>
    </row>
    <row r="1457">
      <c r="A1457" s="3"/>
      <c r="B1457" s="3"/>
      <c r="C1457" s="3"/>
      <c r="D1457" s="3"/>
      <c r="E1457" s="3"/>
      <c r="F1457" s="3"/>
      <c r="G1457" s="3"/>
      <c r="H1457" s="3"/>
      <c r="K1457" s="3"/>
      <c r="L1457" s="3"/>
      <c r="M1457" s="3"/>
      <c r="N1457" s="3"/>
      <c r="O1457" s="3"/>
      <c r="P1457" s="3"/>
      <c r="Q1457" s="3"/>
      <c r="R1457" s="3"/>
      <c r="S1457" s="3"/>
      <c r="T1457" s="3"/>
      <c r="U1457" s="3"/>
    </row>
    <row r="1458">
      <c r="A1458" s="3"/>
      <c r="B1458" s="3"/>
      <c r="C1458" s="3"/>
      <c r="D1458" s="3"/>
      <c r="E1458" s="3"/>
      <c r="F1458" s="3"/>
      <c r="G1458" s="3"/>
      <c r="H1458" s="3"/>
      <c r="K1458" s="3"/>
      <c r="L1458" s="3"/>
      <c r="M1458" s="3"/>
      <c r="N1458" s="3"/>
      <c r="O1458" s="3"/>
      <c r="P1458" s="3"/>
      <c r="Q1458" s="3"/>
      <c r="R1458" s="3"/>
      <c r="S1458" s="3"/>
      <c r="T1458" s="3"/>
      <c r="U1458" s="3"/>
    </row>
    <row r="1459">
      <c r="A1459" s="3"/>
      <c r="B1459" s="3"/>
      <c r="C1459" s="3"/>
      <c r="D1459" s="3"/>
      <c r="E1459" s="3"/>
      <c r="F1459" s="3"/>
      <c r="G1459" s="3"/>
      <c r="H1459" s="3"/>
      <c r="K1459" s="3"/>
      <c r="L1459" s="3"/>
      <c r="M1459" s="3"/>
      <c r="N1459" s="3"/>
      <c r="O1459" s="3"/>
      <c r="P1459" s="3"/>
      <c r="Q1459" s="3"/>
      <c r="R1459" s="3"/>
      <c r="S1459" s="3"/>
      <c r="T1459" s="3"/>
      <c r="U1459" s="3"/>
    </row>
    <row r="1460">
      <c r="A1460" s="3"/>
      <c r="B1460" s="3"/>
      <c r="C1460" s="3"/>
      <c r="D1460" s="3"/>
      <c r="E1460" s="3"/>
      <c r="F1460" s="3"/>
      <c r="G1460" s="3"/>
      <c r="H1460" s="3"/>
      <c r="K1460" s="3"/>
      <c r="L1460" s="3"/>
      <c r="M1460" s="3"/>
      <c r="N1460" s="3"/>
      <c r="O1460" s="3"/>
      <c r="P1460" s="3"/>
      <c r="Q1460" s="3"/>
      <c r="R1460" s="3"/>
      <c r="S1460" s="3"/>
      <c r="T1460" s="3"/>
      <c r="U1460" s="3"/>
    </row>
    <row r="1461">
      <c r="A1461" s="3"/>
      <c r="B1461" s="3"/>
      <c r="C1461" s="3"/>
      <c r="D1461" s="3"/>
      <c r="E1461" s="3"/>
      <c r="F1461" s="3"/>
      <c r="G1461" s="3"/>
      <c r="H1461" s="3"/>
      <c r="K1461" s="3"/>
      <c r="L1461" s="3"/>
      <c r="M1461" s="3"/>
      <c r="N1461" s="3"/>
      <c r="O1461" s="3"/>
      <c r="P1461" s="3"/>
      <c r="Q1461" s="3"/>
      <c r="R1461" s="3"/>
      <c r="S1461" s="3"/>
      <c r="T1461" s="3"/>
      <c r="U1461" s="3"/>
    </row>
    <row r="1462">
      <c r="A1462" s="3"/>
      <c r="B1462" s="3"/>
      <c r="C1462" s="3"/>
      <c r="D1462" s="3"/>
      <c r="E1462" s="3"/>
      <c r="F1462" s="3"/>
      <c r="G1462" s="3"/>
      <c r="H1462" s="3"/>
      <c r="K1462" s="3"/>
      <c r="L1462" s="3"/>
      <c r="M1462" s="3"/>
      <c r="N1462" s="3"/>
      <c r="O1462" s="3"/>
      <c r="P1462" s="3"/>
      <c r="Q1462" s="3"/>
      <c r="R1462" s="3"/>
      <c r="S1462" s="3"/>
      <c r="T1462" s="3"/>
      <c r="U1462" s="3"/>
    </row>
    <row r="1463">
      <c r="A1463" s="3"/>
      <c r="B1463" s="3"/>
      <c r="C1463" s="3"/>
      <c r="D1463" s="3"/>
      <c r="E1463" s="3"/>
      <c r="F1463" s="3"/>
      <c r="G1463" s="3"/>
      <c r="H1463" s="3"/>
      <c r="K1463" s="3"/>
      <c r="L1463" s="3"/>
      <c r="M1463" s="3"/>
      <c r="N1463" s="3"/>
      <c r="O1463" s="3"/>
      <c r="P1463" s="3"/>
      <c r="Q1463" s="3"/>
      <c r="R1463" s="3"/>
      <c r="S1463" s="3"/>
      <c r="T1463" s="3"/>
      <c r="U1463" s="3"/>
    </row>
    <row r="1464">
      <c r="A1464" s="3"/>
      <c r="B1464" s="3"/>
      <c r="C1464" s="3"/>
      <c r="D1464" s="3"/>
      <c r="E1464" s="3"/>
      <c r="F1464" s="3"/>
      <c r="G1464" s="3"/>
      <c r="H1464" s="3"/>
      <c r="K1464" s="3"/>
      <c r="L1464" s="3"/>
      <c r="M1464" s="3"/>
      <c r="N1464" s="3"/>
      <c r="O1464" s="3"/>
      <c r="P1464" s="3"/>
      <c r="Q1464" s="3"/>
      <c r="R1464" s="3"/>
      <c r="S1464" s="3"/>
      <c r="T1464" s="3"/>
      <c r="U1464" s="3"/>
    </row>
    <row r="1465">
      <c r="A1465" s="3"/>
      <c r="B1465" s="3"/>
      <c r="C1465" s="3"/>
      <c r="D1465" s="3"/>
      <c r="E1465" s="3"/>
      <c r="F1465" s="3"/>
      <c r="G1465" s="3"/>
      <c r="H1465" s="3"/>
      <c r="K1465" s="3"/>
      <c r="L1465" s="3"/>
      <c r="M1465" s="3"/>
      <c r="N1465" s="3"/>
      <c r="O1465" s="3"/>
      <c r="P1465" s="3"/>
      <c r="Q1465" s="3"/>
      <c r="R1465" s="3"/>
      <c r="S1465" s="3"/>
      <c r="T1465" s="3"/>
      <c r="U1465" s="3"/>
    </row>
    <row r="1466">
      <c r="A1466" s="3"/>
      <c r="B1466" s="3"/>
      <c r="C1466" s="3"/>
      <c r="D1466" s="3"/>
      <c r="E1466" s="3"/>
      <c r="F1466" s="3"/>
      <c r="G1466" s="3"/>
      <c r="H1466" s="3"/>
      <c r="K1466" s="3"/>
      <c r="L1466" s="3"/>
      <c r="M1466" s="3"/>
      <c r="N1466" s="3"/>
      <c r="O1466" s="3"/>
      <c r="P1466" s="3"/>
      <c r="Q1466" s="3"/>
      <c r="R1466" s="3"/>
      <c r="S1466" s="3"/>
      <c r="T1466" s="3"/>
      <c r="U1466" s="3"/>
    </row>
    <row r="1467">
      <c r="A1467" s="3"/>
      <c r="B1467" s="3"/>
      <c r="C1467" s="3"/>
      <c r="D1467" s="3"/>
      <c r="E1467" s="3"/>
      <c r="F1467" s="3"/>
      <c r="G1467" s="3"/>
      <c r="H1467" s="3"/>
      <c r="K1467" s="3"/>
      <c r="L1467" s="3"/>
      <c r="M1467" s="3"/>
      <c r="N1467" s="3"/>
      <c r="O1467" s="3"/>
      <c r="P1467" s="3"/>
      <c r="Q1467" s="3"/>
      <c r="R1467" s="3"/>
      <c r="S1467" s="3"/>
      <c r="T1467" s="3"/>
      <c r="U1467" s="3"/>
    </row>
    <row r="1468">
      <c r="A1468" s="3"/>
      <c r="B1468" s="3"/>
      <c r="C1468" s="3"/>
      <c r="D1468" s="3"/>
      <c r="E1468" s="3"/>
      <c r="F1468" s="3"/>
      <c r="G1468" s="3"/>
      <c r="H1468" s="3"/>
      <c r="K1468" s="3"/>
      <c r="L1468" s="3"/>
      <c r="M1468" s="3"/>
      <c r="N1468" s="3"/>
      <c r="O1468" s="3"/>
      <c r="P1468" s="3"/>
      <c r="Q1468" s="3"/>
      <c r="R1468" s="3"/>
      <c r="S1468" s="3"/>
      <c r="T1468" s="3"/>
      <c r="U1468" s="3"/>
    </row>
    <row r="1469">
      <c r="A1469" s="3"/>
      <c r="B1469" s="3"/>
      <c r="C1469" s="3"/>
      <c r="D1469" s="3"/>
      <c r="E1469" s="3"/>
      <c r="F1469" s="3"/>
      <c r="G1469" s="3"/>
      <c r="H1469" s="3"/>
      <c r="K1469" s="3"/>
      <c r="L1469" s="3"/>
      <c r="M1469" s="3"/>
      <c r="N1469" s="3"/>
      <c r="O1469" s="3"/>
      <c r="P1469" s="3"/>
      <c r="Q1469" s="3"/>
      <c r="R1469" s="3"/>
      <c r="S1469" s="3"/>
      <c r="T1469" s="3"/>
      <c r="U1469" s="3"/>
    </row>
    <row r="1470">
      <c r="A1470" s="3"/>
      <c r="B1470" s="3"/>
      <c r="C1470" s="3"/>
      <c r="D1470" s="3"/>
      <c r="E1470" s="3"/>
      <c r="F1470" s="3"/>
      <c r="G1470" s="3"/>
      <c r="H1470" s="3"/>
      <c r="K1470" s="3"/>
      <c r="L1470" s="3"/>
      <c r="M1470" s="3"/>
      <c r="N1470" s="3"/>
      <c r="O1470" s="3"/>
      <c r="P1470" s="3"/>
      <c r="Q1470" s="3"/>
      <c r="R1470" s="3"/>
      <c r="S1470" s="3"/>
      <c r="T1470" s="3"/>
      <c r="U1470" s="3"/>
    </row>
    <row r="1471">
      <c r="A1471" s="3"/>
      <c r="B1471" s="3"/>
      <c r="C1471" s="3"/>
      <c r="D1471" s="3"/>
      <c r="E1471" s="3"/>
      <c r="F1471" s="3"/>
      <c r="G1471" s="3"/>
      <c r="H1471" s="3"/>
      <c r="K1471" s="3"/>
      <c r="L1471" s="3"/>
      <c r="M1471" s="3"/>
      <c r="N1471" s="3"/>
      <c r="O1471" s="3"/>
      <c r="P1471" s="3"/>
      <c r="Q1471" s="3"/>
      <c r="R1471" s="3"/>
      <c r="S1471" s="3"/>
      <c r="T1471" s="3"/>
      <c r="U1471" s="3"/>
    </row>
    <row r="1472">
      <c r="A1472" s="3"/>
      <c r="B1472" s="3"/>
      <c r="C1472" s="3"/>
      <c r="D1472" s="3"/>
      <c r="E1472" s="3"/>
      <c r="F1472" s="3"/>
      <c r="G1472" s="3"/>
      <c r="H1472" s="3"/>
      <c r="K1472" s="3"/>
      <c r="L1472" s="3"/>
      <c r="M1472" s="3"/>
      <c r="N1472" s="3"/>
      <c r="O1472" s="3"/>
      <c r="P1472" s="3"/>
      <c r="Q1472" s="3"/>
      <c r="R1472" s="3"/>
      <c r="S1472" s="3"/>
      <c r="T1472" s="3"/>
      <c r="U1472" s="3"/>
    </row>
    <row r="1473">
      <c r="A1473" s="3"/>
      <c r="B1473" s="3"/>
      <c r="C1473" s="3"/>
      <c r="D1473" s="3"/>
      <c r="E1473" s="3"/>
      <c r="F1473" s="3"/>
      <c r="G1473" s="3"/>
      <c r="H1473" s="3"/>
      <c r="K1473" s="3"/>
      <c r="L1473" s="3"/>
      <c r="M1473" s="3"/>
      <c r="N1473" s="3"/>
      <c r="O1473" s="3"/>
      <c r="P1473" s="3"/>
      <c r="Q1473" s="3"/>
      <c r="R1473" s="3"/>
      <c r="S1473" s="3"/>
      <c r="T1473" s="3"/>
      <c r="U1473" s="3"/>
    </row>
    <row r="1474">
      <c r="A1474" s="3"/>
      <c r="B1474" s="3"/>
      <c r="C1474" s="3"/>
      <c r="D1474" s="3"/>
      <c r="E1474" s="3"/>
      <c r="F1474" s="3"/>
      <c r="G1474" s="3"/>
      <c r="H1474" s="3"/>
      <c r="K1474" s="3"/>
      <c r="L1474" s="3"/>
      <c r="M1474" s="3"/>
      <c r="N1474" s="3"/>
      <c r="O1474" s="3"/>
      <c r="P1474" s="3"/>
      <c r="Q1474" s="3"/>
      <c r="R1474" s="3"/>
      <c r="S1474" s="3"/>
      <c r="T1474" s="3"/>
      <c r="U1474" s="3"/>
    </row>
    <row r="1475">
      <c r="A1475" s="3"/>
      <c r="B1475" s="3"/>
      <c r="C1475" s="3"/>
      <c r="D1475" s="3"/>
      <c r="E1475" s="3"/>
      <c r="F1475" s="3"/>
      <c r="G1475" s="3"/>
      <c r="H1475" s="3"/>
      <c r="K1475" s="3"/>
      <c r="L1475" s="3"/>
      <c r="M1475" s="3"/>
      <c r="N1475" s="3"/>
      <c r="O1475" s="3"/>
      <c r="P1475" s="3"/>
      <c r="Q1475" s="3"/>
      <c r="R1475" s="3"/>
      <c r="S1475" s="3"/>
      <c r="T1475" s="3"/>
      <c r="U1475" s="3"/>
    </row>
    <row r="1476">
      <c r="A1476" s="3"/>
      <c r="B1476" s="3"/>
      <c r="C1476" s="3"/>
      <c r="D1476" s="3"/>
      <c r="E1476" s="3"/>
      <c r="F1476" s="3"/>
      <c r="G1476" s="3"/>
      <c r="H1476" s="3"/>
      <c r="K1476" s="3"/>
      <c r="L1476" s="3"/>
      <c r="M1476" s="3"/>
      <c r="N1476" s="3"/>
      <c r="O1476" s="3"/>
      <c r="P1476" s="3"/>
      <c r="Q1476" s="3"/>
      <c r="R1476" s="3"/>
      <c r="S1476" s="3"/>
      <c r="T1476" s="3"/>
      <c r="U1476" s="3"/>
    </row>
    <row r="1477">
      <c r="A1477" s="3"/>
      <c r="B1477" s="3"/>
      <c r="C1477" s="3"/>
      <c r="D1477" s="3"/>
      <c r="E1477" s="3"/>
      <c r="F1477" s="3"/>
      <c r="G1477" s="3"/>
      <c r="H1477" s="3"/>
      <c r="K1477" s="3"/>
      <c r="L1477" s="3"/>
      <c r="M1477" s="3"/>
      <c r="N1477" s="3"/>
      <c r="O1477" s="3"/>
      <c r="P1477" s="3"/>
      <c r="Q1477" s="3"/>
      <c r="R1477" s="3"/>
      <c r="S1477" s="3"/>
      <c r="T1477" s="3"/>
      <c r="U1477" s="3"/>
    </row>
    <row r="1478">
      <c r="A1478" s="3"/>
      <c r="B1478" s="3"/>
      <c r="C1478" s="3"/>
      <c r="D1478" s="3"/>
      <c r="E1478" s="3"/>
      <c r="F1478" s="3"/>
      <c r="G1478" s="3"/>
      <c r="H1478" s="3"/>
      <c r="K1478" s="3"/>
      <c r="L1478" s="3"/>
      <c r="M1478" s="3"/>
      <c r="N1478" s="3"/>
      <c r="O1478" s="3"/>
      <c r="P1478" s="3"/>
      <c r="Q1478" s="3"/>
      <c r="R1478" s="3"/>
      <c r="S1478" s="3"/>
      <c r="T1478" s="3"/>
      <c r="U1478" s="3"/>
    </row>
    <row r="1479">
      <c r="A1479" s="3"/>
      <c r="B1479" s="3"/>
      <c r="C1479" s="3"/>
      <c r="D1479" s="3"/>
      <c r="E1479" s="3"/>
      <c r="F1479" s="3"/>
      <c r="G1479" s="3"/>
      <c r="H1479" s="3"/>
      <c r="K1479" s="3"/>
      <c r="L1479" s="3"/>
      <c r="M1479" s="3"/>
      <c r="N1479" s="3"/>
      <c r="O1479" s="3"/>
      <c r="P1479" s="3"/>
      <c r="Q1479" s="3"/>
      <c r="R1479" s="3"/>
      <c r="S1479" s="3"/>
      <c r="T1479" s="3"/>
      <c r="U1479" s="3"/>
    </row>
    <row r="1480">
      <c r="A1480" s="3"/>
      <c r="B1480" s="3"/>
      <c r="C1480" s="3"/>
      <c r="D1480" s="3"/>
      <c r="E1480" s="3"/>
      <c r="F1480" s="3"/>
      <c r="G1480" s="3"/>
      <c r="H1480" s="3"/>
      <c r="K1480" s="3"/>
      <c r="L1480" s="3"/>
      <c r="M1480" s="3"/>
      <c r="N1480" s="3"/>
      <c r="O1480" s="3"/>
      <c r="P1480" s="3"/>
      <c r="Q1480" s="3"/>
      <c r="R1480" s="3"/>
      <c r="S1480" s="3"/>
      <c r="T1480" s="3"/>
      <c r="U1480" s="3"/>
    </row>
    <row r="1481">
      <c r="A1481" s="3"/>
      <c r="B1481" s="3"/>
      <c r="C1481" s="3"/>
      <c r="D1481" s="3"/>
      <c r="E1481" s="3"/>
      <c r="F1481" s="3"/>
      <c r="G1481" s="3"/>
      <c r="H1481" s="3"/>
      <c r="K1481" s="3"/>
      <c r="L1481" s="3"/>
      <c r="M1481" s="3"/>
      <c r="N1481" s="3"/>
      <c r="O1481" s="3"/>
      <c r="P1481" s="3"/>
      <c r="Q1481" s="3"/>
      <c r="R1481" s="3"/>
      <c r="S1481" s="3"/>
      <c r="T1481" s="3"/>
      <c r="U1481" s="3"/>
    </row>
    <row r="1482">
      <c r="A1482" s="3"/>
      <c r="B1482" s="3"/>
      <c r="C1482" s="3"/>
      <c r="D1482" s="3"/>
      <c r="E1482" s="3"/>
      <c r="F1482" s="3"/>
      <c r="G1482" s="3"/>
      <c r="H1482" s="3"/>
      <c r="K1482" s="3"/>
      <c r="L1482" s="3"/>
      <c r="M1482" s="3"/>
      <c r="N1482" s="3"/>
      <c r="O1482" s="3"/>
      <c r="P1482" s="3"/>
      <c r="Q1482" s="3"/>
      <c r="R1482" s="3"/>
      <c r="S1482" s="3"/>
      <c r="T1482" s="3"/>
      <c r="U1482" s="3"/>
    </row>
    <row r="1483">
      <c r="A1483" s="3"/>
      <c r="B1483" s="3"/>
      <c r="C1483" s="3"/>
      <c r="D1483" s="3"/>
      <c r="E1483" s="3"/>
      <c r="F1483" s="3"/>
      <c r="G1483" s="3"/>
      <c r="H1483" s="3"/>
      <c r="K1483" s="3"/>
      <c r="L1483" s="3"/>
      <c r="M1483" s="3"/>
      <c r="N1483" s="3"/>
      <c r="O1483" s="3"/>
      <c r="P1483" s="3"/>
      <c r="Q1483" s="3"/>
      <c r="R1483" s="3"/>
      <c r="S1483" s="3"/>
      <c r="T1483" s="3"/>
      <c r="U1483" s="3"/>
    </row>
    <row r="1484">
      <c r="A1484" s="3"/>
      <c r="B1484" s="3"/>
      <c r="C1484" s="3"/>
      <c r="D1484" s="3"/>
      <c r="E1484" s="3"/>
      <c r="F1484" s="3"/>
      <c r="G1484" s="3"/>
      <c r="H1484" s="3"/>
      <c r="K1484" s="3"/>
      <c r="L1484" s="3"/>
      <c r="M1484" s="3"/>
      <c r="N1484" s="3"/>
      <c r="O1484" s="3"/>
      <c r="P1484" s="3"/>
      <c r="Q1484" s="3"/>
      <c r="R1484" s="3"/>
      <c r="S1484" s="3"/>
      <c r="T1484" s="3"/>
      <c r="U1484" s="3"/>
    </row>
    <row r="1485">
      <c r="A1485" s="3"/>
      <c r="B1485" s="3"/>
      <c r="C1485" s="3"/>
      <c r="D1485" s="3"/>
      <c r="E1485" s="3"/>
      <c r="F1485" s="3"/>
      <c r="G1485" s="3"/>
      <c r="H1485" s="3"/>
      <c r="K1485" s="3"/>
      <c r="L1485" s="3"/>
      <c r="M1485" s="3"/>
      <c r="N1485" s="3"/>
      <c r="O1485" s="3"/>
      <c r="P1485" s="3"/>
      <c r="Q1485" s="3"/>
      <c r="R1485" s="3"/>
      <c r="S1485" s="3"/>
      <c r="T1485" s="3"/>
      <c r="U1485" s="3"/>
    </row>
    <row r="1486">
      <c r="A1486" s="3"/>
      <c r="B1486" s="3"/>
      <c r="C1486" s="3"/>
      <c r="D1486" s="3"/>
      <c r="E1486" s="3"/>
      <c r="F1486" s="3"/>
      <c r="G1486" s="3"/>
      <c r="H1486" s="3"/>
      <c r="K1486" s="3"/>
      <c r="L1486" s="3"/>
      <c r="M1486" s="3"/>
      <c r="N1486" s="3"/>
      <c r="O1486" s="3"/>
      <c r="P1486" s="3"/>
      <c r="Q1486" s="3"/>
      <c r="R1486" s="3"/>
      <c r="S1486" s="3"/>
      <c r="T1486" s="3"/>
      <c r="U1486" s="3"/>
    </row>
    <row r="1487">
      <c r="A1487" s="3"/>
      <c r="B1487" s="3"/>
      <c r="C1487" s="3"/>
      <c r="D1487" s="3"/>
      <c r="E1487" s="3"/>
      <c r="F1487" s="3"/>
      <c r="G1487" s="3"/>
      <c r="H1487" s="3"/>
      <c r="K1487" s="3"/>
      <c r="L1487" s="3"/>
      <c r="M1487" s="3"/>
      <c r="N1487" s="3"/>
      <c r="O1487" s="3"/>
      <c r="P1487" s="3"/>
      <c r="Q1487" s="3"/>
      <c r="R1487" s="3"/>
      <c r="S1487" s="3"/>
      <c r="T1487" s="3"/>
      <c r="U1487" s="3"/>
    </row>
    <row r="1488">
      <c r="A1488" s="3"/>
      <c r="B1488" s="3"/>
      <c r="C1488" s="3"/>
      <c r="D1488" s="3"/>
      <c r="E1488" s="3"/>
      <c r="F1488" s="3"/>
      <c r="G1488" s="3"/>
      <c r="H1488" s="3"/>
      <c r="K1488" s="3"/>
      <c r="L1488" s="3"/>
      <c r="M1488" s="3"/>
      <c r="N1488" s="3"/>
      <c r="O1488" s="3"/>
      <c r="P1488" s="3"/>
      <c r="Q1488" s="3"/>
      <c r="R1488" s="3"/>
      <c r="S1488" s="3"/>
      <c r="T1488" s="3"/>
      <c r="U1488" s="3"/>
    </row>
    <row r="1489">
      <c r="A1489" s="3"/>
      <c r="B1489" s="3"/>
      <c r="C1489" s="3"/>
      <c r="D1489" s="3"/>
      <c r="E1489" s="3"/>
      <c r="F1489" s="3"/>
      <c r="G1489" s="3"/>
      <c r="H1489" s="3"/>
      <c r="K1489" s="3"/>
      <c r="L1489" s="3"/>
      <c r="M1489" s="3"/>
      <c r="N1489" s="3"/>
      <c r="O1489" s="3"/>
      <c r="P1489" s="3"/>
      <c r="Q1489" s="3"/>
      <c r="R1489" s="3"/>
      <c r="S1489" s="3"/>
      <c r="T1489" s="3"/>
      <c r="U1489" s="3"/>
    </row>
    <row r="1490">
      <c r="A1490" s="3"/>
      <c r="B1490" s="3"/>
      <c r="C1490" s="3"/>
      <c r="D1490" s="3"/>
      <c r="E1490" s="3"/>
      <c r="F1490" s="3"/>
      <c r="G1490" s="3"/>
      <c r="H1490" s="3"/>
      <c r="K1490" s="3"/>
      <c r="L1490" s="3"/>
      <c r="M1490" s="3"/>
      <c r="N1490" s="3"/>
      <c r="O1490" s="3"/>
      <c r="P1490" s="3"/>
      <c r="Q1490" s="3"/>
      <c r="R1490" s="3"/>
      <c r="S1490" s="3"/>
      <c r="T1490" s="3"/>
      <c r="U1490" s="3"/>
    </row>
    <row r="1491">
      <c r="A1491" s="3"/>
      <c r="B1491" s="3"/>
      <c r="C1491" s="3"/>
      <c r="D1491" s="3"/>
      <c r="E1491" s="3"/>
      <c r="F1491" s="3"/>
      <c r="G1491" s="3"/>
      <c r="H1491" s="3"/>
      <c r="K1491" s="3"/>
      <c r="L1491" s="3"/>
      <c r="M1491" s="3"/>
      <c r="N1491" s="3"/>
      <c r="O1491" s="3"/>
      <c r="P1491" s="3"/>
      <c r="Q1491" s="3"/>
      <c r="R1491" s="3"/>
      <c r="S1491" s="3"/>
      <c r="T1491" s="3"/>
      <c r="U1491" s="3"/>
    </row>
    <row r="1492">
      <c r="A1492" s="3"/>
      <c r="B1492" s="3"/>
      <c r="C1492" s="3"/>
      <c r="D1492" s="3"/>
      <c r="E1492" s="3"/>
      <c r="F1492" s="3"/>
      <c r="G1492" s="3"/>
      <c r="H1492" s="3"/>
      <c r="K1492" s="3"/>
      <c r="L1492" s="3"/>
      <c r="M1492" s="3"/>
      <c r="N1492" s="3"/>
      <c r="O1492" s="3"/>
      <c r="P1492" s="3"/>
      <c r="Q1492" s="3"/>
      <c r="R1492" s="3"/>
      <c r="S1492" s="3"/>
      <c r="T1492" s="3"/>
      <c r="U1492" s="3"/>
    </row>
    <row r="1493">
      <c r="A1493" s="3"/>
      <c r="B1493" s="3"/>
      <c r="C1493" s="3"/>
      <c r="D1493" s="3"/>
      <c r="E1493" s="3"/>
      <c r="F1493" s="3"/>
      <c r="G1493" s="3"/>
      <c r="H1493" s="3"/>
      <c r="K1493" s="3"/>
      <c r="L1493" s="3"/>
      <c r="M1493" s="3"/>
      <c r="N1493" s="3"/>
      <c r="O1493" s="3"/>
      <c r="P1493" s="3"/>
      <c r="Q1493" s="3"/>
      <c r="R1493" s="3"/>
      <c r="S1493" s="3"/>
      <c r="T1493" s="3"/>
      <c r="U1493" s="3"/>
    </row>
    <row r="1494">
      <c r="A1494" s="3"/>
      <c r="B1494" s="3"/>
      <c r="C1494" s="3"/>
      <c r="D1494" s="3"/>
      <c r="E1494" s="3"/>
      <c r="F1494" s="3"/>
      <c r="G1494" s="3"/>
      <c r="H1494" s="3"/>
      <c r="K1494" s="3"/>
      <c r="L1494" s="3"/>
      <c r="M1494" s="3"/>
      <c r="N1494" s="3"/>
      <c r="O1494" s="3"/>
      <c r="P1494" s="3"/>
      <c r="Q1494" s="3"/>
      <c r="R1494" s="3"/>
      <c r="S1494" s="3"/>
      <c r="T1494" s="3"/>
      <c r="U1494" s="3"/>
    </row>
    <row r="1495">
      <c r="A1495" s="3"/>
      <c r="B1495" s="3"/>
      <c r="C1495" s="3"/>
      <c r="D1495" s="3"/>
      <c r="E1495" s="3"/>
      <c r="F1495" s="3"/>
      <c r="G1495" s="3"/>
      <c r="H1495" s="3"/>
      <c r="K1495" s="3"/>
      <c r="L1495" s="3"/>
      <c r="M1495" s="3"/>
      <c r="N1495" s="3"/>
      <c r="O1495" s="3"/>
      <c r="P1495" s="3"/>
      <c r="Q1495" s="3"/>
      <c r="R1495" s="3"/>
      <c r="S1495" s="3"/>
      <c r="T1495" s="3"/>
      <c r="U1495" s="3"/>
    </row>
    <row r="1496">
      <c r="A1496" s="3"/>
      <c r="B1496" s="3"/>
      <c r="C1496" s="3"/>
      <c r="D1496" s="3"/>
      <c r="E1496" s="3"/>
      <c r="F1496" s="3"/>
      <c r="G1496" s="3"/>
      <c r="H1496" s="3"/>
      <c r="K1496" s="3"/>
      <c r="L1496" s="3"/>
      <c r="M1496" s="3"/>
      <c r="N1496" s="3"/>
      <c r="O1496" s="3"/>
      <c r="P1496" s="3"/>
      <c r="Q1496" s="3"/>
      <c r="R1496" s="3"/>
      <c r="S1496" s="3"/>
      <c r="T1496" s="3"/>
      <c r="U1496" s="3"/>
    </row>
    <row r="1497">
      <c r="A1497" s="3"/>
      <c r="B1497" s="3"/>
      <c r="C1497" s="3"/>
      <c r="D1497" s="3"/>
      <c r="E1497" s="3"/>
      <c r="F1497" s="3"/>
      <c r="G1497" s="3"/>
      <c r="H1497" s="3"/>
      <c r="K1497" s="3"/>
      <c r="L1497" s="3"/>
      <c r="M1497" s="3"/>
      <c r="N1497" s="3"/>
      <c r="O1497" s="3"/>
      <c r="P1497" s="3"/>
      <c r="Q1497" s="3"/>
      <c r="R1497" s="3"/>
      <c r="S1497" s="3"/>
      <c r="T1497" s="3"/>
      <c r="U1497" s="3"/>
    </row>
    <row r="1498">
      <c r="A1498" s="3"/>
      <c r="B1498" s="3"/>
      <c r="C1498" s="3"/>
      <c r="D1498" s="3"/>
      <c r="E1498" s="3"/>
      <c r="F1498" s="3"/>
      <c r="G1498" s="3"/>
      <c r="H1498" s="3"/>
      <c r="K1498" s="3"/>
      <c r="L1498" s="3"/>
      <c r="M1498" s="3"/>
      <c r="N1498" s="3"/>
      <c r="O1498" s="3"/>
      <c r="P1498" s="3"/>
      <c r="Q1498" s="3"/>
      <c r="R1498" s="3"/>
      <c r="S1498" s="3"/>
      <c r="T1498" s="3"/>
      <c r="U1498" s="3"/>
    </row>
    <row r="1499">
      <c r="A1499" s="3"/>
      <c r="B1499" s="3"/>
      <c r="C1499" s="3"/>
      <c r="D1499" s="3"/>
      <c r="E1499" s="3"/>
      <c r="F1499" s="3"/>
      <c r="G1499" s="3"/>
      <c r="H1499" s="3"/>
      <c r="K1499" s="3"/>
      <c r="L1499" s="3"/>
      <c r="M1499" s="3"/>
      <c r="N1499" s="3"/>
      <c r="O1499" s="3"/>
      <c r="P1499" s="3"/>
      <c r="Q1499" s="3"/>
      <c r="R1499" s="3"/>
      <c r="S1499" s="3"/>
      <c r="T1499" s="3"/>
      <c r="U1499" s="3"/>
    </row>
    <row r="1500">
      <c r="A1500" s="3"/>
      <c r="B1500" s="3"/>
      <c r="C1500" s="3"/>
      <c r="D1500" s="3"/>
      <c r="E1500" s="3"/>
      <c r="F1500" s="3"/>
      <c r="G1500" s="3"/>
      <c r="H1500" s="3"/>
      <c r="K1500" s="3"/>
      <c r="L1500" s="3"/>
      <c r="M1500" s="3"/>
      <c r="N1500" s="3"/>
      <c r="O1500" s="3"/>
      <c r="P1500" s="3"/>
      <c r="Q1500" s="3"/>
      <c r="R1500" s="3"/>
      <c r="S1500" s="3"/>
      <c r="T1500" s="3"/>
      <c r="U1500" s="3"/>
    </row>
    <row r="1501">
      <c r="A1501" s="3"/>
      <c r="B1501" s="3"/>
      <c r="C1501" s="3"/>
      <c r="D1501" s="3"/>
      <c r="E1501" s="3"/>
      <c r="F1501" s="3"/>
      <c r="G1501" s="3"/>
      <c r="H1501" s="3"/>
      <c r="K1501" s="3"/>
      <c r="L1501" s="3"/>
      <c r="M1501" s="3"/>
      <c r="N1501" s="3"/>
      <c r="O1501" s="3"/>
      <c r="P1501" s="3"/>
      <c r="Q1501" s="3"/>
      <c r="R1501" s="3"/>
      <c r="S1501" s="3"/>
      <c r="T1501" s="3"/>
      <c r="U1501" s="3"/>
    </row>
    <row r="1502">
      <c r="A1502" s="3"/>
      <c r="B1502" s="3"/>
      <c r="C1502" s="3"/>
      <c r="D1502" s="3"/>
      <c r="E1502" s="3"/>
      <c r="F1502" s="3"/>
      <c r="G1502" s="3"/>
      <c r="H1502" s="3"/>
      <c r="K1502" s="3"/>
      <c r="L1502" s="3"/>
      <c r="M1502" s="3"/>
      <c r="N1502" s="3"/>
      <c r="O1502" s="3"/>
      <c r="P1502" s="3"/>
      <c r="Q1502" s="3"/>
      <c r="R1502" s="3"/>
      <c r="S1502" s="3"/>
      <c r="T1502" s="3"/>
      <c r="U1502" s="3"/>
    </row>
    <row r="1503">
      <c r="A1503" s="3"/>
      <c r="B1503" s="3"/>
      <c r="C1503" s="3"/>
      <c r="D1503" s="3"/>
      <c r="E1503" s="3"/>
      <c r="F1503" s="3"/>
      <c r="G1503" s="3"/>
      <c r="H1503" s="3"/>
      <c r="K1503" s="3"/>
      <c r="L1503" s="3"/>
      <c r="M1503" s="3"/>
      <c r="N1503" s="3"/>
      <c r="O1503" s="3"/>
      <c r="P1503" s="3"/>
      <c r="Q1503" s="3"/>
      <c r="R1503" s="3"/>
      <c r="S1503" s="3"/>
      <c r="T1503" s="3"/>
      <c r="U1503" s="3"/>
    </row>
    <row r="1504">
      <c r="A1504" s="3"/>
      <c r="B1504" s="3"/>
      <c r="C1504" s="3"/>
      <c r="D1504" s="3"/>
      <c r="E1504" s="3"/>
      <c r="F1504" s="3"/>
      <c r="G1504" s="3"/>
      <c r="H1504" s="3"/>
      <c r="K1504" s="3"/>
      <c r="L1504" s="3"/>
      <c r="M1504" s="3"/>
      <c r="N1504" s="3"/>
      <c r="O1504" s="3"/>
      <c r="P1504" s="3"/>
      <c r="Q1504" s="3"/>
      <c r="R1504" s="3"/>
      <c r="S1504" s="3"/>
      <c r="T1504" s="3"/>
      <c r="U1504" s="3"/>
    </row>
    <row r="1505">
      <c r="A1505" s="3"/>
      <c r="B1505" s="3"/>
      <c r="C1505" s="3"/>
      <c r="D1505" s="3"/>
      <c r="E1505" s="3"/>
      <c r="F1505" s="3"/>
      <c r="G1505" s="3"/>
      <c r="H1505" s="3"/>
      <c r="K1505" s="3"/>
      <c r="L1505" s="3"/>
      <c r="M1505" s="3"/>
      <c r="N1505" s="3"/>
      <c r="O1505" s="3"/>
      <c r="P1505" s="3"/>
      <c r="Q1505" s="3"/>
      <c r="R1505" s="3"/>
      <c r="S1505" s="3"/>
      <c r="T1505" s="3"/>
      <c r="U1505" s="3"/>
    </row>
    <row r="1506">
      <c r="A1506" s="3"/>
      <c r="B1506" s="3"/>
      <c r="C1506" s="3"/>
      <c r="D1506" s="3"/>
      <c r="E1506" s="3"/>
      <c r="F1506" s="3"/>
      <c r="G1506" s="3"/>
      <c r="H1506" s="3"/>
      <c r="K1506" s="3"/>
      <c r="L1506" s="3"/>
      <c r="M1506" s="3"/>
      <c r="N1506" s="3"/>
      <c r="O1506" s="3"/>
      <c r="P1506" s="3"/>
      <c r="Q1506" s="3"/>
      <c r="R1506" s="3"/>
      <c r="S1506" s="3"/>
      <c r="T1506" s="3"/>
      <c r="U1506" s="3"/>
    </row>
    <row r="1507">
      <c r="A1507" s="3"/>
      <c r="B1507" s="3"/>
      <c r="C1507" s="3"/>
      <c r="D1507" s="3"/>
      <c r="E1507" s="3"/>
      <c r="F1507" s="3"/>
      <c r="G1507" s="3"/>
      <c r="H1507" s="3"/>
      <c r="K1507" s="3"/>
      <c r="L1507" s="3"/>
      <c r="M1507" s="3"/>
      <c r="N1507" s="3"/>
      <c r="O1507" s="3"/>
      <c r="P1507" s="3"/>
      <c r="Q1507" s="3"/>
      <c r="R1507" s="3"/>
      <c r="S1507" s="3"/>
      <c r="T1507" s="3"/>
      <c r="U1507" s="3"/>
    </row>
    <row r="1508">
      <c r="A1508" s="3"/>
      <c r="B1508" s="3"/>
      <c r="C1508" s="3"/>
      <c r="D1508" s="3"/>
      <c r="E1508" s="3"/>
      <c r="F1508" s="3"/>
      <c r="G1508" s="3"/>
      <c r="H1508" s="3"/>
      <c r="K1508" s="3"/>
      <c r="L1508" s="3"/>
      <c r="M1508" s="3"/>
      <c r="N1508" s="3"/>
      <c r="O1508" s="3"/>
      <c r="P1508" s="3"/>
      <c r="Q1508" s="3"/>
      <c r="R1508" s="3"/>
      <c r="S1508" s="3"/>
      <c r="T1508" s="3"/>
      <c r="U1508" s="3"/>
    </row>
    <row r="1509">
      <c r="A1509" s="3"/>
      <c r="B1509" s="3"/>
      <c r="C1509" s="3"/>
      <c r="D1509" s="3"/>
      <c r="E1509" s="3"/>
      <c r="F1509" s="3"/>
      <c r="G1509" s="3"/>
      <c r="H1509" s="3"/>
      <c r="K1509" s="3"/>
      <c r="L1509" s="3"/>
      <c r="M1509" s="3"/>
      <c r="N1509" s="3"/>
      <c r="O1509" s="3"/>
      <c r="P1509" s="3"/>
      <c r="Q1509" s="3"/>
      <c r="R1509" s="3"/>
      <c r="S1509" s="3"/>
      <c r="T1509" s="3"/>
      <c r="U1509" s="3"/>
    </row>
    <row r="1510">
      <c r="A1510" s="3"/>
      <c r="B1510" s="3"/>
      <c r="C1510" s="3"/>
      <c r="D1510" s="3"/>
      <c r="E1510" s="3"/>
      <c r="F1510" s="3"/>
      <c r="G1510" s="3"/>
      <c r="H1510" s="3"/>
      <c r="K1510" s="3"/>
      <c r="L1510" s="3"/>
      <c r="M1510" s="3"/>
      <c r="N1510" s="3"/>
      <c r="O1510" s="3"/>
      <c r="P1510" s="3"/>
      <c r="Q1510" s="3"/>
      <c r="R1510" s="3"/>
      <c r="S1510" s="3"/>
      <c r="T1510" s="3"/>
      <c r="U1510" s="3"/>
    </row>
    <row r="1511">
      <c r="A1511" s="3"/>
      <c r="B1511" s="3"/>
      <c r="C1511" s="3"/>
      <c r="D1511" s="3"/>
      <c r="E1511" s="3"/>
      <c r="F1511" s="3"/>
      <c r="G1511" s="3"/>
      <c r="H1511" s="3"/>
      <c r="K1511" s="3"/>
      <c r="L1511" s="3"/>
      <c r="M1511" s="3"/>
      <c r="N1511" s="3"/>
      <c r="O1511" s="3"/>
      <c r="P1511" s="3"/>
      <c r="Q1511" s="3"/>
      <c r="R1511" s="3"/>
      <c r="S1511" s="3"/>
      <c r="T1511" s="3"/>
      <c r="U1511" s="3"/>
    </row>
    <row r="1512">
      <c r="A1512" s="3"/>
      <c r="B1512" s="3"/>
      <c r="C1512" s="3"/>
      <c r="D1512" s="3"/>
      <c r="E1512" s="3"/>
      <c r="F1512" s="3"/>
      <c r="G1512" s="3"/>
      <c r="H1512" s="3"/>
      <c r="K1512" s="3"/>
      <c r="L1512" s="3"/>
      <c r="M1512" s="3"/>
      <c r="N1512" s="3"/>
      <c r="O1512" s="3"/>
      <c r="P1512" s="3"/>
      <c r="Q1512" s="3"/>
      <c r="R1512" s="3"/>
      <c r="S1512" s="3"/>
      <c r="T1512" s="3"/>
      <c r="U1512" s="3"/>
    </row>
    <row r="1513">
      <c r="A1513" s="3"/>
      <c r="B1513" s="3"/>
      <c r="C1513" s="3"/>
      <c r="D1513" s="3"/>
      <c r="E1513" s="3"/>
      <c r="F1513" s="3"/>
      <c r="G1513" s="3"/>
      <c r="H1513" s="3"/>
      <c r="K1513" s="3"/>
      <c r="L1513" s="3"/>
      <c r="M1513" s="3"/>
      <c r="N1513" s="3"/>
      <c r="O1513" s="3"/>
      <c r="P1513" s="3"/>
      <c r="Q1513" s="3"/>
      <c r="R1513" s="3"/>
      <c r="S1513" s="3"/>
      <c r="T1513" s="3"/>
      <c r="U1513" s="3"/>
    </row>
    <row r="1514">
      <c r="A1514" s="3"/>
      <c r="B1514" s="3"/>
      <c r="C1514" s="3"/>
      <c r="D1514" s="3"/>
      <c r="E1514" s="3"/>
      <c r="F1514" s="3"/>
      <c r="G1514" s="3"/>
      <c r="H1514" s="3"/>
      <c r="K1514" s="3"/>
      <c r="L1514" s="3"/>
      <c r="M1514" s="3"/>
      <c r="N1514" s="3"/>
      <c r="O1514" s="3"/>
      <c r="P1514" s="3"/>
      <c r="Q1514" s="3"/>
      <c r="R1514" s="3"/>
      <c r="S1514" s="3"/>
      <c r="T1514" s="3"/>
      <c r="U1514" s="3"/>
    </row>
    <row r="1515">
      <c r="A1515" s="3"/>
      <c r="B1515" s="3"/>
      <c r="C1515" s="3"/>
      <c r="D1515" s="3"/>
      <c r="E1515" s="3"/>
      <c r="F1515" s="3"/>
      <c r="G1515" s="3"/>
      <c r="H1515" s="3"/>
      <c r="K1515" s="3"/>
      <c r="L1515" s="3"/>
      <c r="M1515" s="3"/>
      <c r="N1515" s="3"/>
      <c r="O1515" s="3"/>
      <c r="P1515" s="3"/>
      <c r="Q1515" s="3"/>
      <c r="R1515" s="3"/>
      <c r="S1515" s="3"/>
      <c r="T1515" s="3"/>
      <c r="U1515" s="3"/>
    </row>
    <row r="1516">
      <c r="A1516" s="3"/>
      <c r="B1516" s="3"/>
      <c r="C1516" s="3"/>
      <c r="D1516" s="3"/>
      <c r="E1516" s="3"/>
      <c r="F1516" s="3"/>
      <c r="G1516" s="3"/>
      <c r="H1516" s="3"/>
      <c r="K1516" s="3"/>
      <c r="L1516" s="3"/>
      <c r="M1516" s="3"/>
      <c r="N1516" s="3"/>
      <c r="O1516" s="3"/>
      <c r="P1516" s="3"/>
      <c r="Q1516" s="3"/>
      <c r="R1516" s="3"/>
      <c r="S1516" s="3"/>
      <c r="T1516" s="3"/>
      <c r="U1516" s="3"/>
    </row>
    <row r="1517">
      <c r="A1517" s="3"/>
      <c r="B1517" s="3"/>
      <c r="C1517" s="3"/>
      <c r="D1517" s="3"/>
      <c r="E1517" s="3"/>
      <c r="F1517" s="3"/>
      <c r="G1517" s="3"/>
      <c r="H1517" s="3"/>
      <c r="K1517" s="3"/>
      <c r="L1517" s="3"/>
      <c r="M1517" s="3"/>
      <c r="N1517" s="3"/>
      <c r="O1517" s="3"/>
      <c r="P1517" s="3"/>
      <c r="Q1517" s="3"/>
      <c r="R1517" s="3"/>
      <c r="S1517" s="3"/>
      <c r="T1517" s="3"/>
      <c r="U1517" s="3"/>
    </row>
    <row r="1518">
      <c r="A1518" s="3"/>
      <c r="B1518" s="3"/>
      <c r="C1518" s="3"/>
      <c r="D1518" s="3"/>
      <c r="E1518" s="3"/>
      <c r="F1518" s="3"/>
      <c r="G1518" s="3"/>
      <c r="H1518" s="3"/>
      <c r="K1518" s="3"/>
      <c r="L1518" s="3"/>
      <c r="M1518" s="3"/>
      <c r="N1518" s="3"/>
      <c r="O1518" s="3"/>
      <c r="P1518" s="3"/>
      <c r="Q1518" s="3"/>
      <c r="R1518" s="3"/>
      <c r="S1518" s="3"/>
      <c r="T1518" s="3"/>
      <c r="U1518" s="3"/>
    </row>
    <row r="1519">
      <c r="A1519" s="3"/>
      <c r="B1519" s="3"/>
      <c r="C1519" s="3"/>
      <c r="D1519" s="3"/>
      <c r="E1519" s="3"/>
      <c r="F1519" s="3"/>
      <c r="G1519" s="3"/>
      <c r="H1519" s="3"/>
      <c r="K1519" s="3"/>
      <c r="L1519" s="3"/>
      <c r="M1519" s="3"/>
      <c r="N1519" s="3"/>
      <c r="O1519" s="3"/>
      <c r="P1519" s="3"/>
      <c r="Q1519" s="3"/>
      <c r="R1519" s="3"/>
      <c r="S1519" s="3"/>
      <c r="T1519" s="3"/>
      <c r="U1519" s="3"/>
    </row>
    <row r="1520">
      <c r="A1520" s="3"/>
      <c r="B1520" s="3"/>
      <c r="C1520" s="3"/>
      <c r="D1520" s="3"/>
      <c r="E1520" s="3"/>
      <c r="F1520" s="3"/>
      <c r="G1520" s="3"/>
      <c r="H1520" s="3"/>
      <c r="K1520" s="3"/>
      <c r="L1520" s="3"/>
      <c r="M1520" s="3"/>
      <c r="N1520" s="3"/>
      <c r="O1520" s="3"/>
      <c r="P1520" s="3"/>
      <c r="Q1520" s="3"/>
      <c r="R1520" s="3"/>
      <c r="S1520" s="3"/>
      <c r="T1520" s="3"/>
      <c r="U1520" s="3"/>
    </row>
    <row r="1521">
      <c r="A1521" s="3"/>
      <c r="B1521" s="3"/>
      <c r="C1521" s="3"/>
      <c r="D1521" s="3"/>
      <c r="E1521" s="3"/>
      <c r="F1521" s="3"/>
      <c r="G1521" s="3"/>
      <c r="H1521" s="3"/>
      <c r="K1521" s="3"/>
      <c r="L1521" s="3"/>
      <c r="M1521" s="3"/>
      <c r="N1521" s="3"/>
      <c r="O1521" s="3"/>
      <c r="P1521" s="3"/>
      <c r="Q1521" s="3"/>
      <c r="R1521" s="3"/>
      <c r="S1521" s="3"/>
      <c r="T1521" s="3"/>
      <c r="U1521" s="3"/>
    </row>
    <row r="1522">
      <c r="A1522" s="3"/>
      <c r="B1522" s="3"/>
      <c r="C1522" s="3"/>
      <c r="D1522" s="3"/>
      <c r="E1522" s="3"/>
      <c r="F1522" s="3"/>
      <c r="G1522" s="3"/>
      <c r="H1522" s="3"/>
      <c r="K1522" s="3"/>
      <c r="L1522" s="3"/>
      <c r="M1522" s="3"/>
      <c r="N1522" s="3"/>
      <c r="O1522" s="3"/>
      <c r="P1522" s="3"/>
      <c r="Q1522" s="3"/>
      <c r="R1522" s="3"/>
      <c r="S1522" s="3"/>
      <c r="T1522" s="3"/>
      <c r="U1522" s="3"/>
    </row>
    <row r="1523">
      <c r="A1523" s="3"/>
      <c r="B1523" s="3"/>
      <c r="C1523" s="3"/>
      <c r="D1523" s="3"/>
      <c r="E1523" s="3"/>
      <c r="F1523" s="3"/>
      <c r="G1523" s="3"/>
      <c r="H1523" s="3"/>
      <c r="K1523" s="3"/>
      <c r="L1523" s="3"/>
      <c r="M1523" s="3"/>
      <c r="N1523" s="3"/>
      <c r="O1523" s="3"/>
      <c r="P1523" s="3"/>
      <c r="Q1523" s="3"/>
      <c r="R1523" s="3"/>
      <c r="S1523" s="3"/>
      <c r="T1523" s="3"/>
      <c r="U1523" s="3"/>
    </row>
    <row r="1524">
      <c r="A1524" s="3"/>
      <c r="B1524" s="3"/>
      <c r="C1524" s="3"/>
      <c r="D1524" s="3"/>
      <c r="E1524" s="3"/>
      <c r="F1524" s="3"/>
      <c r="G1524" s="3"/>
      <c r="H1524" s="3"/>
      <c r="K1524" s="3"/>
      <c r="L1524" s="3"/>
      <c r="M1524" s="3"/>
      <c r="N1524" s="3"/>
      <c r="O1524" s="3"/>
      <c r="P1524" s="3"/>
      <c r="Q1524" s="3"/>
      <c r="R1524" s="3"/>
      <c r="S1524" s="3"/>
      <c r="T1524" s="3"/>
      <c r="U1524" s="3"/>
    </row>
    <row r="1525">
      <c r="A1525" s="3"/>
      <c r="B1525" s="3"/>
      <c r="C1525" s="3"/>
      <c r="D1525" s="3"/>
      <c r="E1525" s="3"/>
      <c r="F1525" s="3"/>
      <c r="G1525" s="3"/>
      <c r="H1525" s="3"/>
      <c r="K1525" s="3"/>
      <c r="L1525" s="3"/>
      <c r="M1525" s="3"/>
      <c r="N1525" s="3"/>
      <c r="O1525" s="3"/>
      <c r="P1525" s="3"/>
      <c r="Q1525" s="3"/>
      <c r="R1525" s="3"/>
      <c r="S1525" s="3"/>
      <c r="T1525" s="3"/>
      <c r="U1525" s="3"/>
    </row>
    <row r="1526">
      <c r="A1526" s="3"/>
      <c r="B1526" s="3"/>
      <c r="C1526" s="3"/>
      <c r="D1526" s="3"/>
      <c r="E1526" s="3"/>
      <c r="F1526" s="3"/>
      <c r="G1526" s="3"/>
      <c r="H1526" s="3"/>
      <c r="K1526" s="3"/>
      <c r="L1526" s="3"/>
      <c r="M1526" s="3"/>
      <c r="N1526" s="3"/>
      <c r="O1526" s="3"/>
      <c r="P1526" s="3"/>
      <c r="Q1526" s="3"/>
      <c r="R1526" s="3"/>
      <c r="S1526" s="3"/>
      <c r="T1526" s="3"/>
      <c r="U1526" s="3"/>
    </row>
    <row r="1527">
      <c r="A1527" s="3"/>
      <c r="B1527" s="3"/>
      <c r="C1527" s="3"/>
      <c r="D1527" s="3"/>
      <c r="E1527" s="3"/>
      <c r="F1527" s="3"/>
      <c r="G1527" s="3"/>
      <c r="H1527" s="3"/>
      <c r="K1527" s="3"/>
      <c r="L1527" s="3"/>
      <c r="M1527" s="3"/>
      <c r="N1527" s="3"/>
      <c r="O1527" s="3"/>
      <c r="P1527" s="3"/>
      <c r="Q1527" s="3"/>
      <c r="R1527" s="3"/>
      <c r="S1527" s="3"/>
      <c r="T1527" s="3"/>
      <c r="U1527" s="3"/>
    </row>
    <row r="1528">
      <c r="A1528" s="3"/>
      <c r="B1528" s="3"/>
      <c r="C1528" s="3"/>
      <c r="D1528" s="3"/>
      <c r="E1528" s="3"/>
      <c r="F1528" s="3"/>
      <c r="G1528" s="3"/>
      <c r="H1528" s="3"/>
      <c r="K1528" s="3"/>
      <c r="L1528" s="3"/>
      <c r="M1528" s="3"/>
      <c r="N1528" s="3"/>
      <c r="O1528" s="3"/>
      <c r="P1528" s="3"/>
      <c r="Q1528" s="3"/>
      <c r="R1528" s="3"/>
      <c r="S1528" s="3"/>
      <c r="T1528" s="3"/>
      <c r="U1528" s="3"/>
    </row>
    <row r="1529">
      <c r="A1529" s="3"/>
      <c r="B1529" s="3"/>
      <c r="C1529" s="3"/>
      <c r="D1529" s="3"/>
      <c r="E1529" s="3"/>
      <c r="F1529" s="3"/>
      <c r="G1529" s="3"/>
      <c r="H1529" s="3"/>
      <c r="K1529" s="3"/>
      <c r="L1529" s="3"/>
      <c r="M1529" s="3"/>
      <c r="N1529" s="3"/>
      <c r="O1529" s="3"/>
      <c r="P1529" s="3"/>
      <c r="Q1529" s="3"/>
      <c r="R1529" s="3"/>
      <c r="S1529" s="3"/>
      <c r="T1529" s="3"/>
      <c r="U1529" s="3"/>
    </row>
    <row r="1530">
      <c r="A1530" s="3"/>
      <c r="B1530" s="3"/>
      <c r="C1530" s="3"/>
      <c r="D1530" s="3"/>
      <c r="E1530" s="3"/>
      <c r="F1530" s="3"/>
      <c r="G1530" s="3"/>
      <c r="H1530" s="3"/>
      <c r="K1530" s="3"/>
      <c r="L1530" s="3"/>
      <c r="M1530" s="3"/>
      <c r="N1530" s="3"/>
      <c r="O1530" s="3"/>
      <c r="P1530" s="3"/>
      <c r="Q1530" s="3"/>
      <c r="R1530" s="3"/>
      <c r="S1530" s="3"/>
      <c r="T1530" s="3"/>
      <c r="U1530" s="3"/>
    </row>
    <row r="1531">
      <c r="A1531" s="3"/>
      <c r="B1531" s="3"/>
      <c r="C1531" s="3"/>
      <c r="D1531" s="3"/>
      <c r="E1531" s="3"/>
      <c r="F1531" s="3"/>
      <c r="G1531" s="3"/>
      <c r="H1531" s="3"/>
      <c r="K1531" s="3"/>
      <c r="L1531" s="3"/>
      <c r="M1531" s="3"/>
      <c r="N1531" s="3"/>
      <c r="O1531" s="3"/>
      <c r="P1531" s="3"/>
      <c r="Q1531" s="3"/>
      <c r="R1531" s="3"/>
      <c r="S1531" s="3"/>
      <c r="T1531" s="3"/>
      <c r="U1531" s="3"/>
    </row>
    <row r="1532">
      <c r="A1532" s="3"/>
      <c r="B1532" s="3"/>
      <c r="C1532" s="3"/>
      <c r="D1532" s="3"/>
      <c r="E1532" s="3"/>
      <c r="F1532" s="3"/>
      <c r="G1532" s="3"/>
      <c r="H1532" s="3"/>
      <c r="K1532" s="3"/>
      <c r="L1532" s="3"/>
      <c r="M1532" s="3"/>
      <c r="N1532" s="3"/>
      <c r="O1532" s="3"/>
      <c r="P1532" s="3"/>
      <c r="Q1532" s="3"/>
      <c r="R1532" s="3"/>
      <c r="S1532" s="3"/>
      <c r="T1532" s="3"/>
      <c r="U1532" s="3"/>
    </row>
    <row r="1533">
      <c r="A1533" s="3"/>
      <c r="B1533" s="3"/>
      <c r="C1533" s="3"/>
      <c r="D1533" s="3"/>
      <c r="E1533" s="3"/>
      <c r="F1533" s="3"/>
      <c r="G1533" s="3"/>
      <c r="H1533" s="3"/>
      <c r="K1533" s="3"/>
      <c r="L1533" s="3"/>
      <c r="M1533" s="3"/>
      <c r="N1533" s="3"/>
      <c r="O1533" s="3"/>
      <c r="P1533" s="3"/>
      <c r="Q1533" s="3"/>
      <c r="R1533" s="3"/>
      <c r="S1533" s="3"/>
      <c r="T1533" s="3"/>
      <c r="U1533" s="3"/>
    </row>
    <row r="1534">
      <c r="A1534" s="3"/>
      <c r="B1534" s="3"/>
      <c r="C1534" s="3"/>
      <c r="D1534" s="3"/>
      <c r="E1534" s="3"/>
      <c r="F1534" s="3"/>
      <c r="G1534" s="3"/>
      <c r="H1534" s="3"/>
      <c r="K1534" s="3"/>
      <c r="L1534" s="3"/>
      <c r="M1534" s="3"/>
      <c r="N1534" s="3"/>
      <c r="O1534" s="3"/>
      <c r="P1534" s="3"/>
      <c r="Q1534" s="3"/>
      <c r="R1534" s="3"/>
      <c r="S1534" s="3"/>
      <c r="T1534" s="3"/>
      <c r="U1534" s="3"/>
    </row>
    <row r="1535">
      <c r="A1535" s="3"/>
      <c r="B1535" s="3"/>
      <c r="C1535" s="3"/>
      <c r="D1535" s="3"/>
      <c r="E1535" s="3"/>
      <c r="F1535" s="3"/>
      <c r="G1535" s="3"/>
      <c r="H1535" s="3"/>
      <c r="K1535" s="3"/>
      <c r="L1535" s="3"/>
      <c r="M1535" s="3"/>
      <c r="N1535" s="3"/>
      <c r="O1535" s="3"/>
      <c r="P1535" s="3"/>
      <c r="Q1535" s="3"/>
      <c r="R1535" s="3"/>
      <c r="S1535" s="3"/>
      <c r="T1535" s="3"/>
      <c r="U1535" s="3"/>
    </row>
    <row r="1536">
      <c r="A1536" s="3"/>
      <c r="B1536" s="3"/>
      <c r="C1536" s="3"/>
      <c r="D1536" s="3"/>
      <c r="E1536" s="3"/>
      <c r="F1536" s="3"/>
      <c r="G1536" s="3"/>
      <c r="H1536" s="3"/>
      <c r="K1536" s="3"/>
      <c r="L1536" s="3"/>
      <c r="M1536" s="3"/>
      <c r="N1536" s="3"/>
      <c r="O1536" s="3"/>
      <c r="P1536" s="3"/>
      <c r="Q1536" s="3"/>
      <c r="R1536" s="3"/>
      <c r="S1536" s="3"/>
      <c r="T1536" s="3"/>
      <c r="U1536" s="3"/>
    </row>
    <row r="1537">
      <c r="A1537" s="3"/>
      <c r="B1537" s="3"/>
      <c r="C1537" s="3"/>
      <c r="D1537" s="3"/>
      <c r="E1537" s="3"/>
      <c r="F1537" s="3"/>
      <c r="G1537" s="3"/>
      <c r="H1537" s="3"/>
      <c r="K1537" s="3"/>
      <c r="L1537" s="3"/>
      <c r="M1537" s="3"/>
      <c r="N1537" s="3"/>
      <c r="O1537" s="3"/>
      <c r="P1537" s="3"/>
      <c r="Q1537" s="3"/>
      <c r="R1537" s="3"/>
      <c r="S1537" s="3"/>
      <c r="T1537" s="3"/>
      <c r="U1537" s="3"/>
    </row>
    <row r="1538">
      <c r="A1538" s="3"/>
      <c r="B1538" s="3"/>
      <c r="C1538" s="3"/>
      <c r="D1538" s="3"/>
      <c r="E1538" s="3"/>
      <c r="F1538" s="3"/>
      <c r="G1538" s="3"/>
      <c r="H1538" s="3"/>
      <c r="K1538" s="3"/>
      <c r="L1538" s="3"/>
      <c r="M1538" s="3"/>
      <c r="N1538" s="3"/>
      <c r="O1538" s="3"/>
      <c r="P1538" s="3"/>
      <c r="Q1538" s="3"/>
      <c r="R1538" s="3"/>
      <c r="S1538" s="3"/>
      <c r="T1538" s="3"/>
      <c r="U1538" s="3"/>
    </row>
    <row r="1539">
      <c r="A1539" s="3"/>
      <c r="B1539" s="3"/>
      <c r="C1539" s="3"/>
      <c r="D1539" s="3"/>
      <c r="E1539" s="3"/>
      <c r="F1539" s="3"/>
      <c r="G1539" s="3"/>
      <c r="H1539" s="3"/>
      <c r="K1539" s="3"/>
      <c r="L1539" s="3"/>
      <c r="M1539" s="3"/>
      <c r="N1539" s="3"/>
      <c r="O1539" s="3"/>
      <c r="P1539" s="3"/>
      <c r="Q1539" s="3"/>
      <c r="R1539" s="3"/>
      <c r="S1539" s="3"/>
      <c r="T1539" s="3"/>
      <c r="U1539" s="3"/>
    </row>
    <row r="1540">
      <c r="A1540" s="3"/>
      <c r="B1540" s="3"/>
      <c r="C1540" s="3"/>
      <c r="D1540" s="3"/>
      <c r="E1540" s="3"/>
      <c r="F1540" s="3"/>
      <c r="G1540" s="3"/>
      <c r="H1540" s="3"/>
      <c r="K1540" s="3"/>
      <c r="L1540" s="3"/>
      <c r="M1540" s="3"/>
      <c r="N1540" s="3"/>
      <c r="O1540" s="3"/>
      <c r="P1540" s="3"/>
      <c r="Q1540" s="3"/>
      <c r="R1540" s="3"/>
      <c r="S1540" s="3"/>
      <c r="T1540" s="3"/>
      <c r="U1540" s="3"/>
    </row>
    <row r="1541">
      <c r="A1541" s="3"/>
      <c r="B1541" s="3"/>
      <c r="C1541" s="3"/>
      <c r="D1541" s="3"/>
      <c r="E1541" s="3"/>
      <c r="F1541" s="3"/>
      <c r="G1541" s="3"/>
      <c r="H1541" s="3"/>
      <c r="K1541" s="3"/>
      <c r="L1541" s="3"/>
      <c r="M1541" s="3"/>
      <c r="N1541" s="3"/>
      <c r="O1541" s="3"/>
      <c r="P1541" s="3"/>
      <c r="Q1541" s="3"/>
      <c r="R1541" s="3"/>
      <c r="S1541" s="3"/>
      <c r="T1541" s="3"/>
      <c r="U1541" s="3"/>
    </row>
    <row r="1542">
      <c r="A1542" s="3"/>
      <c r="B1542" s="3"/>
      <c r="C1542" s="3"/>
      <c r="D1542" s="3"/>
      <c r="E1542" s="3"/>
      <c r="F1542" s="3"/>
      <c r="G1542" s="3"/>
      <c r="H1542" s="3"/>
      <c r="K1542" s="3"/>
      <c r="L1542" s="3"/>
      <c r="M1542" s="3"/>
      <c r="N1542" s="3"/>
      <c r="O1542" s="3"/>
      <c r="P1542" s="3"/>
      <c r="Q1542" s="3"/>
      <c r="R1542" s="3"/>
      <c r="S1542" s="3"/>
      <c r="T1542" s="3"/>
      <c r="U1542" s="3"/>
    </row>
    <row r="1543">
      <c r="A1543" s="3"/>
      <c r="B1543" s="3"/>
      <c r="C1543" s="3"/>
      <c r="D1543" s="3"/>
      <c r="E1543" s="3"/>
      <c r="F1543" s="3"/>
      <c r="G1543" s="3"/>
      <c r="H1543" s="3"/>
      <c r="K1543" s="3"/>
      <c r="L1543" s="3"/>
      <c r="M1543" s="3"/>
      <c r="N1543" s="3"/>
      <c r="O1543" s="3"/>
      <c r="P1543" s="3"/>
      <c r="Q1543" s="3"/>
      <c r="R1543" s="3"/>
      <c r="S1543" s="3"/>
      <c r="T1543" s="3"/>
      <c r="U1543" s="3"/>
    </row>
    <row r="1544">
      <c r="A1544" s="3"/>
      <c r="B1544" s="3"/>
      <c r="C1544" s="3"/>
      <c r="D1544" s="3"/>
      <c r="E1544" s="3"/>
      <c r="F1544" s="3"/>
      <c r="G1544" s="3"/>
      <c r="H1544" s="3"/>
      <c r="K1544" s="3"/>
      <c r="L1544" s="3"/>
      <c r="M1544" s="3"/>
      <c r="N1544" s="3"/>
      <c r="O1544" s="3"/>
      <c r="P1544" s="3"/>
      <c r="Q1544" s="3"/>
      <c r="R1544" s="3"/>
      <c r="S1544" s="3"/>
      <c r="T1544" s="3"/>
      <c r="U1544" s="3"/>
    </row>
    <row r="1545">
      <c r="A1545" s="3"/>
      <c r="B1545" s="3"/>
      <c r="C1545" s="3"/>
      <c r="D1545" s="3"/>
      <c r="E1545" s="3"/>
      <c r="F1545" s="3"/>
      <c r="G1545" s="3"/>
      <c r="H1545" s="3"/>
      <c r="K1545" s="3"/>
      <c r="L1545" s="3"/>
      <c r="M1545" s="3"/>
      <c r="N1545" s="3"/>
      <c r="O1545" s="3"/>
      <c r="P1545" s="3"/>
      <c r="Q1545" s="3"/>
      <c r="R1545" s="3"/>
      <c r="S1545" s="3"/>
      <c r="T1545" s="3"/>
      <c r="U1545" s="3"/>
    </row>
    <row r="1546">
      <c r="A1546" s="3"/>
      <c r="B1546" s="3"/>
      <c r="C1546" s="3"/>
      <c r="D1546" s="3"/>
      <c r="E1546" s="3"/>
      <c r="F1546" s="3"/>
      <c r="G1546" s="3"/>
      <c r="H1546" s="3"/>
      <c r="K1546" s="3"/>
      <c r="L1546" s="3"/>
      <c r="M1546" s="3"/>
      <c r="N1546" s="3"/>
      <c r="O1546" s="3"/>
      <c r="P1546" s="3"/>
      <c r="Q1546" s="3"/>
      <c r="R1546" s="3"/>
      <c r="S1546" s="3"/>
      <c r="T1546" s="3"/>
      <c r="U1546" s="3"/>
    </row>
    <row r="1547">
      <c r="A1547" s="3"/>
      <c r="B1547" s="3"/>
      <c r="C1547" s="3"/>
      <c r="D1547" s="3"/>
      <c r="E1547" s="3"/>
      <c r="F1547" s="3"/>
      <c r="G1547" s="3"/>
      <c r="H1547" s="3"/>
      <c r="K1547" s="3"/>
      <c r="L1547" s="3"/>
      <c r="M1547" s="3"/>
      <c r="N1547" s="3"/>
      <c r="O1547" s="3"/>
      <c r="P1547" s="3"/>
      <c r="Q1547" s="3"/>
      <c r="R1547" s="3"/>
      <c r="S1547" s="3"/>
      <c r="T1547" s="3"/>
      <c r="U1547" s="3"/>
    </row>
    <row r="1548">
      <c r="A1548" s="3"/>
      <c r="B1548" s="3"/>
      <c r="C1548" s="3"/>
      <c r="D1548" s="3"/>
      <c r="E1548" s="3"/>
      <c r="F1548" s="3"/>
      <c r="G1548" s="3"/>
      <c r="H1548" s="3"/>
      <c r="K1548" s="3"/>
      <c r="L1548" s="3"/>
      <c r="M1548" s="3"/>
      <c r="N1548" s="3"/>
      <c r="O1548" s="3"/>
      <c r="P1548" s="3"/>
      <c r="Q1548" s="3"/>
      <c r="R1548" s="3"/>
      <c r="S1548" s="3"/>
      <c r="T1548" s="3"/>
      <c r="U1548" s="3"/>
    </row>
    <row r="1549">
      <c r="A1549" s="3"/>
      <c r="B1549" s="3"/>
      <c r="C1549" s="3"/>
      <c r="D1549" s="3"/>
      <c r="E1549" s="3"/>
      <c r="F1549" s="3"/>
      <c r="G1549" s="3"/>
      <c r="H1549" s="3"/>
      <c r="K1549" s="3"/>
      <c r="L1549" s="3"/>
      <c r="M1549" s="3"/>
      <c r="N1549" s="3"/>
      <c r="O1549" s="3"/>
      <c r="P1549" s="3"/>
      <c r="Q1549" s="3"/>
      <c r="R1549" s="3"/>
      <c r="S1549" s="3"/>
      <c r="T1549" s="3"/>
      <c r="U1549" s="3"/>
    </row>
    <row r="1550">
      <c r="A1550" s="3"/>
      <c r="B1550" s="3"/>
      <c r="C1550" s="3"/>
      <c r="D1550" s="3"/>
      <c r="E1550" s="3"/>
      <c r="F1550" s="3"/>
      <c r="G1550" s="3"/>
      <c r="H1550" s="3"/>
      <c r="K1550" s="3"/>
      <c r="L1550" s="3"/>
      <c r="M1550" s="3"/>
      <c r="N1550" s="3"/>
      <c r="O1550" s="3"/>
      <c r="P1550" s="3"/>
      <c r="Q1550" s="3"/>
      <c r="R1550" s="3"/>
      <c r="S1550" s="3"/>
      <c r="T1550" s="3"/>
      <c r="U1550" s="3"/>
    </row>
    <row r="1551">
      <c r="A1551" s="3"/>
      <c r="B1551" s="3"/>
      <c r="C1551" s="3"/>
      <c r="D1551" s="3"/>
      <c r="E1551" s="3"/>
      <c r="F1551" s="3"/>
      <c r="G1551" s="3"/>
      <c r="H1551" s="3"/>
      <c r="K1551" s="3"/>
      <c r="L1551" s="3"/>
      <c r="M1551" s="3"/>
      <c r="N1551" s="3"/>
      <c r="O1551" s="3"/>
      <c r="P1551" s="3"/>
      <c r="Q1551" s="3"/>
      <c r="R1551" s="3"/>
      <c r="S1551" s="3"/>
      <c r="T1551" s="3"/>
      <c r="U1551" s="3"/>
    </row>
    <row r="1552">
      <c r="A1552" s="3"/>
      <c r="B1552" s="3"/>
      <c r="C1552" s="3"/>
      <c r="D1552" s="3"/>
      <c r="E1552" s="3"/>
      <c r="F1552" s="3"/>
      <c r="G1552" s="3"/>
      <c r="H1552" s="3"/>
      <c r="K1552" s="3"/>
      <c r="L1552" s="3"/>
      <c r="M1552" s="3"/>
      <c r="N1552" s="3"/>
      <c r="O1552" s="3"/>
      <c r="P1552" s="3"/>
      <c r="Q1552" s="3"/>
      <c r="R1552" s="3"/>
      <c r="S1552" s="3"/>
      <c r="T1552" s="3"/>
      <c r="U1552" s="3"/>
    </row>
    <row r="1553">
      <c r="A1553" s="3"/>
      <c r="B1553" s="3"/>
      <c r="C1553" s="3"/>
      <c r="D1553" s="3"/>
      <c r="E1553" s="3"/>
      <c r="F1553" s="3"/>
      <c r="G1553" s="3"/>
      <c r="H1553" s="3"/>
      <c r="K1553" s="3"/>
      <c r="L1553" s="3"/>
      <c r="M1553" s="3"/>
      <c r="N1553" s="3"/>
      <c r="O1553" s="3"/>
      <c r="P1553" s="3"/>
      <c r="Q1553" s="3"/>
      <c r="R1553" s="3"/>
      <c r="S1553" s="3"/>
      <c r="T1553" s="3"/>
      <c r="U1553" s="3"/>
    </row>
    <row r="1554">
      <c r="A1554" s="3"/>
      <c r="B1554" s="3"/>
      <c r="C1554" s="3"/>
      <c r="D1554" s="3"/>
      <c r="E1554" s="3"/>
      <c r="F1554" s="3"/>
      <c r="G1554" s="3"/>
      <c r="H1554" s="3"/>
      <c r="K1554" s="3"/>
      <c r="L1554" s="3"/>
      <c r="M1554" s="3"/>
      <c r="N1554" s="3"/>
      <c r="O1554" s="3"/>
      <c r="P1554" s="3"/>
      <c r="Q1554" s="3"/>
      <c r="R1554" s="3"/>
      <c r="S1554" s="3"/>
      <c r="T1554" s="3"/>
      <c r="U1554" s="3"/>
    </row>
    <row r="1555">
      <c r="A1555" s="3"/>
      <c r="B1555" s="3"/>
      <c r="C1555" s="3"/>
      <c r="D1555" s="3"/>
      <c r="E1555" s="3"/>
      <c r="F1555" s="3"/>
      <c r="G1555" s="3"/>
      <c r="H1555" s="3"/>
      <c r="K1555" s="3"/>
      <c r="L1555" s="3"/>
      <c r="M1555" s="3"/>
      <c r="N1555" s="3"/>
      <c r="O1555" s="3"/>
      <c r="P1555" s="3"/>
      <c r="Q1555" s="3"/>
      <c r="R1555" s="3"/>
      <c r="S1555" s="3"/>
      <c r="T1555" s="3"/>
      <c r="U1555" s="3"/>
    </row>
    <row r="1556">
      <c r="A1556" s="3"/>
      <c r="B1556" s="3"/>
      <c r="C1556" s="3"/>
      <c r="D1556" s="3"/>
      <c r="E1556" s="3"/>
      <c r="F1556" s="3"/>
      <c r="G1556" s="3"/>
      <c r="H1556" s="3"/>
      <c r="K1556" s="3"/>
      <c r="L1556" s="3"/>
      <c r="M1556" s="3"/>
      <c r="N1556" s="3"/>
      <c r="O1556" s="3"/>
      <c r="P1556" s="3"/>
      <c r="Q1556" s="3"/>
      <c r="R1556" s="3"/>
      <c r="S1556" s="3"/>
      <c r="T1556" s="3"/>
      <c r="U1556" s="3"/>
    </row>
    <row r="1557">
      <c r="A1557" s="3"/>
      <c r="B1557" s="3"/>
      <c r="C1557" s="3"/>
      <c r="D1557" s="3"/>
      <c r="E1557" s="3"/>
      <c r="F1557" s="3"/>
      <c r="G1557" s="3"/>
      <c r="H1557" s="3"/>
      <c r="K1557" s="3"/>
      <c r="L1557" s="3"/>
      <c r="M1557" s="3"/>
      <c r="N1557" s="3"/>
      <c r="O1557" s="3"/>
      <c r="P1557" s="3"/>
      <c r="Q1557" s="3"/>
      <c r="R1557" s="3"/>
      <c r="S1557" s="3"/>
      <c r="T1557" s="3"/>
      <c r="U1557" s="3"/>
    </row>
    <row r="1558">
      <c r="A1558" s="3"/>
      <c r="B1558" s="3"/>
      <c r="C1558" s="3"/>
      <c r="D1558" s="3"/>
      <c r="E1558" s="3"/>
      <c r="F1558" s="3"/>
      <c r="G1558" s="3"/>
      <c r="H1558" s="3"/>
      <c r="K1558" s="3"/>
      <c r="L1558" s="3"/>
      <c r="M1558" s="3"/>
      <c r="N1558" s="3"/>
      <c r="O1558" s="3"/>
      <c r="P1558" s="3"/>
      <c r="Q1558" s="3"/>
      <c r="R1558" s="3"/>
      <c r="S1558" s="3"/>
      <c r="T1558" s="3"/>
      <c r="U1558" s="3"/>
    </row>
    <row r="1559">
      <c r="A1559" s="3"/>
      <c r="B1559" s="3"/>
      <c r="C1559" s="3"/>
      <c r="D1559" s="3"/>
      <c r="E1559" s="3"/>
      <c r="F1559" s="3"/>
      <c r="G1559" s="3"/>
      <c r="H1559" s="3"/>
      <c r="K1559" s="3"/>
      <c r="L1559" s="3"/>
      <c r="M1559" s="3"/>
      <c r="N1559" s="3"/>
      <c r="O1559" s="3"/>
      <c r="P1559" s="3"/>
      <c r="Q1559" s="3"/>
      <c r="R1559" s="3"/>
      <c r="S1559" s="3"/>
      <c r="T1559" s="3"/>
      <c r="U1559" s="3"/>
    </row>
    <row r="1560">
      <c r="A1560" s="3"/>
      <c r="B1560" s="3"/>
      <c r="C1560" s="3"/>
      <c r="D1560" s="3"/>
      <c r="E1560" s="3"/>
      <c r="F1560" s="3"/>
      <c r="G1560" s="3"/>
      <c r="H1560" s="3"/>
      <c r="K1560" s="3"/>
      <c r="L1560" s="3"/>
      <c r="M1560" s="3"/>
      <c r="N1560" s="3"/>
      <c r="O1560" s="3"/>
      <c r="P1560" s="3"/>
      <c r="Q1560" s="3"/>
      <c r="R1560" s="3"/>
      <c r="S1560" s="3"/>
      <c r="T1560" s="3"/>
      <c r="U1560" s="3"/>
    </row>
    <row r="1561">
      <c r="A1561" s="3"/>
      <c r="B1561" s="3"/>
      <c r="C1561" s="3"/>
      <c r="D1561" s="3"/>
      <c r="E1561" s="3"/>
      <c r="F1561" s="3"/>
      <c r="G1561" s="3"/>
      <c r="H1561" s="3"/>
      <c r="K1561" s="3"/>
      <c r="L1561" s="3"/>
      <c r="M1561" s="3"/>
      <c r="N1561" s="3"/>
      <c r="O1561" s="3"/>
      <c r="P1561" s="3"/>
      <c r="Q1561" s="3"/>
      <c r="R1561" s="3"/>
      <c r="S1561" s="3"/>
      <c r="T1561" s="3"/>
      <c r="U1561" s="3"/>
    </row>
    <row r="1562">
      <c r="A1562" s="3"/>
      <c r="B1562" s="3"/>
      <c r="C1562" s="3"/>
      <c r="D1562" s="3"/>
      <c r="E1562" s="3"/>
      <c r="F1562" s="3"/>
      <c r="G1562" s="3"/>
      <c r="H1562" s="3"/>
      <c r="K1562" s="3"/>
      <c r="L1562" s="3"/>
      <c r="M1562" s="3"/>
      <c r="N1562" s="3"/>
      <c r="O1562" s="3"/>
      <c r="P1562" s="3"/>
      <c r="Q1562" s="3"/>
      <c r="R1562" s="3"/>
      <c r="S1562" s="3"/>
      <c r="T1562" s="3"/>
      <c r="U1562" s="3"/>
    </row>
    <row r="1563">
      <c r="A1563" s="3"/>
      <c r="B1563" s="3"/>
      <c r="C1563" s="3"/>
      <c r="D1563" s="3"/>
      <c r="E1563" s="3"/>
      <c r="F1563" s="3"/>
      <c r="G1563" s="3"/>
      <c r="H1563" s="3"/>
      <c r="K1563" s="3"/>
      <c r="L1563" s="3"/>
      <c r="M1563" s="3"/>
      <c r="N1563" s="3"/>
      <c r="O1563" s="3"/>
      <c r="P1563" s="3"/>
      <c r="Q1563" s="3"/>
      <c r="R1563" s="3"/>
      <c r="S1563" s="3"/>
      <c r="T1563" s="3"/>
      <c r="U1563" s="3"/>
    </row>
    <row r="1564">
      <c r="A1564" s="3"/>
      <c r="B1564" s="3"/>
      <c r="C1564" s="3"/>
      <c r="D1564" s="3"/>
      <c r="E1564" s="3"/>
      <c r="F1564" s="3"/>
      <c r="G1564" s="3"/>
      <c r="H1564" s="3"/>
      <c r="K1564" s="3"/>
      <c r="L1564" s="3"/>
      <c r="M1564" s="3"/>
      <c r="N1564" s="3"/>
      <c r="O1564" s="3"/>
      <c r="P1564" s="3"/>
      <c r="Q1564" s="3"/>
      <c r="R1564" s="3"/>
      <c r="S1564" s="3"/>
      <c r="T1564" s="3"/>
      <c r="U1564" s="3"/>
    </row>
    <row r="1565">
      <c r="A1565" s="3"/>
      <c r="B1565" s="3"/>
      <c r="C1565" s="3"/>
      <c r="D1565" s="3"/>
      <c r="E1565" s="3"/>
      <c r="F1565" s="3"/>
      <c r="G1565" s="3"/>
      <c r="H1565" s="3"/>
      <c r="K1565" s="3"/>
      <c r="L1565" s="3"/>
      <c r="M1565" s="3"/>
      <c r="N1565" s="3"/>
      <c r="O1565" s="3"/>
      <c r="P1565" s="3"/>
      <c r="Q1565" s="3"/>
      <c r="R1565" s="3"/>
      <c r="S1565" s="3"/>
      <c r="T1565" s="3"/>
      <c r="U1565" s="3"/>
    </row>
    <row r="1566">
      <c r="A1566" s="3"/>
      <c r="B1566" s="3"/>
      <c r="C1566" s="3"/>
      <c r="D1566" s="3"/>
      <c r="E1566" s="3"/>
      <c r="F1566" s="3"/>
      <c r="G1566" s="3"/>
      <c r="H1566" s="3"/>
      <c r="K1566" s="3"/>
      <c r="L1566" s="3"/>
      <c r="M1566" s="3"/>
      <c r="N1566" s="3"/>
      <c r="O1566" s="3"/>
      <c r="P1566" s="3"/>
      <c r="Q1566" s="3"/>
      <c r="R1566" s="3"/>
      <c r="S1566" s="3"/>
      <c r="T1566" s="3"/>
      <c r="U1566" s="3"/>
    </row>
    <row r="1567">
      <c r="A1567" s="3"/>
      <c r="B1567" s="3"/>
      <c r="C1567" s="3"/>
      <c r="D1567" s="3"/>
      <c r="E1567" s="3"/>
      <c r="F1567" s="3"/>
      <c r="G1567" s="3"/>
      <c r="H1567" s="3"/>
      <c r="K1567" s="3"/>
      <c r="L1567" s="3"/>
      <c r="M1567" s="3"/>
      <c r="N1567" s="3"/>
      <c r="O1567" s="3"/>
      <c r="P1567" s="3"/>
      <c r="Q1567" s="3"/>
      <c r="R1567" s="3"/>
      <c r="S1567" s="3"/>
      <c r="T1567" s="3"/>
      <c r="U1567" s="3"/>
    </row>
    <row r="1568">
      <c r="A1568" s="3"/>
      <c r="B1568" s="3"/>
      <c r="C1568" s="3"/>
      <c r="D1568" s="3"/>
      <c r="E1568" s="3"/>
      <c r="F1568" s="3"/>
      <c r="G1568" s="3"/>
      <c r="H1568" s="3"/>
      <c r="K1568" s="3"/>
      <c r="L1568" s="3"/>
      <c r="M1568" s="3"/>
      <c r="N1568" s="3"/>
      <c r="O1568" s="3"/>
      <c r="P1568" s="3"/>
      <c r="Q1568" s="3"/>
      <c r="R1568" s="3"/>
      <c r="S1568" s="3"/>
      <c r="T1568" s="3"/>
      <c r="U1568" s="3"/>
    </row>
    <row r="1569">
      <c r="A1569" s="3"/>
      <c r="B1569" s="3"/>
      <c r="C1569" s="3"/>
      <c r="D1569" s="3"/>
      <c r="E1569" s="3"/>
      <c r="F1569" s="3"/>
      <c r="G1569" s="3"/>
      <c r="H1569" s="3"/>
      <c r="K1569" s="3"/>
      <c r="L1569" s="3"/>
      <c r="M1569" s="3"/>
      <c r="N1569" s="3"/>
      <c r="O1569" s="3"/>
      <c r="P1569" s="3"/>
      <c r="Q1569" s="3"/>
      <c r="R1569" s="3"/>
      <c r="S1569" s="3"/>
      <c r="T1569" s="3"/>
      <c r="U1569" s="3"/>
    </row>
    <row r="1570">
      <c r="A1570" s="3"/>
      <c r="B1570" s="3"/>
      <c r="C1570" s="3"/>
      <c r="D1570" s="3"/>
      <c r="E1570" s="3"/>
      <c r="F1570" s="3"/>
      <c r="G1570" s="3"/>
      <c r="H1570" s="3"/>
      <c r="K1570" s="3"/>
      <c r="L1570" s="3"/>
      <c r="M1570" s="3"/>
      <c r="N1570" s="3"/>
      <c r="O1570" s="3"/>
      <c r="P1570" s="3"/>
      <c r="Q1570" s="3"/>
      <c r="R1570" s="3"/>
      <c r="S1570" s="3"/>
      <c r="T1570" s="3"/>
      <c r="U1570" s="3"/>
    </row>
    <row r="1571">
      <c r="A1571" s="3"/>
      <c r="B1571" s="3"/>
      <c r="C1571" s="3"/>
      <c r="D1571" s="3"/>
      <c r="E1571" s="3"/>
      <c r="F1571" s="3"/>
      <c r="G1571" s="3"/>
      <c r="H1571" s="3"/>
      <c r="K1571" s="3"/>
      <c r="L1571" s="3"/>
      <c r="M1571" s="3"/>
      <c r="N1571" s="3"/>
      <c r="O1571" s="3"/>
      <c r="P1571" s="3"/>
      <c r="Q1571" s="3"/>
      <c r="R1571" s="3"/>
      <c r="S1571" s="3"/>
      <c r="T1571" s="3"/>
      <c r="U1571" s="3"/>
    </row>
    <row r="1572">
      <c r="A1572" s="3"/>
      <c r="B1572" s="3"/>
      <c r="C1572" s="3"/>
      <c r="D1572" s="3"/>
      <c r="E1572" s="3"/>
      <c r="F1572" s="3"/>
      <c r="G1572" s="3"/>
      <c r="H1572" s="3"/>
      <c r="K1572" s="3"/>
      <c r="L1572" s="3"/>
      <c r="M1572" s="3"/>
      <c r="N1572" s="3"/>
      <c r="O1572" s="3"/>
      <c r="P1572" s="3"/>
      <c r="Q1572" s="3"/>
      <c r="R1572" s="3"/>
      <c r="S1572" s="3"/>
      <c r="T1572" s="3"/>
      <c r="U1572" s="3"/>
    </row>
    <row r="1573">
      <c r="A1573" s="3"/>
      <c r="B1573" s="3"/>
      <c r="C1573" s="3"/>
      <c r="D1573" s="3"/>
      <c r="E1573" s="3"/>
      <c r="F1573" s="3"/>
      <c r="G1573" s="3"/>
      <c r="H1573" s="3"/>
      <c r="K1573" s="3"/>
      <c r="L1573" s="3"/>
      <c r="M1573" s="3"/>
      <c r="N1573" s="3"/>
      <c r="O1573" s="3"/>
      <c r="P1573" s="3"/>
      <c r="Q1573" s="3"/>
      <c r="R1573" s="3"/>
      <c r="S1573" s="3"/>
      <c r="T1573" s="3"/>
      <c r="U1573" s="3"/>
    </row>
    <row r="1574">
      <c r="A1574" s="3"/>
      <c r="B1574" s="3"/>
      <c r="C1574" s="3"/>
      <c r="D1574" s="3"/>
      <c r="E1574" s="3"/>
      <c r="F1574" s="3"/>
      <c r="G1574" s="3"/>
      <c r="H1574" s="3"/>
      <c r="K1574" s="3"/>
      <c r="L1574" s="3"/>
      <c r="M1574" s="3"/>
      <c r="N1574" s="3"/>
      <c r="O1574" s="3"/>
      <c r="P1574" s="3"/>
      <c r="Q1574" s="3"/>
      <c r="R1574" s="3"/>
      <c r="S1574" s="3"/>
      <c r="T1574" s="3"/>
      <c r="U1574" s="3"/>
    </row>
    <row r="1575">
      <c r="A1575" s="3"/>
      <c r="B1575" s="3"/>
      <c r="C1575" s="3"/>
      <c r="D1575" s="3"/>
      <c r="E1575" s="3"/>
      <c r="F1575" s="3"/>
      <c r="G1575" s="3"/>
      <c r="H1575" s="3"/>
      <c r="K1575" s="3"/>
      <c r="L1575" s="3"/>
      <c r="M1575" s="3"/>
      <c r="N1575" s="3"/>
      <c r="O1575" s="3"/>
      <c r="P1575" s="3"/>
      <c r="Q1575" s="3"/>
      <c r="R1575" s="3"/>
      <c r="S1575" s="3"/>
      <c r="T1575" s="3"/>
      <c r="U1575" s="3"/>
    </row>
    <row r="1576">
      <c r="A1576" s="3"/>
      <c r="B1576" s="3"/>
      <c r="C1576" s="3"/>
      <c r="D1576" s="3"/>
      <c r="E1576" s="3"/>
      <c r="F1576" s="3"/>
      <c r="G1576" s="3"/>
      <c r="H1576" s="3"/>
      <c r="K1576" s="3"/>
      <c r="L1576" s="3"/>
      <c r="M1576" s="3"/>
      <c r="N1576" s="3"/>
      <c r="O1576" s="3"/>
      <c r="P1576" s="3"/>
      <c r="Q1576" s="3"/>
      <c r="R1576" s="3"/>
      <c r="S1576" s="3"/>
      <c r="T1576" s="3"/>
      <c r="U1576" s="3"/>
    </row>
    <row r="1577">
      <c r="A1577" s="3"/>
      <c r="B1577" s="3"/>
      <c r="C1577" s="3"/>
      <c r="D1577" s="3"/>
      <c r="E1577" s="3"/>
      <c r="F1577" s="3"/>
      <c r="G1577" s="3"/>
      <c r="H1577" s="3"/>
      <c r="K1577" s="3"/>
      <c r="L1577" s="3"/>
      <c r="M1577" s="3"/>
      <c r="N1577" s="3"/>
      <c r="O1577" s="3"/>
      <c r="P1577" s="3"/>
      <c r="Q1577" s="3"/>
      <c r="R1577" s="3"/>
      <c r="S1577" s="3"/>
      <c r="T1577" s="3"/>
      <c r="U1577" s="3"/>
    </row>
    <row r="1578">
      <c r="A1578" s="3"/>
      <c r="B1578" s="3"/>
      <c r="C1578" s="3"/>
      <c r="D1578" s="3"/>
      <c r="E1578" s="3"/>
      <c r="F1578" s="3"/>
      <c r="G1578" s="3"/>
      <c r="H1578" s="3"/>
      <c r="K1578" s="3"/>
      <c r="L1578" s="3"/>
      <c r="M1578" s="3"/>
      <c r="N1578" s="3"/>
      <c r="O1578" s="3"/>
      <c r="P1578" s="3"/>
      <c r="Q1578" s="3"/>
      <c r="R1578" s="3"/>
      <c r="S1578" s="3"/>
      <c r="T1578" s="3"/>
      <c r="U1578" s="3"/>
    </row>
    <row r="1579">
      <c r="A1579" s="3"/>
      <c r="B1579" s="3"/>
      <c r="C1579" s="3"/>
      <c r="D1579" s="3"/>
      <c r="E1579" s="3"/>
      <c r="F1579" s="3"/>
      <c r="G1579" s="3"/>
      <c r="H1579" s="3"/>
      <c r="K1579" s="3"/>
      <c r="L1579" s="3"/>
      <c r="M1579" s="3"/>
      <c r="N1579" s="3"/>
      <c r="O1579" s="3"/>
      <c r="P1579" s="3"/>
      <c r="Q1579" s="3"/>
      <c r="R1579" s="3"/>
      <c r="S1579" s="3"/>
      <c r="T1579" s="3"/>
      <c r="U1579" s="3"/>
    </row>
    <row r="1580">
      <c r="A1580" s="3"/>
      <c r="B1580" s="3"/>
      <c r="C1580" s="3"/>
      <c r="D1580" s="3"/>
      <c r="E1580" s="3"/>
      <c r="F1580" s="3"/>
      <c r="G1580" s="3"/>
      <c r="H1580" s="3"/>
      <c r="K1580" s="3"/>
      <c r="L1580" s="3"/>
      <c r="M1580" s="3"/>
      <c r="N1580" s="3"/>
      <c r="O1580" s="3"/>
      <c r="P1580" s="3"/>
      <c r="Q1580" s="3"/>
      <c r="R1580" s="3"/>
      <c r="S1580" s="3"/>
      <c r="T1580" s="3"/>
      <c r="U1580" s="3"/>
    </row>
    <row r="1581">
      <c r="A1581" s="3"/>
      <c r="B1581" s="3"/>
      <c r="C1581" s="3"/>
      <c r="D1581" s="3"/>
      <c r="E1581" s="3"/>
      <c r="F1581" s="3"/>
      <c r="G1581" s="3"/>
      <c r="H1581" s="3"/>
      <c r="K1581" s="3"/>
      <c r="L1581" s="3"/>
      <c r="M1581" s="3"/>
      <c r="N1581" s="3"/>
      <c r="O1581" s="3"/>
      <c r="P1581" s="3"/>
      <c r="Q1581" s="3"/>
      <c r="R1581" s="3"/>
      <c r="S1581" s="3"/>
      <c r="T1581" s="3"/>
      <c r="U1581" s="3"/>
    </row>
    <row r="1582">
      <c r="A1582" s="3"/>
      <c r="B1582" s="3"/>
      <c r="C1582" s="3"/>
      <c r="D1582" s="3"/>
      <c r="E1582" s="3"/>
      <c r="F1582" s="3"/>
      <c r="G1582" s="3"/>
      <c r="H1582" s="3"/>
      <c r="K1582" s="3"/>
      <c r="L1582" s="3"/>
      <c r="M1582" s="3"/>
      <c r="N1582" s="3"/>
      <c r="O1582" s="3"/>
      <c r="P1582" s="3"/>
      <c r="Q1582" s="3"/>
      <c r="R1582" s="3"/>
      <c r="S1582" s="3"/>
      <c r="T1582" s="3"/>
      <c r="U1582" s="3"/>
    </row>
    <row r="1583">
      <c r="A1583" s="3"/>
      <c r="B1583" s="3"/>
      <c r="C1583" s="3"/>
      <c r="D1583" s="3"/>
      <c r="E1583" s="3"/>
      <c r="F1583" s="3"/>
      <c r="G1583" s="3"/>
      <c r="H1583" s="3"/>
      <c r="K1583" s="3"/>
      <c r="L1583" s="3"/>
      <c r="M1583" s="3"/>
      <c r="N1583" s="3"/>
      <c r="O1583" s="3"/>
      <c r="P1583" s="3"/>
      <c r="Q1583" s="3"/>
      <c r="R1583" s="3"/>
      <c r="S1583" s="3"/>
      <c r="T1583" s="3"/>
      <c r="U1583" s="3"/>
    </row>
    <row r="1584">
      <c r="A1584" s="3"/>
      <c r="B1584" s="3"/>
      <c r="C1584" s="3"/>
      <c r="D1584" s="3"/>
      <c r="E1584" s="3"/>
      <c r="F1584" s="3"/>
      <c r="G1584" s="3"/>
      <c r="H1584" s="3"/>
      <c r="K1584" s="3"/>
      <c r="L1584" s="3"/>
      <c r="M1584" s="3"/>
      <c r="N1584" s="3"/>
      <c r="O1584" s="3"/>
      <c r="P1584" s="3"/>
      <c r="Q1584" s="3"/>
      <c r="R1584" s="3"/>
      <c r="S1584" s="3"/>
      <c r="T1584" s="3"/>
      <c r="U1584" s="3"/>
    </row>
    <row r="1585">
      <c r="A1585" s="3"/>
      <c r="B1585" s="3"/>
      <c r="C1585" s="3"/>
      <c r="D1585" s="3"/>
      <c r="E1585" s="3"/>
      <c r="F1585" s="3"/>
      <c r="G1585" s="3"/>
      <c r="H1585" s="3"/>
      <c r="K1585" s="3"/>
      <c r="L1585" s="3"/>
      <c r="M1585" s="3"/>
      <c r="N1585" s="3"/>
      <c r="O1585" s="3"/>
      <c r="P1585" s="3"/>
      <c r="Q1585" s="3"/>
      <c r="R1585" s="3"/>
      <c r="S1585" s="3"/>
      <c r="T1585" s="3"/>
      <c r="U1585" s="3"/>
    </row>
    <row r="1586">
      <c r="A1586" s="3"/>
      <c r="B1586" s="3"/>
      <c r="C1586" s="3"/>
      <c r="D1586" s="3"/>
      <c r="E1586" s="3"/>
      <c r="F1586" s="3"/>
      <c r="G1586" s="3"/>
      <c r="H1586" s="3"/>
      <c r="K1586" s="3"/>
      <c r="L1586" s="3"/>
      <c r="M1586" s="3"/>
      <c r="N1586" s="3"/>
      <c r="O1586" s="3"/>
      <c r="P1586" s="3"/>
      <c r="Q1586" s="3"/>
      <c r="R1586" s="3"/>
      <c r="S1586" s="3"/>
      <c r="T1586" s="3"/>
      <c r="U1586" s="3"/>
    </row>
    <row r="1587">
      <c r="A1587" s="3"/>
      <c r="B1587" s="3"/>
      <c r="C1587" s="3"/>
      <c r="D1587" s="3"/>
      <c r="E1587" s="3"/>
      <c r="F1587" s="3"/>
      <c r="G1587" s="3"/>
      <c r="H1587" s="3"/>
      <c r="K1587" s="3"/>
      <c r="L1587" s="3"/>
      <c r="M1587" s="3"/>
      <c r="N1587" s="3"/>
      <c r="O1587" s="3"/>
      <c r="P1587" s="3"/>
      <c r="Q1587" s="3"/>
      <c r="R1587" s="3"/>
      <c r="S1587" s="3"/>
      <c r="T1587" s="3"/>
      <c r="U1587" s="3"/>
    </row>
    <row r="1588">
      <c r="A1588" s="3"/>
      <c r="B1588" s="3"/>
      <c r="C1588" s="3"/>
      <c r="D1588" s="3"/>
      <c r="E1588" s="3"/>
      <c r="F1588" s="3"/>
      <c r="G1588" s="3"/>
      <c r="H1588" s="3"/>
      <c r="K1588" s="3"/>
      <c r="L1588" s="3"/>
      <c r="M1588" s="3"/>
      <c r="N1588" s="3"/>
      <c r="O1588" s="3"/>
      <c r="P1588" s="3"/>
      <c r="Q1588" s="3"/>
      <c r="R1588" s="3"/>
      <c r="S1588" s="3"/>
      <c r="T1588" s="3"/>
      <c r="U1588" s="3"/>
    </row>
    <row r="1589">
      <c r="A1589" s="3"/>
      <c r="B1589" s="3"/>
      <c r="C1589" s="3"/>
      <c r="D1589" s="3"/>
      <c r="E1589" s="3"/>
      <c r="F1589" s="3"/>
      <c r="G1589" s="3"/>
      <c r="H1589" s="3"/>
      <c r="K1589" s="3"/>
      <c r="L1589" s="3"/>
      <c r="M1589" s="3"/>
      <c r="N1589" s="3"/>
      <c r="O1589" s="3"/>
      <c r="P1589" s="3"/>
      <c r="Q1589" s="3"/>
      <c r="R1589" s="3"/>
      <c r="S1589" s="3"/>
      <c r="T1589" s="3"/>
      <c r="U1589" s="3"/>
    </row>
    <row r="1590">
      <c r="A1590" s="3"/>
      <c r="B1590" s="3"/>
      <c r="C1590" s="3"/>
      <c r="D1590" s="3"/>
      <c r="E1590" s="3"/>
      <c r="F1590" s="3"/>
      <c r="G1590" s="3"/>
      <c r="H1590" s="3"/>
      <c r="K1590" s="3"/>
      <c r="L1590" s="3"/>
      <c r="M1590" s="3"/>
      <c r="N1590" s="3"/>
      <c r="O1590" s="3"/>
      <c r="P1590" s="3"/>
      <c r="Q1590" s="3"/>
      <c r="R1590" s="3"/>
      <c r="S1590" s="3"/>
      <c r="T1590" s="3"/>
      <c r="U1590" s="3"/>
    </row>
    <row r="1591">
      <c r="A1591" s="3"/>
      <c r="B1591" s="3"/>
      <c r="C1591" s="3"/>
      <c r="D1591" s="3"/>
      <c r="E1591" s="3"/>
      <c r="F1591" s="3"/>
      <c r="G1591" s="3"/>
      <c r="H1591" s="3"/>
      <c r="K1591" s="3"/>
      <c r="L1591" s="3"/>
      <c r="M1591" s="3"/>
      <c r="N1591" s="3"/>
      <c r="O1591" s="3"/>
      <c r="P1591" s="3"/>
      <c r="Q1591" s="3"/>
      <c r="R1591" s="3"/>
      <c r="S1591" s="3"/>
      <c r="T1591" s="3"/>
      <c r="U1591" s="3"/>
    </row>
    <row r="1592">
      <c r="A1592" s="3"/>
      <c r="B1592" s="3"/>
      <c r="C1592" s="3"/>
      <c r="D1592" s="3"/>
      <c r="E1592" s="3"/>
      <c r="F1592" s="3"/>
      <c r="G1592" s="3"/>
      <c r="H1592" s="3"/>
      <c r="K1592" s="3"/>
      <c r="L1592" s="3"/>
      <c r="M1592" s="3"/>
      <c r="N1592" s="3"/>
      <c r="O1592" s="3"/>
      <c r="P1592" s="3"/>
      <c r="Q1592" s="3"/>
      <c r="R1592" s="3"/>
      <c r="S1592" s="3"/>
      <c r="T1592" s="3"/>
      <c r="U1592" s="3"/>
    </row>
    <row r="1593">
      <c r="A1593" s="3"/>
      <c r="B1593" s="3"/>
      <c r="C1593" s="3"/>
      <c r="D1593" s="3"/>
      <c r="E1593" s="3"/>
      <c r="F1593" s="3"/>
      <c r="G1593" s="3"/>
      <c r="H1593" s="3"/>
      <c r="K1593" s="3"/>
      <c r="L1593" s="3"/>
      <c r="M1593" s="3"/>
      <c r="N1593" s="3"/>
      <c r="O1593" s="3"/>
      <c r="P1593" s="3"/>
      <c r="Q1593" s="3"/>
      <c r="R1593" s="3"/>
      <c r="S1593" s="3"/>
      <c r="T1593" s="3"/>
      <c r="U1593" s="3"/>
    </row>
    <row r="1594">
      <c r="A1594" s="3"/>
      <c r="B1594" s="3"/>
      <c r="C1594" s="3"/>
      <c r="D1594" s="3"/>
      <c r="E1594" s="3"/>
      <c r="F1594" s="3"/>
      <c r="G1594" s="3"/>
      <c r="H1594" s="3"/>
      <c r="K1594" s="3"/>
      <c r="L1594" s="3"/>
      <c r="M1594" s="3"/>
      <c r="N1594" s="3"/>
      <c r="O1594" s="3"/>
      <c r="P1594" s="3"/>
      <c r="Q1594" s="3"/>
      <c r="R1594" s="3"/>
      <c r="S1594" s="3"/>
      <c r="T1594" s="3"/>
      <c r="U1594" s="3"/>
    </row>
    <row r="1595">
      <c r="A1595" s="3"/>
      <c r="B1595" s="3"/>
      <c r="C1595" s="3"/>
      <c r="D1595" s="3"/>
      <c r="E1595" s="3"/>
      <c r="F1595" s="3"/>
      <c r="G1595" s="3"/>
      <c r="H1595" s="3"/>
      <c r="K1595" s="3"/>
      <c r="L1595" s="3"/>
      <c r="M1595" s="3"/>
      <c r="N1595" s="3"/>
      <c r="O1595" s="3"/>
      <c r="P1595" s="3"/>
      <c r="Q1595" s="3"/>
      <c r="R1595" s="3"/>
      <c r="S1595" s="3"/>
      <c r="T1595" s="3"/>
      <c r="U1595" s="3"/>
    </row>
    <row r="1596">
      <c r="A1596" s="3"/>
      <c r="B1596" s="3"/>
      <c r="C1596" s="3"/>
      <c r="D1596" s="3"/>
      <c r="E1596" s="3"/>
      <c r="F1596" s="3"/>
      <c r="G1596" s="3"/>
      <c r="H1596" s="3"/>
      <c r="K1596" s="3"/>
      <c r="L1596" s="3"/>
      <c r="M1596" s="3"/>
      <c r="N1596" s="3"/>
      <c r="O1596" s="3"/>
      <c r="P1596" s="3"/>
      <c r="Q1596" s="3"/>
      <c r="R1596" s="3"/>
      <c r="S1596" s="3"/>
      <c r="T1596" s="3"/>
      <c r="U1596" s="3"/>
    </row>
    <row r="1597">
      <c r="A1597" s="3"/>
      <c r="B1597" s="3"/>
      <c r="C1597" s="3"/>
      <c r="D1597" s="3"/>
      <c r="E1597" s="3"/>
      <c r="F1597" s="3"/>
      <c r="G1597" s="3"/>
      <c r="H1597" s="3"/>
      <c r="K1597" s="3"/>
      <c r="L1597" s="3"/>
      <c r="M1597" s="3"/>
      <c r="N1597" s="3"/>
      <c r="O1597" s="3"/>
      <c r="P1597" s="3"/>
      <c r="Q1597" s="3"/>
      <c r="R1597" s="3"/>
      <c r="S1597" s="3"/>
      <c r="T1597" s="3"/>
      <c r="U1597" s="3"/>
    </row>
    <row r="1598">
      <c r="A1598" s="3"/>
      <c r="B1598" s="3"/>
      <c r="C1598" s="3"/>
      <c r="D1598" s="3"/>
      <c r="E1598" s="3"/>
      <c r="F1598" s="3"/>
      <c r="G1598" s="3"/>
      <c r="H1598" s="3"/>
      <c r="K1598" s="3"/>
      <c r="L1598" s="3"/>
      <c r="M1598" s="3"/>
      <c r="N1598" s="3"/>
      <c r="O1598" s="3"/>
      <c r="P1598" s="3"/>
      <c r="Q1598" s="3"/>
      <c r="R1598" s="3"/>
      <c r="S1598" s="3"/>
      <c r="T1598" s="3"/>
      <c r="U1598" s="3"/>
    </row>
    <row r="1599">
      <c r="A1599" s="3"/>
      <c r="B1599" s="3"/>
      <c r="C1599" s="3"/>
      <c r="D1599" s="3"/>
      <c r="E1599" s="3"/>
      <c r="F1599" s="3"/>
      <c r="G1599" s="3"/>
      <c r="H1599" s="3"/>
      <c r="K1599" s="3"/>
      <c r="L1599" s="3"/>
      <c r="M1599" s="3"/>
      <c r="N1599" s="3"/>
      <c r="O1599" s="3"/>
      <c r="P1599" s="3"/>
      <c r="Q1599" s="3"/>
      <c r="R1599" s="3"/>
      <c r="S1599" s="3"/>
      <c r="T1599" s="3"/>
      <c r="U1599" s="3"/>
    </row>
    <row r="1600">
      <c r="A1600" s="3"/>
      <c r="B1600" s="3"/>
      <c r="C1600" s="3"/>
      <c r="D1600" s="3"/>
      <c r="E1600" s="3"/>
      <c r="F1600" s="3"/>
      <c r="G1600" s="3"/>
      <c r="H1600" s="3"/>
      <c r="K1600" s="3"/>
      <c r="L1600" s="3"/>
      <c r="M1600" s="3"/>
      <c r="N1600" s="3"/>
      <c r="O1600" s="3"/>
      <c r="P1600" s="3"/>
      <c r="Q1600" s="3"/>
      <c r="R1600" s="3"/>
      <c r="S1600" s="3"/>
      <c r="T1600" s="3"/>
      <c r="U1600" s="3"/>
    </row>
    <row r="1601">
      <c r="A1601" s="3"/>
      <c r="B1601" s="3"/>
      <c r="C1601" s="3"/>
      <c r="D1601" s="3"/>
      <c r="E1601" s="3"/>
      <c r="F1601" s="3"/>
      <c r="G1601" s="3"/>
      <c r="H1601" s="3"/>
      <c r="K1601" s="3"/>
      <c r="L1601" s="3"/>
      <c r="M1601" s="3"/>
      <c r="N1601" s="3"/>
      <c r="O1601" s="3"/>
      <c r="P1601" s="3"/>
      <c r="Q1601" s="3"/>
      <c r="R1601" s="3"/>
      <c r="S1601" s="3"/>
      <c r="T1601" s="3"/>
      <c r="U1601" s="3"/>
    </row>
    <row r="1602">
      <c r="A1602" s="3"/>
      <c r="B1602" s="3"/>
      <c r="C1602" s="3"/>
      <c r="D1602" s="3"/>
      <c r="E1602" s="3"/>
      <c r="F1602" s="3"/>
      <c r="G1602" s="3"/>
      <c r="H1602" s="3"/>
      <c r="K1602" s="3"/>
      <c r="L1602" s="3"/>
      <c r="M1602" s="3"/>
      <c r="N1602" s="3"/>
      <c r="O1602" s="3"/>
      <c r="P1602" s="3"/>
      <c r="Q1602" s="3"/>
      <c r="R1602" s="3"/>
      <c r="S1602" s="3"/>
      <c r="T1602" s="3"/>
      <c r="U1602" s="3"/>
    </row>
    <row r="1603">
      <c r="A1603" s="3"/>
      <c r="B1603" s="3"/>
      <c r="C1603" s="3"/>
      <c r="D1603" s="3"/>
      <c r="E1603" s="3"/>
      <c r="F1603" s="3"/>
      <c r="G1603" s="3"/>
      <c r="H1603" s="3"/>
      <c r="K1603" s="3"/>
      <c r="L1603" s="3"/>
      <c r="M1603" s="3"/>
      <c r="N1603" s="3"/>
      <c r="O1603" s="3"/>
      <c r="P1603" s="3"/>
      <c r="Q1603" s="3"/>
      <c r="R1603" s="3"/>
      <c r="S1603" s="3"/>
      <c r="T1603" s="3"/>
      <c r="U1603" s="3"/>
    </row>
    <row r="1604">
      <c r="A1604" s="3"/>
      <c r="B1604" s="3"/>
      <c r="C1604" s="3"/>
      <c r="D1604" s="3"/>
      <c r="E1604" s="3"/>
      <c r="F1604" s="3"/>
      <c r="G1604" s="3"/>
      <c r="H1604" s="3"/>
      <c r="K1604" s="3"/>
      <c r="L1604" s="3"/>
      <c r="M1604" s="3"/>
      <c r="N1604" s="3"/>
      <c r="O1604" s="3"/>
      <c r="P1604" s="3"/>
      <c r="Q1604" s="3"/>
      <c r="R1604" s="3"/>
      <c r="S1604" s="3"/>
      <c r="T1604" s="3"/>
      <c r="U1604" s="3"/>
    </row>
    <row r="1605">
      <c r="A1605" s="3"/>
      <c r="B1605" s="3"/>
      <c r="C1605" s="3"/>
      <c r="D1605" s="3"/>
      <c r="E1605" s="3"/>
      <c r="F1605" s="3"/>
      <c r="G1605" s="3"/>
      <c r="H1605" s="3"/>
      <c r="K1605" s="3"/>
      <c r="L1605" s="3"/>
      <c r="M1605" s="3"/>
      <c r="N1605" s="3"/>
      <c r="O1605" s="3"/>
      <c r="P1605" s="3"/>
      <c r="Q1605" s="3"/>
      <c r="R1605" s="3"/>
      <c r="S1605" s="3"/>
      <c r="T1605" s="3"/>
      <c r="U1605" s="3"/>
    </row>
    <row r="1606">
      <c r="A1606" s="3"/>
      <c r="B1606" s="3"/>
      <c r="C1606" s="3"/>
      <c r="D1606" s="3"/>
      <c r="E1606" s="3"/>
      <c r="F1606" s="3"/>
      <c r="G1606" s="3"/>
      <c r="H1606" s="3"/>
      <c r="K1606" s="3"/>
      <c r="L1606" s="3"/>
      <c r="M1606" s="3"/>
      <c r="N1606" s="3"/>
      <c r="O1606" s="3"/>
      <c r="P1606" s="3"/>
      <c r="Q1606" s="3"/>
      <c r="R1606" s="3"/>
      <c r="S1606" s="3"/>
      <c r="T1606" s="3"/>
      <c r="U1606" s="3"/>
    </row>
    <row r="1607">
      <c r="A1607" s="3"/>
      <c r="B1607" s="3"/>
      <c r="C1607" s="3"/>
      <c r="D1607" s="3"/>
      <c r="E1607" s="3"/>
      <c r="F1607" s="3"/>
      <c r="G1607" s="3"/>
      <c r="H1607" s="3"/>
      <c r="K1607" s="3"/>
      <c r="L1607" s="3"/>
      <c r="M1607" s="3"/>
      <c r="N1607" s="3"/>
      <c r="O1607" s="3"/>
      <c r="P1607" s="3"/>
      <c r="Q1607" s="3"/>
      <c r="R1607" s="3"/>
      <c r="S1607" s="3"/>
      <c r="T1607" s="3"/>
      <c r="U1607" s="3"/>
    </row>
    <row r="1608">
      <c r="A1608" s="3"/>
      <c r="B1608" s="3"/>
      <c r="C1608" s="3"/>
      <c r="D1608" s="3"/>
      <c r="E1608" s="3"/>
      <c r="F1608" s="3"/>
      <c r="G1608" s="3"/>
      <c r="H1608" s="3"/>
      <c r="K1608" s="3"/>
      <c r="L1608" s="3"/>
      <c r="M1608" s="3"/>
      <c r="N1608" s="3"/>
      <c r="O1608" s="3"/>
      <c r="P1608" s="3"/>
      <c r="Q1608" s="3"/>
      <c r="R1608" s="3"/>
      <c r="S1608" s="3"/>
      <c r="T1608" s="3"/>
      <c r="U1608" s="3"/>
    </row>
    <row r="1609">
      <c r="A1609" s="3"/>
      <c r="B1609" s="3"/>
      <c r="C1609" s="3"/>
      <c r="D1609" s="3"/>
      <c r="E1609" s="3"/>
      <c r="F1609" s="3"/>
      <c r="G1609" s="3"/>
      <c r="H1609" s="3"/>
      <c r="K1609" s="3"/>
      <c r="L1609" s="3"/>
      <c r="M1609" s="3"/>
      <c r="N1609" s="3"/>
      <c r="O1609" s="3"/>
      <c r="P1609" s="3"/>
      <c r="Q1609" s="3"/>
      <c r="R1609" s="3"/>
      <c r="S1609" s="3"/>
      <c r="T1609" s="3"/>
      <c r="U1609" s="3"/>
    </row>
    <row r="1610">
      <c r="A1610" s="3"/>
      <c r="B1610" s="3"/>
      <c r="C1610" s="3"/>
      <c r="D1610" s="3"/>
      <c r="E1610" s="3"/>
      <c r="F1610" s="3"/>
      <c r="G1610" s="3"/>
      <c r="H1610" s="3"/>
      <c r="K1610" s="3"/>
      <c r="L1610" s="3"/>
      <c r="M1610" s="3"/>
      <c r="N1610" s="3"/>
      <c r="O1610" s="3"/>
      <c r="P1610" s="3"/>
      <c r="Q1610" s="3"/>
      <c r="R1610" s="3"/>
      <c r="S1610" s="3"/>
      <c r="T1610" s="3"/>
      <c r="U1610" s="3"/>
    </row>
    <row r="1611">
      <c r="A1611" s="3"/>
      <c r="B1611" s="3"/>
      <c r="C1611" s="3"/>
      <c r="D1611" s="3"/>
      <c r="E1611" s="3"/>
      <c r="F1611" s="3"/>
      <c r="G1611" s="3"/>
      <c r="H1611" s="3"/>
      <c r="K1611" s="3"/>
      <c r="L1611" s="3"/>
      <c r="M1611" s="3"/>
      <c r="N1611" s="3"/>
      <c r="O1611" s="3"/>
      <c r="P1611" s="3"/>
      <c r="Q1611" s="3"/>
      <c r="R1611" s="3"/>
      <c r="S1611" s="3"/>
      <c r="T1611" s="3"/>
      <c r="U1611" s="3"/>
    </row>
    <row r="1612">
      <c r="A1612" s="3"/>
      <c r="B1612" s="3"/>
      <c r="C1612" s="3"/>
      <c r="D1612" s="3"/>
      <c r="E1612" s="3"/>
      <c r="F1612" s="3"/>
      <c r="G1612" s="3"/>
      <c r="H1612" s="3"/>
      <c r="K1612" s="3"/>
      <c r="L1612" s="3"/>
      <c r="M1612" s="3"/>
      <c r="N1612" s="3"/>
      <c r="O1612" s="3"/>
      <c r="P1612" s="3"/>
      <c r="Q1612" s="3"/>
      <c r="R1612" s="3"/>
      <c r="S1612" s="3"/>
      <c r="T1612" s="3"/>
      <c r="U1612" s="3"/>
    </row>
    <row r="1613">
      <c r="A1613" s="3"/>
      <c r="B1613" s="3"/>
      <c r="C1613" s="3"/>
      <c r="D1613" s="3"/>
      <c r="E1613" s="3"/>
      <c r="F1613" s="3"/>
      <c r="G1613" s="3"/>
      <c r="H1613" s="3"/>
      <c r="K1613" s="3"/>
      <c r="L1613" s="3"/>
      <c r="M1613" s="3"/>
      <c r="N1613" s="3"/>
      <c r="O1613" s="3"/>
      <c r="P1613" s="3"/>
      <c r="Q1613" s="3"/>
      <c r="R1613" s="3"/>
      <c r="S1613" s="3"/>
      <c r="T1613" s="3"/>
      <c r="U1613" s="3"/>
    </row>
    <row r="1614">
      <c r="A1614" s="3"/>
      <c r="B1614" s="3"/>
      <c r="C1614" s="3"/>
      <c r="D1614" s="3"/>
      <c r="E1614" s="3"/>
      <c r="F1614" s="3"/>
      <c r="G1614" s="3"/>
      <c r="H1614" s="3"/>
      <c r="K1614" s="3"/>
      <c r="L1614" s="3"/>
      <c r="M1614" s="3"/>
      <c r="N1614" s="3"/>
      <c r="O1614" s="3"/>
      <c r="P1614" s="3"/>
      <c r="Q1614" s="3"/>
      <c r="R1614" s="3"/>
      <c r="S1614" s="3"/>
      <c r="T1614" s="3"/>
      <c r="U1614" s="3"/>
    </row>
    <row r="1615">
      <c r="A1615" s="3"/>
      <c r="B1615" s="3"/>
      <c r="C1615" s="3"/>
      <c r="D1615" s="3"/>
      <c r="E1615" s="3"/>
      <c r="F1615" s="3"/>
      <c r="G1615" s="3"/>
      <c r="H1615" s="3"/>
      <c r="K1615" s="3"/>
      <c r="L1615" s="3"/>
      <c r="M1615" s="3"/>
      <c r="N1615" s="3"/>
      <c r="O1615" s="3"/>
      <c r="P1615" s="3"/>
      <c r="Q1615" s="3"/>
      <c r="R1615" s="3"/>
      <c r="S1615" s="3"/>
      <c r="T1615" s="3"/>
      <c r="U1615" s="3"/>
    </row>
    <row r="1616">
      <c r="A1616" s="3"/>
      <c r="B1616" s="3"/>
      <c r="C1616" s="3"/>
      <c r="D1616" s="3"/>
      <c r="E1616" s="3"/>
      <c r="F1616" s="3"/>
      <c r="G1616" s="3"/>
      <c r="H1616" s="3"/>
      <c r="K1616" s="3"/>
      <c r="L1616" s="3"/>
      <c r="M1616" s="3"/>
      <c r="N1616" s="3"/>
      <c r="O1616" s="3"/>
      <c r="P1616" s="3"/>
      <c r="Q1616" s="3"/>
      <c r="R1616" s="3"/>
      <c r="S1616" s="3"/>
      <c r="T1616" s="3"/>
      <c r="U1616" s="3"/>
    </row>
    <row r="1617">
      <c r="A1617" s="3"/>
      <c r="B1617" s="3"/>
      <c r="C1617" s="3"/>
      <c r="D1617" s="3"/>
      <c r="E1617" s="3"/>
      <c r="F1617" s="3"/>
      <c r="G1617" s="3"/>
      <c r="H1617" s="3"/>
      <c r="K1617" s="3"/>
      <c r="L1617" s="3"/>
      <c r="M1617" s="3"/>
      <c r="N1617" s="3"/>
      <c r="O1617" s="3"/>
      <c r="P1617" s="3"/>
      <c r="Q1617" s="3"/>
      <c r="R1617" s="3"/>
      <c r="S1617" s="3"/>
      <c r="T1617" s="3"/>
      <c r="U1617" s="3"/>
    </row>
  </sheetData>
  <autoFilter ref="$A$1:$AG$1002"/>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8.5"/>
    <col customWidth="1" min="2" max="2" width="14.0"/>
    <col customWidth="1" min="3" max="3" width="9.38"/>
    <col customWidth="1" min="4" max="4" width="15.88"/>
    <col customWidth="1" min="5" max="5" width="16.0"/>
    <col customWidth="1" min="6" max="6" width="16.5"/>
    <col customWidth="1" min="7" max="7" width="16.13"/>
    <col customWidth="1" min="8" max="8" width="16.88"/>
    <col customWidth="1" min="9" max="9" width="16.0"/>
    <col customWidth="1" min="10" max="10" width="15.5"/>
    <col customWidth="1" min="11" max="11" width="16.5"/>
    <col customWidth="1" min="12" max="12" width="16.38"/>
    <col customWidth="1" min="13" max="13" width="16.0"/>
    <col customWidth="1" min="14" max="14" width="16.5"/>
    <col customWidth="1" min="15" max="39" width="16.38"/>
    <col customWidth="1" min="40" max="63" width="14.88"/>
    <col customWidth="1" min="64" max="64" width="13.25"/>
    <col customWidth="1" min="65" max="65" width="13.38"/>
    <col customWidth="1" min="66" max="66" width="13.88"/>
    <col customWidth="1" min="67" max="67" width="13.38"/>
    <col customWidth="1" min="68" max="68" width="14.13"/>
    <col customWidth="1" min="69" max="69" width="13.38"/>
    <col customWidth="1" min="70" max="70" width="12.75"/>
    <col customWidth="1" min="71" max="71" width="13.75"/>
    <col customWidth="1" min="72" max="72" width="10.75"/>
    <col customWidth="1" min="73" max="73" width="13.38"/>
    <col customWidth="1" min="74" max="75" width="13.75"/>
    <col customWidth="1" min="76" max="76" width="15.88"/>
    <col customWidth="1" min="77" max="78" width="16.0"/>
    <col customWidth="1" min="79" max="79" width="15.88"/>
    <col customWidth="1" min="80" max="80" width="16.25"/>
    <col customWidth="1" min="81" max="81" width="16.0"/>
    <col customWidth="1" min="82" max="82" width="15.5"/>
    <col customWidth="1" min="83" max="83" width="16.25"/>
    <col customWidth="1" min="84" max="84" width="16.13"/>
    <col customWidth="1" min="85" max="85" width="15.88"/>
    <col customWidth="1" min="86" max="87" width="16.13"/>
  </cols>
  <sheetData>
    <row r="1">
      <c r="A1" s="3" t="s">
        <v>1</v>
      </c>
      <c r="B1" s="3" t="s">
        <v>7</v>
      </c>
      <c r="C1" s="3" t="s">
        <v>10</v>
      </c>
      <c r="D1" s="3" t="s">
        <v>109</v>
      </c>
      <c r="E1" s="3" t="s">
        <v>110</v>
      </c>
      <c r="F1" s="3" t="s">
        <v>111</v>
      </c>
      <c r="G1" s="3" t="s">
        <v>113</v>
      </c>
      <c r="H1" s="3" t="s">
        <v>114</v>
      </c>
      <c r="I1" s="3" t="s">
        <v>115</v>
      </c>
      <c r="J1" s="3" t="s">
        <v>116</v>
      </c>
      <c r="K1" s="3" t="s">
        <v>117</v>
      </c>
      <c r="L1" s="3" t="s">
        <v>118</v>
      </c>
      <c r="M1" s="3" t="s">
        <v>119</v>
      </c>
      <c r="N1" s="3" t="s">
        <v>120</v>
      </c>
      <c r="O1" s="3" t="s">
        <v>121</v>
      </c>
      <c r="P1" s="3" t="s">
        <v>122</v>
      </c>
      <c r="Q1" s="3" t="s">
        <v>124</v>
      </c>
      <c r="R1" s="3" t="s">
        <v>126</v>
      </c>
      <c r="S1" s="3" t="s">
        <v>127</v>
      </c>
      <c r="T1" s="3" t="s">
        <v>128</v>
      </c>
      <c r="U1" s="3" t="s">
        <v>129</v>
      </c>
      <c r="V1" s="3" t="s">
        <v>131</v>
      </c>
      <c r="W1" s="3" t="s">
        <v>132</v>
      </c>
      <c r="X1" s="3" t="s">
        <v>133</v>
      </c>
      <c r="Y1" s="3" t="s">
        <v>135</v>
      </c>
      <c r="Z1" s="3" t="s">
        <v>136</v>
      </c>
      <c r="AA1" s="3" t="s">
        <v>137</v>
      </c>
      <c r="AB1" s="25" t="s">
        <v>138</v>
      </c>
      <c r="AC1" s="25" t="s">
        <v>139</v>
      </c>
      <c r="AD1" s="25" t="s">
        <v>140</v>
      </c>
      <c r="AE1" s="25" t="s">
        <v>141</v>
      </c>
      <c r="AF1" s="25" t="s">
        <v>142</v>
      </c>
      <c r="AG1" s="25" t="s">
        <v>143</v>
      </c>
      <c r="AH1" s="25" t="s">
        <v>144</v>
      </c>
      <c r="AI1" s="25" t="s">
        <v>145</v>
      </c>
      <c r="AJ1" s="25" t="s">
        <v>146</v>
      </c>
      <c r="AK1" s="25" t="s">
        <v>147</v>
      </c>
      <c r="AL1" s="25" t="s">
        <v>149</v>
      </c>
      <c r="AM1" s="25" t="s">
        <v>150</v>
      </c>
      <c r="AN1" s="3" t="s">
        <v>13</v>
      </c>
      <c r="AO1" s="3" t="s">
        <v>14</v>
      </c>
      <c r="AP1" s="3" t="s">
        <v>16</v>
      </c>
      <c r="AQ1" s="3" t="s">
        <v>17</v>
      </c>
      <c r="AR1" s="3" t="s">
        <v>18</v>
      </c>
      <c r="AS1" s="3" t="s">
        <v>19</v>
      </c>
      <c r="AT1" s="3" t="s">
        <v>21</v>
      </c>
      <c r="AU1" s="3" t="s">
        <v>23</v>
      </c>
      <c r="AV1" s="3" t="s">
        <v>24</v>
      </c>
      <c r="AW1" s="3" t="s">
        <v>25</v>
      </c>
      <c r="AX1" s="3" t="s">
        <v>26</v>
      </c>
      <c r="AY1" s="3" t="s">
        <v>28</v>
      </c>
      <c r="AZ1" s="3" t="s">
        <v>151</v>
      </c>
      <c r="BA1" s="3" t="s">
        <v>152</v>
      </c>
      <c r="BB1" s="3" t="s">
        <v>153</v>
      </c>
      <c r="BC1" s="3" t="s">
        <v>154</v>
      </c>
      <c r="BD1" s="3" t="s">
        <v>155</v>
      </c>
      <c r="BE1" s="3" t="s">
        <v>156</v>
      </c>
      <c r="BF1" s="3" t="s">
        <v>157</v>
      </c>
      <c r="BG1" s="3" t="s">
        <v>158</v>
      </c>
      <c r="BH1" s="3" t="s">
        <v>159</v>
      </c>
      <c r="BI1" s="3" t="s">
        <v>160</v>
      </c>
      <c r="BJ1" s="3" t="s">
        <v>161</v>
      </c>
      <c r="BK1" s="3" t="s">
        <v>162</v>
      </c>
      <c r="BL1" s="3" t="s">
        <v>30</v>
      </c>
      <c r="BM1" s="3" t="s">
        <v>32</v>
      </c>
      <c r="BN1" s="3" t="s">
        <v>34</v>
      </c>
      <c r="BO1" s="3" t="s">
        <v>36</v>
      </c>
      <c r="BP1" s="3" t="s">
        <v>38</v>
      </c>
      <c r="BQ1" s="3" t="s">
        <v>40</v>
      </c>
      <c r="BR1" s="3" t="s">
        <v>41</v>
      </c>
      <c r="BS1" s="3" t="s">
        <v>42</v>
      </c>
      <c r="BT1" s="3" t="s">
        <v>44</v>
      </c>
      <c r="BU1" s="3" t="s">
        <v>47</v>
      </c>
      <c r="BV1" s="3" t="s">
        <v>49</v>
      </c>
      <c r="BW1" s="3" t="s">
        <v>51</v>
      </c>
      <c r="BX1" s="3" t="s">
        <v>164</v>
      </c>
      <c r="BY1" s="3" t="s">
        <v>165</v>
      </c>
      <c r="BZ1" s="3" t="s">
        <v>166</v>
      </c>
      <c r="CA1" s="3" t="s">
        <v>167</v>
      </c>
      <c r="CB1" s="3" t="s">
        <v>168</v>
      </c>
      <c r="CC1" s="3" t="s">
        <v>169</v>
      </c>
      <c r="CD1" s="3" t="s">
        <v>170</v>
      </c>
      <c r="CE1" s="3" t="s">
        <v>171</v>
      </c>
      <c r="CF1" s="3" t="s">
        <v>172</v>
      </c>
      <c r="CG1" s="3" t="s">
        <v>173</v>
      </c>
      <c r="CH1" s="3" t="s">
        <v>174</v>
      </c>
      <c r="CI1" s="3" t="s">
        <v>175</v>
      </c>
    </row>
    <row r="2">
      <c r="A2" s="11" t="str">
        <f>'Account Manager Data'!A:A</f>
        <v>AM001</v>
      </c>
      <c r="B2" s="11" t="str">
        <f>'Account Manager Data'!B:B</f>
        <v>Rizky Maulana</v>
      </c>
      <c r="C2" s="11" t="str">
        <f>'Account Manager Data'!C:C</f>
        <v>Jawa</v>
      </c>
      <c r="D2" s="28">
        <f t="array" ref="D2">XLOOKUP($B:$B,Target!$C:$C,Target!Q:Q,0)</f>
        <v>55696074.24</v>
      </c>
      <c r="E2" s="28">
        <f t="array" ref="E2">XLOOKUP($B:$B,Target!$C:$C,Target!R:R,0)</f>
        <v>69620092.79</v>
      </c>
      <c r="F2" s="28">
        <f t="array" ref="F2">XLOOKUP($B:$B,Target!$C:$C,Target!S:S,0)</f>
        <v>83544111.35</v>
      </c>
      <c r="G2" s="28">
        <f t="array" ref="G2">XLOOKUP($B:$B,Target!$C:$C,Target!T:T,0)</f>
        <v>97468129.91</v>
      </c>
      <c r="H2" s="28">
        <f t="array" ref="H2">XLOOKUP($B:$B,Target!$C:$C,Target!U:U,0)</f>
        <v>111392148.5</v>
      </c>
      <c r="I2" s="28">
        <f t="array" ref="I2">XLOOKUP($B:$B,Target!$C:$C,Target!V:V,0)</f>
        <v>125316167</v>
      </c>
      <c r="J2" s="28">
        <f t="array" ref="J2">XLOOKUP($B:$B,Target!$C:$C,Target!W:W,0)</f>
        <v>125316167</v>
      </c>
      <c r="K2" s="28">
        <f t="array" ref="K2">XLOOKUP($B:$B,Target!$C:$C,Target!X:X,0)</f>
        <v>125316167</v>
      </c>
      <c r="L2" s="28">
        <f t="array" ref="L2">XLOOKUP($B:$B,Target!$C:$C,Target!Y:Y,0)</f>
        <v>139240185.6</v>
      </c>
      <c r="M2" s="28">
        <f t="array" ref="M2">XLOOKUP($B:$B,Target!$C:$C,Target!Z:Z,0)</f>
        <v>139240185.6</v>
      </c>
      <c r="N2" s="28">
        <f t="array" ref="N2">XLOOKUP($B:$B,Target!$C:$C,Target!AA:AA,0)</f>
        <v>153164204.1</v>
      </c>
      <c r="O2" s="28">
        <f t="array" ref="O2">XLOOKUP($B:$B,Target!$C:$C,Target!AB:AB,0)</f>
        <v>167088222.7</v>
      </c>
      <c r="P2" s="29">
        <f t="shared" ref="P2:AA2" si="1">D2*7</f>
        <v>389872519.6</v>
      </c>
      <c r="Q2" s="29">
        <f t="shared" si="1"/>
        <v>487340649.6</v>
      </c>
      <c r="R2" s="29">
        <f t="shared" si="1"/>
        <v>584808779.5</v>
      </c>
      <c r="S2" s="29">
        <f t="shared" si="1"/>
        <v>682276909.4</v>
      </c>
      <c r="T2" s="29">
        <f t="shared" si="1"/>
        <v>779745039.3</v>
      </c>
      <c r="U2" s="29">
        <f t="shared" si="1"/>
        <v>877213169.2</v>
      </c>
      <c r="V2" s="29">
        <f t="shared" si="1"/>
        <v>877213169.2</v>
      </c>
      <c r="W2" s="29">
        <f t="shared" si="1"/>
        <v>877213169.2</v>
      </c>
      <c r="X2" s="29">
        <f t="shared" si="1"/>
        <v>974681299.1</v>
      </c>
      <c r="Y2" s="29">
        <f t="shared" si="1"/>
        <v>974681299.1</v>
      </c>
      <c r="Z2" s="29">
        <f t="shared" si="1"/>
        <v>1072149429</v>
      </c>
      <c r="AA2" s="29">
        <f t="shared" si="1"/>
        <v>1169617559</v>
      </c>
      <c r="AB2" s="30">
        <f t="shared" ref="AB2:AM2" si="2">D2*1.5</f>
        <v>83544111.35</v>
      </c>
      <c r="AC2" s="30">
        <f t="shared" si="2"/>
        <v>104430139.2</v>
      </c>
      <c r="AD2" s="30">
        <f t="shared" si="2"/>
        <v>125316167</v>
      </c>
      <c r="AE2" s="30">
        <f t="shared" si="2"/>
        <v>146202194.9</v>
      </c>
      <c r="AF2" s="30">
        <f t="shared" si="2"/>
        <v>167088222.7</v>
      </c>
      <c r="AG2" s="30">
        <f t="shared" si="2"/>
        <v>187974250.5</v>
      </c>
      <c r="AH2" s="30">
        <f t="shared" si="2"/>
        <v>187974250.5</v>
      </c>
      <c r="AI2" s="30">
        <f t="shared" si="2"/>
        <v>187974250.5</v>
      </c>
      <c r="AJ2" s="30">
        <f t="shared" si="2"/>
        <v>208860278.4</v>
      </c>
      <c r="AK2" s="30">
        <f t="shared" si="2"/>
        <v>208860278.4</v>
      </c>
      <c r="AL2" s="30">
        <f t="shared" si="2"/>
        <v>229746306.2</v>
      </c>
      <c r="AM2" s="30">
        <f t="shared" si="2"/>
        <v>250632334.1</v>
      </c>
      <c r="AN2" s="31">
        <f>SUMIFS('Account Data'!J:J,'Account Data'!$G:$G,A2)</f>
        <v>452159975</v>
      </c>
      <c r="AO2" s="31">
        <f>SUMIFS('Account Data'!K:K,'Account Data'!$G:$G,A2)</f>
        <v>480340777</v>
      </c>
      <c r="AP2" s="31">
        <f>SUMIFS('Account Data'!L:L,'Account Data'!$G:$G,A2)</f>
        <v>533815137</v>
      </c>
      <c r="AQ2" s="31">
        <f>SUMIFS('Account Data'!M:M,'Account Data'!$G:$G,A2)</f>
        <v>580736606</v>
      </c>
      <c r="AR2" s="31">
        <f>SUMIFS('Account Data'!N:N,'Account Data'!$G:$G,A2)</f>
        <v>690298721</v>
      </c>
      <c r="AS2" s="31">
        <f>SUMIFS('Account Data'!O:O,'Account Data'!$G:$G,A2)</f>
        <v>731800551</v>
      </c>
      <c r="AT2" s="31">
        <f>SUMIFS('Account Data'!P:P,'Account Data'!$G:$G,A2)</f>
        <v>868842981</v>
      </c>
      <c r="AU2" s="31">
        <f>SUMIFS('Account Data'!Q:Q,'Account Data'!$G:$G,A2)</f>
        <v>1950067653</v>
      </c>
      <c r="AV2" s="31">
        <f>SUMIFS('Account Data'!R:R,'Account Data'!$G:$G,A2)</f>
        <v>687835840</v>
      </c>
      <c r="AW2" s="31">
        <f>SUMIFS('Account Data'!S:S,'Account Data'!$G:$G,A2)</f>
        <v>831290994</v>
      </c>
      <c r="AX2" s="31">
        <f>SUMIFS('Account Data'!T:T,'Account Data'!$G:$G,A2)</f>
        <v>921070278</v>
      </c>
      <c r="AY2" s="31">
        <f>SUMIFS('Account Data'!U:U,'Account Data'!$G:$G,A2)</f>
        <v>916529701</v>
      </c>
      <c r="AZ2" s="33">
        <f>SUMIFS('Account Data'!J:J,'Account Data'!$G:$G,$A$2,'Account Data'!$D:$D,$AZ$12)</f>
        <v>59207631</v>
      </c>
      <c r="BA2" s="33">
        <f>SUMIFS('Account Data'!K:K,'Account Data'!$G:$G,$A$2,'Account Data'!$D:$D,$AZ$12)</f>
        <v>80000000</v>
      </c>
      <c r="BB2" s="33">
        <f>SUMIFS('Account Data'!L:L,'Account Data'!$G:$G,$A$2,'Account Data'!$D:$D,$AZ$12)</f>
        <v>84000002</v>
      </c>
      <c r="BC2" s="33">
        <f>SUMIFS('Account Data'!M:M,'Account Data'!$G:$G,$A$2,'Account Data'!$D:$D,$AZ$12)</f>
        <v>84000001</v>
      </c>
      <c r="BD2" s="33">
        <f>SUMIFS('Account Data'!N:N,'Account Data'!$G:$G,$A$2,'Account Data'!$D:$D,$AZ$12)</f>
        <v>90999999</v>
      </c>
      <c r="BE2" s="33">
        <f>SUMIFS('Account Data'!O:O,'Account Data'!$G:$G,$A$2,'Account Data'!$D:$D,$AZ$12)</f>
        <v>96804206</v>
      </c>
      <c r="BF2" s="33">
        <f>SUMIFS('Account Data'!P:P,'Account Data'!$G:$G,$A$2,'Account Data'!$D:$D,$AZ$12)</f>
        <v>250000000</v>
      </c>
      <c r="BG2" s="33">
        <f>SUMIFS('Account Data'!Q:Q,'Account Data'!$G:$G,$A$2,'Account Data'!$D:$D,$AZ$12)</f>
        <v>1299999999</v>
      </c>
      <c r="BH2" s="33">
        <f>SUMIFS('Account Data'!R:R,'Account Data'!$G:$G,$A$2,'Account Data'!$D:$D,$AZ$12)</f>
        <v>91342191</v>
      </c>
      <c r="BI2" s="33">
        <f>SUMIFS('Account Data'!S:S,'Account Data'!$G:$G,$A$2,'Account Data'!$D:$D,$AZ$12)</f>
        <v>133736699</v>
      </c>
      <c r="BJ2" s="33">
        <f>SUMIFS('Account Data'!T:T,'Account Data'!$G:$G,$A$2,'Account Data'!$D:$D,$AZ$12)</f>
        <v>144427410</v>
      </c>
      <c r="BK2" s="33">
        <f>SUMIFS('Account Data'!U:U,'Account Data'!$G:$G,$A$2,'Account Data'!$D:$D,$AZ$12)</f>
        <v>125094682</v>
      </c>
      <c r="BL2" s="42">
        <f>SUMIFS('Account Data'!V:V,'Account Data'!$G:$G,$A$2)</f>
        <v>56000000</v>
      </c>
      <c r="BM2" s="42">
        <f>SUMIFS('Account Data'!W:W,'Account Data'!$G:$G,$A$2)</f>
        <v>80000000</v>
      </c>
      <c r="BN2" s="42">
        <f>SUMIFS('Account Data'!X:X,'Account Data'!$G:$G,$A$2)</f>
        <v>84000002</v>
      </c>
      <c r="BO2" s="42">
        <f>SUMIFS('Account Data'!Y:Y,'Account Data'!$G:$G,$A$2)</f>
        <v>84000001</v>
      </c>
      <c r="BP2" s="42">
        <f>SUMIFS('Account Data'!Z:Z,'Account Data'!$G:$G,$A$2)</f>
        <v>90999999</v>
      </c>
      <c r="BQ2" s="42">
        <f>SUMIFS('Account Data'!AA:AA,'Account Data'!$G:$G,$A$2)</f>
        <v>96804206</v>
      </c>
      <c r="BR2" s="42">
        <f>SUMIFS('Account Data'!AB:AB,'Account Data'!$G:$G,$A$2)</f>
        <v>250000000</v>
      </c>
      <c r="BS2" s="42">
        <f>SUMIFS('Account Data'!AC:AC,'Account Data'!O:O,$A$2)</f>
        <v>0</v>
      </c>
      <c r="BT2" s="42">
        <f>SUMIFS('Account Data'!AD:AD,'Account Data'!P:P,$A$2)</f>
        <v>0</v>
      </c>
      <c r="BU2" s="42">
        <f>SUMIFS('Account Data'!AE:AE,'Account Data'!Q:Q,$A$2)</f>
        <v>0</v>
      </c>
      <c r="BV2" s="42">
        <f>SUMIFS('Account Data'!AF:AF,'Account Data'!R:R,$A$2)</f>
        <v>0</v>
      </c>
      <c r="BW2" s="42">
        <f>SUMIFS('Account Data'!AG:AG,'Account Data'!S:S,$A$2)</f>
        <v>0</v>
      </c>
      <c r="BX2" s="53">
        <f t="array" ref="BX2">XLOOKUP($B:$B,Target!$C:$C,Target!D:D)</f>
        <v>80000000</v>
      </c>
      <c r="BY2" s="53">
        <f t="array" ref="BY2">XLOOKUP($B:$B,Target!$C:$C,Target!E:E)</f>
        <v>82400000</v>
      </c>
      <c r="BZ2" s="53">
        <f t="array" ref="BZ2">XLOOKUP($B:$B,Target!$C:$C,Target!F:F)</f>
        <v>91464000</v>
      </c>
      <c r="CA2" s="53">
        <f t="array" ref="CA2">XLOOKUP($B:$B,Target!$C:$C,Target!G:G)</f>
        <v>105183600</v>
      </c>
      <c r="CB2" s="53">
        <f t="array" ref="CB2">XLOOKUP($B:$B,Target!$C:$C,Target!H:H)</f>
        <v>122012976</v>
      </c>
      <c r="CC2" s="53">
        <f t="array" ref="CC2">XLOOKUP($B:$B,Target!$C:$C,Target!I:I)</f>
        <v>145195441.4</v>
      </c>
      <c r="CD2" s="53">
        <f t="array" ref="CD2">XLOOKUP($B:$B,Target!$C:$C,Target!J:J)</f>
        <v>173508552.5</v>
      </c>
      <c r="CE2" s="53">
        <f t="array" ref="CE2">XLOOKUP($B:$B,Target!$C:$C,Target!K:K)</f>
        <v>211680434.1</v>
      </c>
      <c r="CF2" s="53">
        <f t="array" ref="CF2">XLOOKUP($B:$B,Target!$C:$C,Target!L:L)</f>
        <v>264600542.6</v>
      </c>
      <c r="CG2" s="53">
        <f t="array" ref="CG2">XLOOKUP($B:$B,Target!$C:$C,Target!M:M)</f>
        <v>331544479.9</v>
      </c>
      <c r="CH2" s="53">
        <f t="array" ref="CH2">XLOOKUP($B:$B,Target!$C:$C,Target!N:N)</f>
        <v>464162271.8</v>
      </c>
      <c r="CI2" s="53">
        <f t="array" ref="CI2">XLOOKUP($B:$B,Target!$C:$C,Target!O:O)</f>
        <v>580202839.8</v>
      </c>
    </row>
    <row r="3">
      <c r="A3" s="11" t="str">
        <f>'Account Manager Data'!A:A</f>
        <v>AM002</v>
      </c>
      <c r="B3" s="11" t="str">
        <f>'Account Manager Data'!B:B</f>
        <v>Dedi Kurniawan</v>
      </c>
      <c r="C3" s="11" t="str">
        <f>'Account Manager Data'!C:C</f>
        <v>Kalimantan</v>
      </c>
      <c r="D3" s="28">
        <f t="array" ref="D3">XLOOKUP($B:$B,Target!$C:$C,Target!Q:Q,0)</f>
        <v>55696074.24</v>
      </c>
      <c r="E3" s="28">
        <f t="array" ref="E3">XLOOKUP($B:$B,Target!$C:$C,Target!R:R,0)</f>
        <v>69620092.79</v>
      </c>
      <c r="F3" s="28">
        <f t="array" ref="F3">XLOOKUP($B:$B,Target!$C:$C,Target!S:S,0)</f>
        <v>83544111.35</v>
      </c>
      <c r="G3" s="28">
        <f t="array" ref="G3">XLOOKUP($B:$B,Target!$C:$C,Target!T:T,0)</f>
        <v>97468129.91</v>
      </c>
      <c r="H3" s="28">
        <f t="array" ref="H3">XLOOKUP($B:$B,Target!$C:$C,Target!U:U,0)</f>
        <v>111392148.5</v>
      </c>
      <c r="I3" s="28">
        <f t="array" ref="I3">XLOOKUP($B:$B,Target!$C:$C,Target!V:V,0)</f>
        <v>125316167</v>
      </c>
      <c r="J3" s="28">
        <f t="array" ref="J3">XLOOKUP($B:$B,Target!$C:$C,Target!W:W,0)</f>
        <v>125316167</v>
      </c>
      <c r="K3" s="28">
        <f t="array" ref="K3">XLOOKUP($B:$B,Target!$C:$C,Target!X:X,0)</f>
        <v>125316167</v>
      </c>
      <c r="L3" s="28">
        <f t="array" ref="L3">XLOOKUP($B:$B,Target!$C:$C,Target!Y:Y,0)</f>
        <v>139240185.6</v>
      </c>
      <c r="M3" s="28">
        <f t="array" ref="M3">XLOOKUP($B:$B,Target!$C:$C,Target!Z:Z,0)</f>
        <v>139240185.6</v>
      </c>
      <c r="N3" s="28">
        <f t="array" ref="N3">XLOOKUP($B:$B,Target!$C:$C,Target!AA:AA,0)</f>
        <v>153164204.1</v>
      </c>
      <c r="O3" s="28">
        <f t="array" ref="O3">XLOOKUP($B:$B,Target!$C:$C,Target!AB:AB,0)</f>
        <v>167088222.7</v>
      </c>
      <c r="P3" s="29">
        <f t="shared" ref="P3:AA3" si="3">D3*7</f>
        <v>389872519.6</v>
      </c>
      <c r="Q3" s="29">
        <f t="shared" si="3"/>
        <v>487340649.6</v>
      </c>
      <c r="R3" s="29">
        <f t="shared" si="3"/>
        <v>584808779.5</v>
      </c>
      <c r="S3" s="29">
        <f t="shared" si="3"/>
        <v>682276909.4</v>
      </c>
      <c r="T3" s="29">
        <f t="shared" si="3"/>
        <v>779745039.3</v>
      </c>
      <c r="U3" s="29">
        <f t="shared" si="3"/>
        <v>877213169.2</v>
      </c>
      <c r="V3" s="29">
        <f t="shared" si="3"/>
        <v>877213169.2</v>
      </c>
      <c r="W3" s="29">
        <f t="shared" si="3"/>
        <v>877213169.2</v>
      </c>
      <c r="X3" s="29">
        <f t="shared" si="3"/>
        <v>974681299.1</v>
      </c>
      <c r="Y3" s="29">
        <f t="shared" si="3"/>
        <v>974681299.1</v>
      </c>
      <c r="Z3" s="29">
        <f t="shared" si="3"/>
        <v>1072149429</v>
      </c>
      <c r="AA3" s="29">
        <f t="shared" si="3"/>
        <v>1169617559</v>
      </c>
      <c r="AB3" s="30">
        <f t="shared" ref="AB3:AM3" si="4">D3*1.5</f>
        <v>83544111.35</v>
      </c>
      <c r="AC3" s="30">
        <f t="shared" si="4"/>
        <v>104430139.2</v>
      </c>
      <c r="AD3" s="30">
        <f t="shared" si="4"/>
        <v>125316167</v>
      </c>
      <c r="AE3" s="30">
        <f t="shared" si="4"/>
        <v>146202194.9</v>
      </c>
      <c r="AF3" s="30">
        <f t="shared" si="4"/>
        <v>167088222.7</v>
      </c>
      <c r="AG3" s="30">
        <f t="shared" si="4"/>
        <v>187974250.5</v>
      </c>
      <c r="AH3" s="30">
        <f t="shared" si="4"/>
        <v>187974250.5</v>
      </c>
      <c r="AI3" s="30">
        <f t="shared" si="4"/>
        <v>187974250.5</v>
      </c>
      <c r="AJ3" s="30">
        <f t="shared" si="4"/>
        <v>208860278.4</v>
      </c>
      <c r="AK3" s="30">
        <f t="shared" si="4"/>
        <v>208860278.4</v>
      </c>
      <c r="AL3" s="30">
        <f t="shared" si="4"/>
        <v>229746306.2</v>
      </c>
      <c r="AM3" s="30">
        <f t="shared" si="4"/>
        <v>250632334.1</v>
      </c>
      <c r="AN3" s="31">
        <f>SUMIFS('Account Data'!J:J,'Account Data'!$G:$G,A3)</f>
        <v>364419602</v>
      </c>
      <c r="AO3" s="31">
        <f>SUMIFS('Account Data'!K:K,'Account Data'!$G:$G,A3)</f>
        <v>477587529</v>
      </c>
      <c r="AP3" s="31">
        <f>SUMIFS('Account Data'!L:L,'Account Data'!$G:$G,A3)</f>
        <v>472283828</v>
      </c>
      <c r="AQ3" s="31">
        <f>SUMIFS('Account Data'!M:M,'Account Data'!$G:$G,A3)</f>
        <v>486958767</v>
      </c>
      <c r="AR3" s="31">
        <f>SUMIFS('Account Data'!N:N,'Account Data'!$G:$G,A3)</f>
        <v>687236042</v>
      </c>
      <c r="AS3" s="31">
        <f>SUMIFS('Account Data'!O:O,'Account Data'!$G:$G,A3)</f>
        <v>743969532</v>
      </c>
      <c r="AT3" s="31">
        <f>SUMIFS('Account Data'!P:P,'Account Data'!$G:$G,A3)</f>
        <v>687371939</v>
      </c>
      <c r="AU3" s="31">
        <f>SUMIFS('Account Data'!Q:Q,'Account Data'!$G:$G,A3)</f>
        <v>807399034</v>
      </c>
      <c r="AV3" s="31">
        <f>SUMIFS('Account Data'!R:R,'Account Data'!$G:$G,A3)</f>
        <v>734954673</v>
      </c>
      <c r="AW3" s="31">
        <f>SUMIFS('Account Data'!S:S,'Account Data'!$G:$G,A3)</f>
        <v>787302980</v>
      </c>
      <c r="AX3" s="31">
        <f>SUMIFS('Account Data'!T:T,'Account Data'!$G:$G,A3)</f>
        <v>886058002</v>
      </c>
      <c r="AY3" s="31">
        <f>SUMIFS('Account Data'!U:U,'Account Data'!$G:$G,A3)</f>
        <v>964107694</v>
      </c>
      <c r="AZ3" s="33">
        <f>SUMIFS('Account Data'!J:J,'Account Data'!$G:$G,$A$3,'Account Data'!$D:$D,$AZ$12)</f>
        <v>49796719</v>
      </c>
      <c r="BA3" s="33">
        <f>SUMIFS('Account Data'!K:K,'Account Data'!$G:$G,$A$3,'Account Data'!$D:$D,$AZ$12)</f>
        <v>59336250</v>
      </c>
      <c r="BB3" s="33">
        <f>SUMIFS('Account Data'!L:L,'Account Data'!$G:$G,$A$3,'Account Data'!$D:$D,$AZ$12)</f>
        <v>59103818</v>
      </c>
      <c r="BC3" s="33">
        <f>SUMIFS('Account Data'!M:M,'Account Data'!$G:$G,$A$3,'Account Data'!$D:$D,$AZ$12)</f>
        <v>60635737</v>
      </c>
      <c r="BD3" s="33">
        <f>SUMIFS('Account Data'!N:N,'Account Data'!$G:$G,$A$3,'Account Data'!$D:$D,$AZ$12)</f>
        <v>68593559</v>
      </c>
      <c r="BE3" s="33">
        <f>SUMIFS('Account Data'!O:O,'Account Data'!$G:$G,$A$3,'Account Data'!$D:$D,$AZ$12)</f>
        <v>87139794</v>
      </c>
      <c r="BF3" s="33">
        <f>SUMIFS('Account Data'!P:P,'Account Data'!$G:$G,$A$3,'Account Data'!$D:$D,$AZ$12)</f>
        <v>101419150</v>
      </c>
      <c r="BG3" s="33">
        <f>SUMIFS('Account Data'!Q:Q,'Account Data'!$G:$G,$A$3,'Account Data'!$D:$D,$AZ$12)</f>
        <v>100225744</v>
      </c>
      <c r="BH3" s="33">
        <f>SUMIFS('Account Data'!R:R,'Account Data'!$G:$G,$A$3,'Account Data'!$D:$D,$AZ$12)</f>
        <v>107426383</v>
      </c>
      <c r="BI3" s="33">
        <f>SUMIFS('Account Data'!S:S,'Account Data'!$G:$G,$A$3,'Account Data'!$D:$D,$AZ$12)</f>
        <v>112193268</v>
      </c>
      <c r="BJ3" s="33">
        <f>SUMIFS('Account Data'!T:T,'Account Data'!$G:$G,$A$3,'Account Data'!$D:$D,$AZ$12)</f>
        <v>100474215</v>
      </c>
      <c r="BK3" s="33">
        <f>SUMIFS('Account Data'!U:U,'Account Data'!$G:$G,$A$3,'Account Data'!$D:$D,$AZ$12)</f>
        <v>81154634</v>
      </c>
      <c r="BL3" s="42">
        <f>SUMIFS('Account Data'!V:V,'Account Data'!$G:$G,$A$3)</f>
        <v>83544111.35</v>
      </c>
      <c r="BM3" s="42">
        <f>SUMIFS('Account Data'!W:W,'Account Data'!$G:$G,$A$3)</f>
        <v>83544111.35</v>
      </c>
      <c r="BN3" s="42">
        <f>SUMIFS('Account Data'!X:X,'Account Data'!$G:$G,$A$3)</f>
        <v>167088222.7</v>
      </c>
      <c r="BO3" s="42">
        <f>SUMIFS('Account Data'!Y:Y,'Account Data'!$G:$G,$A$3)</f>
        <v>136455381.9</v>
      </c>
      <c r="BP3" s="42">
        <f>SUMIFS('Account Data'!Z:Z,'Account Data'!$G:$G,$A$3)</f>
        <v>122531363.3</v>
      </c>
      <c r="BQ3" s="42">
        <f>SUMIFS('Account Data'!AA:AA,'Account Data'!$G:$G,$A$3)</f>
        <v>313290417.6</v>
      </c>
      <c r="BR3" s="42">
        <f>SUMIFS('Account Data'!AB:AB,'Account Data'!$G:$G,$A$3)</f>
        <v>288227184.2</v>
      </c>
      <c r="BS3" s="42">
        <f>SUMIFS('Account Data'!AC:AC,'Account Data'!O:O,$A$3)</f>
        <v>0</v>
      </c>
      <c r="BT3" s="42">
        <f>SUMIFS('Account Data'!AD:AD,'Account Data'!P:P,$A$3)</f>
        <v>0</v>
      </c>
      <c r="BU3" s="42">
        <f>SUMIFS('Account Data'!AE:AE,'Account Data'!Q:Q,$A$3)</f>
        <v>0</v>
      </c>
      <c r="BV3" s="42">
        <f>SUMIFS('Account Data'!AF:AF,'Account Data'!R:R,$A$3)</f>
        <v>0</v>
      </c>
      <c r="BW3" s="42">
        <f>SUMIFS('Account Data'!AG:AG,'Account Data'!S:S,$A$3)</f>
        <v>0</v>
      </c>
      <c r="BX3" s="53">
        <f t="array" ref="BX3">XLOOKUP($B:$B,Target!$C:$C,Target!D:D)</f>
        <v>50000000</v>
      </c>
      <c r="BY3" s="53">
        <f t="array" ref="BY3">XLOOKUP($B:$B,Target!$C:$C,Target!E:E)</f>
        <v>51500000</v>
      </c>
      <c r="BZ3" s="53">
        <f t="array" ref="BZ3">XLOOKUP($B:$B,Target!$C:$C,Target!F:F)</f>
        <v>55620000</v>
      </c>
      <c r="CA3" s="53">
        <f t="array" ref="CA3">XLOOKUP($B:$B,Target!$C:$C,Target!G:G)</f>
        <v>61182000</v>
      </c>
      <c r="CB3" s="53">
        <f t="array" ref="CB3">XLOOKUP($B:$B,Target!$C:$C,Target!H:H)</f>
        <v>68523840</v>
      </c>
      <c r="CC3" s="53">
        <f t="array" ref="CC3">XLOOKUP($B:$B,Target!$C:$C,Target!I:I)</f>
        <v>78802416</v>
      </c>
      <c r="CD3" s="53">
        <f t="array" ref="CD3">XLOOKUP($B:$B,Target!$C:$C,Target!J:J)</f>
        <v>94168887.12</v>
      </c>
      <c r="CE3" s="53">
        <f t="array" ref="CE3">XLOOKUP($B:$B,Target!$C:$C,Target!K:K)</f>
        <v>113944353.4</v>
      </c>
      <c r="CF3" s="53">
        <f t="array" ref="CF3">XLOOKUP($B:$B,Target!$C:$C,Target!L:L)</f>
        <v>139012111.2</v>
      </c>
      <c r="CG3" s="53">
        <f t="array" ref="CG3">XLOOKUP($B:$B,Target!$C:$C,Target!M:M)</f>
        <v>172375017.8</v>
      </c>
      <c r="CH3" s="53">
        <f t="array" ref="CH3">XLOOKUP($B:$B,Target!$C:$C,Target!N:N)</f>
        <v>214951647.3</v>
      </c>
      <c r="CI3" s="53">
        <f t="array" ref="CI3">XLOOKUP($B:$B,Target!$C:$C,Target!O:O)</f>
        <v>268689559.1</v>
      </c>
    </row>
    <row r="4">
      <c r="A4" s="11" t="str">
        <f>'Account Manager Data'!A:A</f>
        <v>AM003</v>
      </c>
      <c r="B4" s="11" t="str">
        <f>'Account Manager Data'!B:B</f>
        <v>Ahmad Fauzi</v>
      </c>
      <c r="C4" s="11" t="str">
        <f>'Account Manager Data'!C:C</f>
        <v>Sumatera</v>
      </c>
      <c r="D4" s="28">
        <f t="array" ref="D4">XLOOKUP($B:$B,Target!$C:$C,Target!Q:Q,0)</f>
        <v>55696074.24</v>
      </c>
      <c r="E4" s="28">
        <f t="array" ref="E4">XLOOKUP($B:$B,Target!$C:$C,Target!R:R,0)</f>
        <v>69620092.79</v>
      </c>
      <c r="F4" s="28">
        <f t="array" ref="F4">XLOOKUP($B:$B,Target!$C:$C,Target!S:S,0)</f>
        <v>83544111.35</v>
      </c>
      <c r="G4" s="28">
        <f t="array" ref="G4">XLOOKUP($B:$B,Target!$C:$C,Target!T:T,0)</f>
        <v>97468129.91</v>
      </c>
      <c r="H4" s="28">
        <f t="array" ref="H4">XLOOKUP($B:$B,Target!$C:$C,Target!U:U,0)</f>
        <v>111392148.5</v>
      </c>
      <c r="I4" s="28">
        <f t="array" ref="I4">XLOOKUP($B:$B,Target!$C:$C,Target!V:V,0)</f>
        <v>125316167</v>
      </c>
      <c r="J4" s="28">
        <f t="array" ref="J4">XLOOKUP($B:$B,Target!$C:$C,Target!W:W,0)</f>
        <v>125316167</v>
      </c>
      <c r="K4" s="28">
        <f t="array" ref="K4">XLOOKUP($B:$B,Target!$C:$C,Target!X:X,0)</f>
        <v>125316167</v>
      </c>
      <c r="L4" s="28">
        <f t="array" ref="L4">XLOOKUP($B:$B,Target!$C:$C,Target!Y:Y,0)</f>
        <v>139240185.6</v>
      </c>
      <c r="M4" s="28">
        <f t="array" ref="M4">XLOOKUP($B:$B,Target!$C:$C,Target!Z:Z,0)</f>
        <v>139240185.6</v>
      </c>
      <c r="N4" s="28">
        <f t="array" ref="N4">XLOOKUP($B:$B,Target!$C:$C,Target!AA:AA,0)</f>
        <v>153164204.1</v>
      </c>
      <c r="O4" s="28">
        <f t="array" ref="O4">XLOOKUP($B:$B,Target!$C:$C,Target!AB:AB,0)</f>
        <v>167088222.7</v>
      </c>
      <c r="P4" s="29">
        <f t="shared" ref="P4:AA4" si="5">D4*7</f>
        <v>389872519.6</v>
      </c>
      <c r="Q4" s="29">
        <f t="shared" si="5"/>
        <v>487340649.6</v>
      </c>
      <c r="R4" s="29">
        <f t="shared" si="5"/>
        <v>584808779.5</v>
      </c>
      <c r="S4" s="29">
        <f t="shared" si="5"/>
        <v>682276909.4</v>
      </c>
      <c r="T4" s="29">
        <f t="shared" si="5"/>
        <v>779745039.3</v>
      </c>
      <c r="U4" s="29">
        <f t="shared" si="5"/>
        <v>877213169.2</v>
      </c>
      <c r="V4" s="29">
        <f t="shared" si="5"/>
        <v>877213169.2</v>
      </c>
      <c r="W4" s="29">
        <f t="shared" si="5"/>
        <v>877213169.2</v>
      </c>
      <c r="X4" s="29">
        <f t="shared" si="5"/>
        <v>974681299.1</v>
      </c>
      <c r="Y4" s="29">
        <f t="shared" si="5"/>
        <v>974681299.1</v>
      </c>
      <c r="Z4" s="29">
        <f t="shared" si="5"/>
        <v>1072149429</v>
      </c>
      <c r="AA4" s="29">
        <f t="shared" si="5"/>
        <v>1169617559</v>
      </c>
      <c r="AB4" s="30">
        <f t="shared" ref="AB4:AM4" si="6">D4*1.5</f>
        <v>83544111.35</v>
      </c>
      <c r="AC4" s="30">
        <f t="shared" si="6"/>
        <v>104430139.2</v>
      </c>
      <c r="AD4" s="30">
        <f t="shared" si="6"/>
        <v>125316167</v>
      </c>
      <c r="AE4" s="30">
        <f t="shared" si="6"/>
        <v>146202194.9</v>
      </c>
      <c r="AF4" s="30">
        <f t="shared" si="6"/>
        <v>167088222.7</v>
      </c>
      <c r="AG4" s="30">
        <f t="shared" si="6"/>
        <v>187974250.5</v>
      </c>
      <c r="AH4" s="30">
        <f t="shared" si="6"/>
        <v>187974250.5</v>
      </c>
      <c r="AI4" s="30">
        <f t="shared" si="6"/>
        <v>187974250.5</v>
      </c>
      <c r="AJ4" s="30">
        <f t="shared" si="6"/>
        <v>208860278.4</v>
      </c>
      <c r="AK4" s="30">
        <f t="shared" si="6"/>
        <v>208860278.4</v>
      </c>
      <c r="AL4" s="30">
        <f t="shared" si="6"/>
        <v>229746306.2</v>
      </c>
      <c r="AM4" s="30">
        <f t="shared" si="6"/>
        <v>250632334.1</v>
      </c>
      <c r="AN4" s="31">
        <f>SUMIFS('Account Data'!J:J,'Account Data'!$G:$G,A4)</f>
        <v>390541904</v>
      </c>
      <c r="AO4" s="31">
        <f>SUMIFS('Account Data'!K:K,'Account Data'!$G:$G,A4)</f>
        <v>478011712</v>
      </c>
      <c r="AP4" s="31">
        <f>SUMIFS('Account Data'!L:L,'Account Data'!$G:$G,A4)</f>
        <v>526879357</v>
      </c>
      <c r="AQ4" s="31">
        <f>SUMIFS('Account Data'!M:M,'Account Data'!$G:$G,A4)</f>
        <v>574481493</v>
      </c>
      <c r="AR4" s="31">
        <f>SUMIFS('Account Data'!N:N,'Account Data'!$G:$G,A4)</f>
        <v>682448173</v>
      </c>
      <c r="AS4" s="31">
        <f>SUMIFS('Account Data'!O:O,'Account Data'!$G:$G,A4)</f>
        <v>690884020</v>
      </c>
      <c r="AT4" s="31">
        <f>SUMIFS('Account Data'!P:P,'Account Data'!$G:$G,A4)</f>
        <v>774725887</v>
      </c>
      <c r="AU4" s="31">
        <f>SUMIFS('Account Data'!Q:Q,'Account Data'!$G:$G,A4)</f>
        <v>754080498</v>
      </c>
      <c r="AV4" s="31">
        <f>SUMIFS('Account Data'!R:R,'Account Data'!$G:$G,A4)</f>
        <v>728574711</v>
      </c>
      <c r="AW4" s="31">
        <f>SUMIFS('Account Data'!S:S,'Account Data'!$G:$G,A4)</f>
        <v>739033796</v>
      </c>
      <c r="AX4" s="31">
        <f>SUMIFS('Account Data'!T:T,'Account Data'!$G:$G,A4)</f>
        <v>963429937</v>
      </c>
      <c r="AY4" s="31">
        <f>SUMIFS('Account Data'!U:U,'Account Data'!$G:$G,A4)</f>
        <v>801699641</v>
      </c>
      <c r="AZ4" s="33">
        <f>SUMIFS('Account Data'!J:J,'Account Data'!$G:$G,$A$4,'Account Data'!$D:$D,$AZ$12)</f>
        <v>47039910</v>
      </c>
      <c r="BA4" s="33">
        <f>SUMIFS('Account Data'!K:K,'Account Data'!$G:$G,$A$4,'Account Data'!$D:$D,$AZ$12)</f>
        <v>65839112</v>
      </c>
      <c r="BB4" s="33">
        <f>SUMIFS('Account Data'!L:L,'Account Data'!$G:$G,$A$4,'Account Data'!$D:$D,$AZ$12)</f>
        <v>86285680</v>
      </c>
      <c r="BC4" s="33">
        <f>SUMIFS('Account Data'!M:M,'Account Data'!$G:$G,$A$4,'Account Data'!$D:$D,$AZ$12)</f>
        <v>74502108</v>
      </c>
      <c r="BD4" s="33">
        <f>SUMIFS('Account Data'!N:N,'Account Data'!$G:$G,$A$4,'Account Data'!$D:$D,$AZ$12)</f>
        <v>109253328</v>
      </c>
      <c r="BE4" s="33">
        <f>SUMIFS('Account Data'!O:O,'Account Data'!$G:$G,$A$4,'Account Data'!$D:$D,$AZ$12)</f>
        <v>110495781</v>
      </c>
      <c r="BF4" s="33">
        <f>SUMIFS('Account Data'!P:P,'Account Data'!$G:$G,$A$4,'Account Data'!$D:$D,$AZ$12)</f>
        <v>118038759</v>
      </c>
      <c r="BG4" s="33">
        <f>SUMIFS('Account Data'!Q:Q,'Account Data'!$G:$G,$A$4,'Account Data'!$D:$D,$AZ$12)</f>
        <v>101088575</v>
      </c>
      <c r="BH4" s="33">
        <f>SUMIFS('Account Data'!R:R,'Account Data'!$G:$G,$A$4,'Account Data'!$D:$D,$AZ$12)</f>
        <v>140974765</v>
      </c>
      <c r="BI4" s="33">
        <f>SUMIFS('Account Data'!S:S,'Account Data'!$G:$G,$A$4,'Account Data'!$D:$D,$AZ$12)</f>
        <v>103071591</v>
      </c>
      <c r="BJ4" s="33">
        <f>SUMIFS('Account Data'!T:T,'Account Data'!$G:$G,$A$4,'Account Data'!$D:$D,$AZ$12)</f>
        <v>140188940</v>
      </c>
      <c r="BK4" s="33">
        <f>SUMIFS('Account Data'!U:U,'Account Data'!$G:$G,$A$4,'Account Data'!$D:$D,$AZ$12)</f>
        <v>108978530</v>
      </c>
      <c r="BL4" s="42">
        <f>SUMIFS('Account Data'!V:V,'Account Data'!$G:$G,$A$4)</f>
        <v>83544111.35</v>
      </c>
      <c r="BM4" s="42">
        <f>SUMIFS('Account Data'!W:W,'Account Data'!$G:$G,$A$4)</f>
        <v>83544111.35</v>
      </c>
      <c r="BN4" s="42">
        <f>SUMIFS('Account Data'!X:X,'Account Data'!$G:$G,$A$4)</f>
        <v>167088222.7</v>
      </c>
      <c r="BO4" s="42">
        <f>SUMIFS('Account Data'!Y:Y,'Account Data'!$G:$G,$A$4)</f>
        <v>136455381.9</v>
      </c>
      <c r="BP4" s="42">
        <f>SUMIFS('Account Data'!Z:Z,'Account Data'!$G:$G,$A$4)</f>
        <v>122531363.3</v>
      </c>
      <c r="BQ4" s="42">
        <f>SUMIFS('Account Data'!AA:AA,'Account Data'!$G:$G,$A$4)</f>
        <v>313290417.6</v>
      </c>
      <c r="BR4" s="42">
        <f>SUMIFS('Account Data'!AB:AB,'Account Data'!$G:$G,$A$4)</f>
        <v>288227184.2</v>
      </c>
      <c r="BS4" s="42">
        <f>SUMIFS('Account Data'!AC:AC,'Account Data'!O:O,$A$4)</f>
        <v>0</v>
      </c>
      <c r="BT4" s="42">
        <f>SUMIFS('Account Data'!AD:AD,'Account Data'!P:P,$A$4)</f>
        <v>0</v>
      </c>
      <c r="BU4" s="42">
        <f>SUMIFS('Account Data'!AE:AE,'Account Data'!Q:Q,$A$4)</f>
        <v>0</v>
      </c>
      <c r="BV4" s="42">
        <f>SUMIFS('Account Data'!AF:AF,'Account Data'!R:R,$A$4)</f>
        <v>0</v>
      </c>
      <c r="BW4" s="42">
        <f>SUMIFS('Account Data'!AG:AG,'Account Data'!S:S,$A$4)</f>
        <v>0</v>
      </c>
      <c r="BX4" s="53">
        <f t="array" ref="BX4">XLOOKUP($B:$B,Target!$C:$C,Target!D:D)</f>
        <v>45000000</v>
      </c>
      <c r="BY4" s="53">
        <f t="array" ref="BY4">XLOOKUP($B:$B,Target!$C:$C,Target!E:E)</f>
        <v>46350000</v>
      </c>
      <c r="BZ4" s="53">
        <f t="array" ref="BZ4">XLOOKUP($B:$B,Target!$C:$C,Target!F:F)</f>
        <v>48667500</v>
      </c>
      <c r="CA4" s="53">
        <f t="array" ref="CA4">XLOOKUP($B:$B,Target!$C:$C,Target!G:G)</f>
        <v>52074225</v>
      </c>
      <c r="CB4" s="53">
        <f t="array" ref="CB4">XLOOKUP($B:$B,Target!$C:$C,Target!H:H)</f>
        <v>56240163</v>
      </c>
      <c r="CC4" s="53">
        <f t="array" ref="CC4">XLOOKUP($B:$B,Target!$C:$C,Target!I:I)</f>
        <v>61864179.3</v>
      </c>
      <c r="CD4" s="53">
        <f t="array" ref="CD4">XLOOKUP($B:$B,Target!$C:$C,Target!J:J)</f>
        <v>68978559.92</v>
      </c>
      <c r="CE4" s="53">
        <f t="array" ref="CE4">XLOOKUP($B:$B,Target!$C:$C,Target!K:K)</f>
        <v>77255987.11</v>
      </c>
      <c r="CF4" s="53">
        <f t="array" ref="CF4">XLOOKUP($B:$B,Target!$C:$C,Target!L:L)</f>
        <v>88844385.18</v>
      </c>
      <c r="CG4" s="53">
        <f t="array" ref="CG4">XLOOKUP($B:$B,Target!$C:$C,Target!M:M)</f>
        <v>103059486.8</v>
      </c>
      <c r="CH4" s="53">
        <f t="array" ref="CH4">XLOOKUP($B:$B,Target!$C:$C,Target!N:N)</f>
        <v>121094897</v>
      </c>
      <c r="CI4" s="53">
        <f t="array" ref="CI4">XLOOKUP($B:$B,Target!$C:$C,Target!O:O)</f>
        <v>144102927.4</v>
      </c>
    </row>
    <row r="5">
      <c r="A5" s="11" t="str">
        <f>'Account Manager Data'!A:A</f>
        <v>AM004</v>
      </c>
      <c r="B5" s="11" t="str">
        <f>'Account Manager Data'!B:B</f>
        <v>Eko Prasetyo</v>
      </c>
      <c r="C5" s="11" t="str">
        <f>'Account Manager Data'!C:C</f>
        <v>Papua</v>
      </c>
      <c r="D5" s="28">
        <f t="array" ref="D5">XLOOKUP($B:$B,Target!$C:$C,Target!Q:Q,0)</f>
        <v>55696074.24</v>
      </c>
      <c r="E5" s="28">
        <f t="array" ref="E5">XLOOKUP($B:$B,Target!$C:$C,Target!R:R,0)</f>
        <v>69620092.79</v>
      </c>
      <c r="F5" s="28">
        <f t="array" ref="F5">XLOOKUP($B:$B,Target!$C:$C,Target!S:S,0)</f>
        <v>83544111.35</v>
      </c>
      <c r="G5" s="28">
        <f t="array" ref="G5">XLOOKUP($B:$B,Target!$C:$C,Target!T:T,0)</f>
        <v>97468129.91</v>
      </c>
      <c r="H5" s="28">
        <f t="array" ref="H5">XLOOKUP($B:$B,Target!$C:$C,Target!U:U,0)</f>
        <v>111392148.5</v>
      </c>
      <c r="I5" s="28">
        <f t="array" ref="I5">XLOOKUP($B:$B,Target!$C:$C,Target!V:V,0)</f>
        <v>125316167</v>
      </c>
      <c r="J5" s="28">
        <f t="array" ref="J5">XLOOKUP($B:$B,Target!$C:$C,Target!W:W,0)</f>
        <v>125316167</v>
      </c>
      <c r="K5" s="28">
        <f t="array" ref="K5">XLOOKUP($B:$B,Target!$C:$C,Target!X:X,0)</f>
        <v>125316167</v>
      </c>
      <c r="L5" s="28">
        <f t="array" ref="L5">XLOOKUP($B:$B,Target!$C:$C,Target!Y:Y,0)</f>
        <v>139240185.6</v>
      </c>
      <c r="M5" s="28">
        <f t="array" ref="M5">XLOOKUP($B:$B,Target!$C:$C,Target!Z:Z,0)</f>
        <v>139240185.6</v>
      </c>
      <c r="N5" s="28">
        <f t="array" ref="N5">XLOOKUP($B:$B,Target!$C:$C,Target!AA:AA,0)</f>
        <v>153164204.1</v>
      </c>
      <c r="O5" s="28">
        <f t="array" ref="O5">XLOOKUP($B:$B,Target!$C:$C,Target!AB:AB,0)</f>
        <v>167088222.7</v>
      </c>
      <c r="P5" s="29">
        <f t="shared" ref="P5:AA5" si="7">D5*7</f>
        <v>389872519.6</v>
      </c>
      <c r="Q5" s="29">
        <f t="shared" si="7"/>
        <v>487340649.6</v>
      </c>
      <c r="R5" s="29">
        <f t="shared" si="7"/>
        <v>584808779.5</v>
      </c>
      <c r="S5" s="29">
        <f t="shared" si="7"/>
        <v>682276909.4</v>
      </c>
      <c r="T5" s="29">
        <f t="shared" si="7"/>
        <v>779745039.3</v>
      </c>
      <c r="U5" s="29">
        <f t="shared" si="7"/>
        <v>877213169.2</v>
      </c>
      <c r="V5" s="29">
        <f t="shared" si="7"/>
        <v>877213169.2</v>
      </c>
      <c r="W5" s="29">
        <f t="shared" si="7"/>
        <v>877213169.2</v>
      </c>
      <c r="X5" s="29">
        <f t="shared" si="7"/>
        <v>974681299.1</v>
      </c>
      <c r="Y5" s="29">
        <f t="shared" si="7"/>
        <v>974681299.1</v>
      </c>
      <c r="Z5" s="29">
        <f t="shared" si="7"/>
        <v>1072149429</v>
      </c>
      <c r="AA5" s="29">
        <f t="shared" si="7"/>
        <v>1169617559</v>
      </c>
      <c r="AB5" s="30">
        <f t="shared" ref="AB5:AM5" si="8">D5*1.5</f>
        <v>83544111.35</v>
      </c>
      <c r="AC5" s="30">
        <f t="shared" si="8"/>
        <v>104430139.2</v>
      </c>
      <c r="AD5" s="30">
        <f t="shared" si="8"/>
        <v>125316167</v>
      </c>
      <c r="AE5" s="30">
        <f t="shared" si="8"/>
        <v>146202194.9</v>
      </c>
      <c r="AF5" s="30">
        <f t="shared" si="8"/>
        <v>167088222.7</v>
      </c>
      <c r="AG5" s="30">
        <f t="shared" si="8"/>
        <v>187974250.5</v>
      </c>
      <c r="AH5" s="30">
        <f t="shared" si="8"/>
        <v>187974250.5</v>
      </c>
      <c r="AI5" s="30">
        <f t="shared" si="8"/>
        <v>187974250.5</v>
      </c>
      <c r="AJ5" s="30">
        <f t="shared" si="8"/>
        <v>208860278.4</v>
      </c>
      <c r="AK5" s="30">
        <f t="shared" si="8"/>
        <v>208860278.4</v>
      </c>
      <c r="AL5" s="30">
        <f t="shared" si="8"/>
        <v>229746306.2</v>
      </c>
      <c r="AM5" s="30">
        <f t="shared" si="8"/>
        <v>250632334.1</v>
      </c>
      <c r="AN5" s="31">
        <f>SUMIFS('Account Data'!J:J,'Account Data'!$G:$G,A5)</f>
        <v>428435099</v>
      </c>
      <c r="AO5" s="31">
        <f>SUMIFS('Account Data'!K:K,'Account Data'!$G:$G,A5)</f>
        <v>389813358</v>
      </c>
      <c r="AP5" s="31">
        <f>SUMIFS('Account Data'!L:L,'Account Data'!$G:$G,A5)</f>
        <v>472892993</v>
      </c>
      <c r="AQ5" s="31">
        <f>SUMIFS('Account Data'!M:M,'Account Data'!$G:$G,A5)</f>
        <v>550238775</v>
      </c>
      <c r="AR5" s="31">
        <f>SUMIFS('Account Data'!N:N,'Account Data'!$G:$G,A5)</f>
        <v>663118122</v>
      </c>
      <c r="AS5" s="31">
        <f>SUMIFS('Account Data'!O:O,'Account Data'!$G:$G,A5)</f>
        <v>647502363</v>
      </c>
      <c r="AT5" s="31">
        <f>SUMIFS('Account Data'!P:P,'Account Data'!$G:$G,A5)</f>
        <v>751679515</v>
      </c>
      <c r="AU5" s="31">
        <f>SUMIFS('Account Data'!Q:Q,'Account Data'!$G:$G,A5)</f>
        <v>661143688</v>
      </c>
      <c r="AV5" s="31">
        <f>SUMIFS('Account Data'!R:R,'Account Data'!$G:$G,A5)</f>
        <v>797704852</v>
      </c>
      <c r="AW5" s="31">
        <f>SUMIFS('Account Data'!S:S,'Account Data'!$G:$G,A5)</f>
        <v>828922209</v>
      </c>
      <c r="AX5" s="31">
        <f>SUMIFS('Account Data'!T:T,'Account Data'!$G:$G,A5)</f>
        <v>916570667</v>
      </c>
      <c r="AY5" s="31">
        <f>SUMIFS('Account Data'!U:U,'Account Data'!$G:$G,A5)</f>
        <v>869637475</v>
      </c>
      <c r="AZ5" s="33">
        <f>SUMIFS('Account Data'!J:J,'Account Data'!$G:$G,$A$5,'Account Data'!$D:$D,$AZ$12)</f>
        <v>50517356</v>
      </c>
      <c r="BA5" s="33">
        <f>SUMIFS('Account Data'!K:K,'Account Data'!$G:$G,$A$5,'Account Data'!$D:$D,$AZ$12)</f>
        <v>43018322</v>
      </c>
      <c r="BB5" s="33">
        <f>SUMIFS('Account Data'!L:L,'Account Data'!$G:$G,$A$5,'Account Data'!$D:$D,$AZ$12)</f>
        <v>45126071</v>
      </c>
      <c r="BC5" s="33">
        <f>SUMIFS('Account Data'!M:M,'Account Data'!$G:$G,$A$5,'Account Data'!$D:$D,$AZ$12)</f>
        <v>62395533</v>
      </c>
      <c r="BD5" s="33">
        <f>SUMIFS('Account Data'!N:N,'Account Data'!$G:$G,$A$5,'Account Data'!$D:$D,$AZ$12)</f>
        <v>62051907</v>
      </c>
      <c r="BE5" s="33">
        <f>SUMIFS('Account Data'!O:O,'Account Data'!$G:$G,$A$5,'Account Data'!$D:$D,$AZ$12)</f>
        <v>91221984</v>
      </c>
      <c r="BF5" s="33">
        <f>SUMIFS('Account Data'!P:P,'Account Data'!$G:$G,$A$5,'Account Data'!$D:$D,$AZ$12)</f>
        <v>104036344</v>
      </c>
      <c r="BG5" s="33">
        <f>SUMIFS('Account Data'!Q:Q,'Account Data'!$G:$G,$A$5,'Account Data'!$D:$D,$AZ$12)</f>
        <v>67109938</v>
      </c>
      <c r="BH5" s="33">
        <f>SUMIFS('Account Data'!R:R,'Account Data'!$G:$G,$A$5,'Account Data'!$D:$D,$AZ$12)</f>
        <v>95132889</v>
      </c>
      <c r="BI5" s="33">
        <f>SUMIFS('Account Data'!S:S,'Account Data'!$G:$G,$A$5,'Account Data'!$D:$D,$AZ$12)</f>
        <v>81109500</v>
      </c>
      <c r="BJ5" s="33">
        <f>SUMIFS('Account Data'!T:T,'Account Data'!$G:$G,$A$5,'Account Data'!$D:$D,$AZ$12)</f>
        <v>99402796</v>
      </c>
      <c r="BK5" s="33">
        <f>SUMIFS('Account Data'!U:U,'Account Data'!$G:$G,$A$5,'Account Data'!$D:$D,$AZ$12)</f>
        <v>83239006</v>
      </c>
      <c r="BL5" s="42">
        <f>SUMIFS('Account Data'!V:V,'Account Data'!$G:$G,$A$5)</f>
        <v>83544111.35</v>
      </c>
      <c r="BM5" s="42">
        <f>SUMIFS('Account Data'!W:W,'Account Data'!$G:$G,$A$5)</f>
        <v>83544111.35</v>
      </c>
      <c r="BN5" s="42">
        <f>SUMIFS('Account Data'!X:X,'Account Data'!$G:$G,$A$5)</f>
        <v>167088222.7</v>
      </c>
      <c r="BO5" s="42">
        <f>SUMIFS('Account Data'!Y:Y,'Account Data'!$G:$G,$A$5)</f>
        <v>136455381.9</v>
      </c>
      <c r="BP5" s="42">
        <f>SUMIFS('Account Data'!Z:Z,'Account Data'!$G:$G,$A$5)</f>
        <v>122531363.3</v>
      </c>
      <c r="BQ5" s="42">
        <f>SUMIFS('Account Data'!AA:AA,'Account Data'!$G:$G,$A$5)</f>
        <v>313290417.6</v>
      </c>
      <c r="BR5" s="42">
        <f>SUMIFS('Account Data'!AB:AB,'Account Data'!$G:$G,$A$5)</f>
        <v>288227184.2</v>
      </c>
      <c r="BS5" s="42">
        <f>SUMIFS('Account Data'!AC:AC,'Account Data'!O:O,$A$5)</f>
        <v>0</v>
      </c>
      <c r="BT5" s="42">
        <f>SUMIFS('Account Data'!AD:AD,'Account Data'!P:P,$A$5)</f>
        <v>0</v>
      </c>
      <c r="BU5" s="42">
        <f>SUMIFS('Account Data'!AE:AE,'Account Data'!Q:Q,$A$5)</f>
        <v>0</v>
      </c>
      <c r="BV5" s="42">
        <f>SUMIFS('Account Data'!AF:AF,'Account Data'!R:R,$A$5)</f>
        <v>0</v>
      </c>
      <c r="BW5" s="42">
        <f>SUMIFS('Account Data'!AG:AG,'Account Data'!S:S,$A$5)</f>
        <v>0</v>
      </c>
      <c r="BX5" s="53">
        <f t="array" ref="BX5">XLOOKUP($B:$B,Target!$C:$C,Target!D:D)</f>
        <v>60000000</v>
      </c>
      <c r="BY5" s="53">
        <f t="array" ref="BY5">XLOOKUP($B:$B,Target!$C:$C,Target!E:E)</f>
        <v>66000000</v>
      </c>
      <c r="BZ5" s="53">
        <f t="array" ref="BZ5">XLOOKUP($B:$B,Target!$C:$C,Target!F:F)</f>
        <v>76560000</v>
      </c>
      <c r="CA5" s="53">
        <f t="array" ref="CA5">XLOOKUP($B:$B,Target!$C:$C,Target!G:G)</f>
        <v>89575200</v>
      </c>
      <c r="CB5" s="53">
        <f t="array" ref="CB5">XLOOKUP($B:$B,Target!$C:$C,Target!H:H)</f>
        <v>104355108</v>
      </c>
      <c r="CC5" s="53">
        <f t="array" ref="CC5">XLOOKUP($B:$B,Target!$C:$C,Target!I:I)</f>
        <v>124182578.5</v>
      </c>
      <c r="CD5" s="53">
        <f t="array" ref="CD5">XLOOKUP($B:$B,Target!$C:$C,Target!J:J)</f>
        <v>146535442.7</v>
      </c>
      <c r="CE5" s="53">
        <f t="array" ref="CE5">XLOOKUP($B:$B,Target!$C:$C,Target!K:K)</f>
        <v>175109854</v>
      </c>
      <c r="CF5" s="53">
        <f t="array" ref="CF5">XLOOKUP($B:$B,Target!$C:$C,Target!L:L)</f>
        <v>210131824.8</v>
      </c>
      <c r="CG5" s="53">
        <f t="array" ref="CG5">XLOOKUP($B:$B,Target!$C:$C,Target!M:M)</f>
        <v>256360826.2</v>
      </c>
      <c r="CH5" s="53">
        <f t="array" ref="CH5">XLOOKUP($B:$B,Target!$C:$C,Target!N:N)</f>
        <v>285842321.2</v>
      </c>
      <c r="CI5" s="53">
        <f t="array" ref="CI5">XLOOKUP($B:$B,Target!$C:$C,Target!O:O)</f>
        <v>371595017.6</v>
      </c>
    </row>
    <row r="6">
      <c r="A6" s="11" t="str">
        <f>'Account Manager Data'!A:A</f>
        <v>AM005</v>
      </c>
      <c r="B6" s="11" t="str">
        <f>'Account Manager Data'!B:B</f>
        <v>Fajar Ramadhan</v>
      </c>
      <c r="C6" s="11" t="str">
        <f>'Account Manager Data'!C:C</f>
        <v>Sulawesi</v>
      </c>
      <c r="D6" s="28">
        <f t="array" ref="D6">XLOOKUP($B:$B,Target!$C:$C,Target!Q:Q,0)</f>
        <v>55696074.24</v>
      </c>
      <c r="E6" s="28">
        <f t="array" ref="E6">XLOOKUP($B:$B,Target!$C:$C,Target!R:R,0)</f>
        <v>69620092.79</v>
      </c>
      <c r="F6" s="28">
        <f t="array" ref="F6">XLOOKUP($B:$B,Target!$C:$C,Target!S:S,0)</f>
        <v>83544111.35</v>
      </c>
      <c r="G6" s="28">
        <f t="array" ref="G6">XLOOKUP($B:$B,Target!$C:$C,Target!T:T,0)</f>
        <v>97468129.91</v>
      </c>
      <c r="H6" s="28">
        <f t="array" ref="H6">XLOOKUP($B:$B,Target!$C:$C,Target!U:U,0)</f>
        <v>111392148.5</v>
      </c>
      <c r="I6" s="28">
        <f t="array" ref="I6">XLOOKUP($B:$B,Target!$C:$C,Target!V:V,0)</f>
        <v>125316167</v>
      </c>
      <c r="J6" s="28">
        <f t="array" ref="J6">XLOOKUP($B:$B,Target!$C:$C,Target!W:W,0)</f>
        <v>125316167</v>
      </c>
      <c r="K6" s="28">
        <f t="array" ref="K6">XLOOKUP($B:$B,Target!$C:$C,Target!X:X,0)</f>
        <v>125316167</v>
      </c>
      <c r="L6" s="28">
        <f t="array" ref="L6">XLOOKUP($B:$B,Target!$C:$C,Target!Y:Y,0)</f>
        <v>139240185.6</v>
      </c>
      <c r="M6" s="28">
        <f t="array" ref="M6">XLOOKUP($B:$B,Target!$C:$C,Target!Z:Z,0)</f>
        <v>139240185.6</v>
      </c>
      <c r="N6" s="28">
        <f t="array" ref="N6">XLOOKUP($B:$B,Target!$C:$C,Target!AA:AA,0)</f>
        <v>153164204.1</v>
      </c>
      <c r="O6" s="28">
        <f t="array" ref="O6">XLOOKUP($B:$B,Target!$C:$C,Target!AB:AB,0)</f>
        <v>167088222.7</v>
      </c>
      <c r="P6" s="29">
        <f t="shared" ref="P6:AA6" si="9">D6*7</f>
        <v>389872519.6</v>
      </c>
      <c r="Q6" s="29">
        <f t="shared" si="9"/>
        <v>487340649.6</v>
      </c>
      <c r="R6" s="29">
        <f t="shared" si="9"/>
        <v>584808779.5</v>
      </c>
      <c r="S6" s="29">
        <f t="shared" si="9"/>
        <v>682276909.4</v>
      </c>
      <c r="T6" s="29">
        <f t="shared" si="9"/>
        <v>779745039.3</v>
      </c>
      <c r="U6" s="29">
        <f t="shared" si="9"/>
        <v>877213169.2</v>
      </c>
      <c r="V6" s="29">
        <f t="shared" si="9"/>
        <v>877213169.2</v>
      </c>
      <c r="W6" s="29">
        <f t="shared" si="9"/>
        <v>877213169.2</v>
      </c>
      <c r="X6" s="29">
        <f t="shared" si="9"/>
        <v>974681299.1</v>
      </c>
      <c r="Y6" s="29">
        <f t="shared" si="9"/>
        <v>974681299.1</v>
      </c>
      <c r="Z6" s="29">
        <f t="shared" si="9"/>
        <v>1072149429</v>
      </c>
      <c r="AA6" s="29">
        <f t="shared" si="9"/>
        <v>1169617559</v>
      </c>
      <c r="AB6" s="30">
        <f t="shared" ref="AB6:AM6" si="10">D6*1.5</f>
        <v>83544111.35</v>
      </c>
      <c r="AC6" s="30">
        <f t="shared" si="10"/>
        <v>104430139.2</v>
      </c>
      <c r="AD6" s="30">
        <f t="shared" si="10"/>
        <v>125316167</v>
      </c>
      <c r="AE6" s="30">
        <f t="shared" si="10"/>
        <v>146202194.9</v>
      </c>
      <c r="AF6" s="30">
        <f t="shared" si="10"/>
        <v>167088222.7</v>
      </c>
      <c r="AG6" s="30">
        <f t="shared" si="10"/>
        <v>187974250.5</v>
      </c>
      <c r="AH6" s="30">
        <f t="shared" si="10"/>
        <v>187974250.5</v>
      </c>
      <c r="AI6" s="30">
        <f t="shared" si="10"/>
        <v>187974250.5</v>
      </c>
      <c r="AJ6" s="30">
        <f t="shared" si="10"/>
        <v>208860278.4</v>
      </c>
      <c r="AK6" s="30">
        <f t="shared" si="10"/>
        <v>208860278.4</v>
      </c>
      <c r="AL6" s="30">
        <f t="shared" si="10"/>
        <v>229746306.2</v>
      </c>
      <c r="AM6" s="30">
        <f t="shared" si="10"/>
        <v>250632334.1</v>
      </c>
      <c r="AN6" s="31">
        <f>SUMIFS('Account Data'!J:J,'Account Data'!$G:$G,A6)</f>
        <v>389342084</v>
      </c>
      <c r="AO6" s="31">
        <f>SUMIFS('Account Data'!K:K,'Account Data'!$G:$G,A6)</f>
        <v>494961811</v>
      </c>
      <c r="AP6" s="31">
        <f>SUMIFS('Account Data'!L:L,'Account Data'!$G:$G,A6)</f>
        <v>545959786</v>
      </c>
      <c r="AQ6" s="31">
        <f>SUMIFS('Account Data'!M:M,'Account Data'!$G:$G,A6)</f>
        <v>573539619</v>
      </c>
      <c r="AR6" s="31">
        <f>SUMIFS('Account Data'!N:N,'Account Data'!$G:$G,A6)</f>
        <v>688941561</v>
      </c>
      <c r="AS6" s="31">
        <f>SUMIFS('Account Data'!O:O,'Account Data'!$G:$G,A6)</f>
        <v>693020048</v>
      </c>
      <c r="AT6" s="31">
        <f>SUMIFS('Account Data'!P:P,'Account Data'!$G:$G,A6)</f>
        <v>747536635</v>
      </c>
      <c r="AU6" s="31">
        <f>SUMIFS('Account Data'!Q:Q,'Account Data'!$G:$G,A6)</f>
        <v>745831519</v>
      </c>
      <c r="AV6" s="31">
        <f>SUMIFS('Account Data'!R:R,'Account Data'!$G:$G,A6)</f>
        <v>724222162</v>
      </c>
      <c r="AW6" s="31">
        <f>SUMIFS('Account Data'!S:S,'Account Data'!$G:$G,A6)</f>
        <v>760770003</v>
      </c>
      <c r="AX6" s="31">
        <f>SUMIFS('Account Data'!T:T,'Account Data'!$G:$G,A6)</f>
        <v>901998789</v>
      </c>
      <c r="AY6" s="31">
        <f>SUMIFS('Account Data'!U:U,'Account Data'!$G:$G,A6)</f>
        <v>864131072</v>
      </c>
      <c r="AZ6" s="33">
        <f>SUMIFS('Account Data'!J:J,'Account Data'!$G:$G,$A$6,'Account Data'!$D:$D,$AZ$12)</f>
        <v>60355522</v>
      </c>
      <c r="BA6" s="33">
        <f>SUMIFS('Account Data'!K:K,'Account Data'!$G:$G,$A$6,'Account Data'!$D:$D,$AZ$12)</f>
        <v>77742902</v>
      </c>
      <c r="BB6" s="33">
        <f>SUMIFS('Account Data'!L:L,'Account Data'!$G:$G,$A$6,'Account Data'!$D:$D,$AZ$12)</f>
        <v>83346384</v>
      </c>
      <c r="BC6" s="33">
        <f>SUMIFS('Account Data'!M:M,'Account Data'!$G:$G,$A$6,'Account Data'!$D:$D,$AZ$12)</f>
        <v>80313087</v>
      </c>
      <c r="BD6" s="33">
        <f>SUMIFS('Account Data'!N:N,'Account Data'!$G:$G,$A$6,'Account Data'!$D:$D,$AZ$12)</f>
        <v>130612671</v>
      </c>
      <c r="BE6" s="33">
        <f>SUMIFS('Account Data'!O:O,'Account Data'!$G:$G,$A$6,'Account Data'!$D:$D,$AZ$12)</f>
        <v>135821356</v>
      </c>
      <c r="BF6" s="33">
        <f>SUMIFS('Account Data'!P:P,'Account Data'!$G:$G,$A$6,'Account Data'!$D:$D,$AZ$12)</f>
        <v>144677997</v>
      </c>
      <c r="BG6" s="33">
        <f>SUMIFS('Account Data'!Q:Q,'Account Data'!$G:$G,$A$6,'Account Data'!$D:$D,$AZ$12)</f>
        <v>136639085</v>
      </c>
      <c r="BH6" s="33">
        <f>SUMIFS('Account Data'!R:R,'Account Data'!$G:$G,$A$6,'Account Data'!$D:$D,$AZ$12)</f>
        <v>132751214</v>
      </c>
      <c r="BI6" s="33">
        <f>SUMIFS('Account Data'!S:S,'Account Data'!$G:$G,$A$6,'Account Data'!$D:$D,$AZ$12)</f>
        <v>137190488</v>
      </c>
      <c r="BJ6" s="33">
        <f>SUMIFS('Account Data'!T:T,'Account Data'!$G:$G,$A$6,'Account Data'!$D:$D,$AZ$12)</f>
        <v>125710542</v>
      </c>
      <c r="BK6" s="33">
        <f>SUMIFS('Account Data'!U:U,'Account Data'!$G:$G,$A$6,'Account Data'!$D:$D,$AZ$12)</f>
        <v>117261133</v>
      </c>
      <c r="BL6" s="42">
        <f>SUMIFS('Account Data'!V:V,'Account Data'!$G:$G,$A$6)</f>
        <v>83544111.35</v>
      </c>
      <c r="BM6" s="42">
        <f>SUMIFS('Account Data'!W:W,'Account Data'!$G:$G,$A$6)</f>
        <v>83544111.35</v>
      </c>
      <c r="BN6" s="42">
        <f>SUMIFS('Account Data'!X:X,'Account Data'!$G:$G,$A$6)</f>
        <v>167088222.7</v>
      </c>
      <c r="BO6" s="42">
        <f>SUMIFS('Account Data'!Y:Y,'Account Data'!$G:$G,$A$6)</f>
        <v>136455381.9</v>
      </c>
      <c r="BP6" s="42">
        <f>SUMIFS('Account Data'!Z:Z,'Account Data'!$G:$G,$A$6)</f>
        <v>122531363.3</v>
      </c>
      <c r="BQ6" s="42">
        <f>SUMIFS('Account Data'!AA:AA,'Account Data'!$G:$G,$A$6)</f>
        <v>313290417.6</v>
      </c>
      <c r="BR6" s="42">
        <f>SUMIFS('Account Data'!AB:AB,'Account Data'!$G:$G,$A$6)</f>
        <v>288227184.2</v>
      </c>
      <c r="BS6" s="42">
        <f>SUMIFS('Account Data'!AC:AC,'Account Data'!O:O,$A$6)</f>
        <v>0</v>
      </c>
      <c r="BT6" s="42">
        <f>SUMIFS('Account Data'!AD:AD,'Account Data'!P:P,$A$6)</f>
        <v>0</v>
      </c>
      <c r="BU6" s="42">
        <f>SUMIFS('Account Data'!AE:AE,'Account Data'!Q:Q,$A$6)</f>
        <v>0</v>
      </c>
      <c r="BV6" s="42">
        <f>SUMIFS('Account Data'!AF:AF,'Account Data'!R:R,$A$6)</f>
        <v>0</v>
      </c>
      <c r="BW6" s="42">
        <f>SUMIFS('Account Data'!AG:AG,'Account Data'!S:S,$A$6)</f>
        <v>0</v>
      </c>
      <c r="BX6" s="53">
        <f t="array" ref="BX6">XLOOKUP($B:$B,Target!$C:$C,Target!D:D)</f>
        <v>40000000</v>
      </c>
      <c r="BY6" s="53">
        <f t="array" ref="BY6">XLOOKUP($B:$B,Target!$C:$C,Target!E:E)</f>
        <v>43600000</v>
      </c>
      <c r="BZ6" s="53">
        <f t="array" ref="BZ6">XLOOKUP($B:$B,Target!$C:$C,Target!F:F)</f>
        <v>48396000</v>
      </c>
      <c r="CA6" s="53">
        <f t="array" ref="CA6">XLOOKUP($B:$B,Target!$C:$C,Target!G:G)</f>
        <v>54203520</v>
      </c>
      <c r="CB6" s="53">
        <f t="array" ref="CB6">XLOOKUP($B:$B,Target!$C:$C,Target!H:H)</f>
        <v>61249977.6</v>
      </c>
      <c r="CC6" s="53">
        <f t="array" ref="CC6">XLOOKUP($B:$B,Target!$C:$C,Target!I:I)</f>
        <v>69824974.46</v>
      </c>
      <c r="CD6" s="53">
        <f t="array" ref="CD6">XLOOKUP($B:$B,Target!$C:$C,Target!J:J)</f>
        <v>80298720.63</v>
      </c>
      <c r="CE6" s="53">
        <f t="array" ref="CE6">XLOOKUP($B:$B,Target!$C:$C,Target!K:K)</f>
        <v>93146515.93</v>
      </c>
      <c r="CF6" s="53">
        <f t="array" ref="CF6">XLOOKUP($B:$B,Target!$C:$C,Target!L:L)</f>
        <v>109912888.8</v>
      </c>
      <c r="CG6" s="53">
        <f t="array" ref="CG6">XLOOKUP($B:$B,Target!$C:$C,Target!M:M)</f>
        <v>131895466.6</v>
      </c>
      <c r="CH6" s="53">
        <f t="array" ref="CH6">XLOOKUP($B:$B,Target!$C:$C,Target!N:N)</f>
        <v>158934037.2</v>
      </c>
      <c r="CI6" s="53">
        <f t="array" ref="CI6">XLOOKUP($B:$B,Target!$C:$C,Target!O:O)</f>
        <v>190720844.7</v>
      </c>
    </row>
    <row r="7">
      <c r="A7" s="11" t="str">
        <f>'Account Manager Data'!A:A</f>
        <v>AM006</v>
      </c>
      <c r="B7" s="11" t="str">
        <f>'Account Manager Data'!B:B</f>
        <v>Hendra Gunawan</v>
      </c>
      <c r="C7" s="11" t="str">
        <f>'Account Manager Data'!C:C</f>
        <v>Kalimantan</v>
      </c>
      <c r="D7" s="28">
        <f t="array" ref="D7">XLOOKUP($B:$B,Target!$C:$C,Target!Q:Q,0)</f>
        <v>55696074.24</v>
      </c>
      <c r="E7" s="28">
        <f t="array" ref="E7">XLOOKUP($B:$B,Target!$C:$C,Target!R:R,0)</f>
        <v>69620092.79</v>
      </c>
      <c r="F7" s="28">
        <f t="array" ref="F7">XLOOKUP($B:$B,Target!$C:$C,Target!S:S,0)</f>
        <v>83544111.35</v>
      </c>
      <c r="G7" s="28">
        <f t="array" ref="G7">XLOOKUP($B:$B,Target!$C:$C,Target!T:T,0)</f>
        <v>97468129.91</v>
      </c>
      <c r="H7" s="28">
        <f t="array" ref="H7">XLOOKUP($B:$B,Target!$C:$C,Target!U:U,0)</f>
        <v>111392148.5</v>
      </c>
      <c r="I7" s="28">
        <f t="array" ref="I7">XLOOKUP($B:$B,Target!$C:$C,Target!V:V,0)</f>
        <v>125316167</v>
      </c>
      <c r="J7" s="28">
        <f t="array" ref="J7">XLOOKUP($B:$B,Target!$C:$C,Target!W:W,0)</f>
        <v>125316167</v>
      </c>
      <c r="K7" s="28">
        <f t="array" ref="K7">XLOOKUP($B:$B,Target!$C:$C,Target!X:X,0)</f>
        <v>125316167</v>
      </c>
      <c r="L7" s="28">
        <f t="array" ref="L7">XLOOKUP($B:$B,Target!$C:$C,Target!Y:Y,0)</f>
        <v>139240185.6</v>
      </c>
      <c r="M7" s="28">
        <f t="array" ref="M7">XLOOKUP($B:$B,Target!$C:$C,Target!Z:Z,0)</f>
        <v>139240185.6</v>
      </c>
      <c r="N7" s="28">
        <f t="array" ref="N7">XLOOKUP($B:$B,Target!$C:$C,Target!AA:AA,0)</f>
        <v>153164204.1</v>
      </c>
      <c r="O7" s="28">
        <f t="array" ref="O7">XLOOKUP($B:$B,Target!$C:$C,Target!AB:AB,0)</f>
        <v>167088222.7</v>
      </c>
      <c r="P7" s="29">
        <f t="shared" ref="P7:AA7" si="11">D7*7</f>
        <v>389872519.6</v>
      </c>
      <c r="Q7" s="29">
        <f t="shared" si="11"/>
        <v>487340649.6</v>
      </c>
      <c r="R7" s="29">
        <f t="shared" si="11"/>
        <v>584808779.5</v>
      </c>
      <c r="S7" s="29">
        <f t="shared" si="11"/>
        <v>682276909.4</v>
      </c>
      <c r="T7" s="29">
        <f t="shared" si="11"/>
        <v>779745039.3</v>
      </c>
      <c r="U7" s="29">
        <f t="shared" si="11"/>
        <v>877213169.2</v>
      </c>
      <c r="V7" s="29">
        <f t="shared" si="11"/>
        <v>877213169.2</v>
      </c>
      <c r="W7" s="29">
        <f t="shared" si="11"/>
        <v>877213169.2</v>
      </c>
      <c r="X7" s="29">
        <f t="shared" si="11"/>
        <v>974681299.1</v>
      </c>
      <c r="Y7" s="29">
        <f t="shared" si="11"/>
        <v>974681299.1</v>
      </c>
      <c r="Z7" s="29">
        <f t="shared" si="11"/>
        <v>1072149429</v>
      </c>
      <c r="AA7" s="29">
        <f t="shared" si="11"/>
        <v>1169617559</v>
      </c>
      <c r="AB7" s="30">
        <f t="shared" ref="AB7:AM7" si="12">D7*1.5</f>
        <v>83544111.35</v>
      </c>
      <c r="AC7" s="30">
        <f t="shared" si="12"/>
        <v>104430139.2</v>
      </c>
      <c r="AD7" s="30">
        <f t="shared" si="12"/>
        <v>125316167</v>
      </c>
      <c r="AE7" s="30">
        <f t="shared" si="12"/>
        <v>146202194.9</v>
      </c>
      <c r="AF7" s="30">
        <f t="shared" si="12"/>
        <v>167088222.7</v>
      </c>
      <c r="AG7" s="30">
        <f t="shared" si="12"/>
        <v>187974250.5</v>
      </c>
      <c r="AH7" s="30">
        <f t="shared" si="12"/>
        <v>187974250.5</v>
      </c>
      <c r="AI7" s="30">
        <f t="shared" si="12"/>
        <v>187974250.5</v>
      </c>
      <c r="AJ7" s="30">
        <f t="shared" si="12"/>
        <v>208860278.4</v>
      </c>
      <c r="AK7" s="30">
        <f t="shared" si="12"/>
        <v>208860278.4</v>
      </c>
      <c r="AL7" s="30">
        <f t="shared" si="12"/>
        <v>229746306.2</v>
      </c>
      <c r="AM7" s="30">
        <f t="shared" si="12"/>
        <v>250632334.1</v>
      </c>
      <c r="AN7" s="31">
        <f>SUMIFS('Account Data'!J:J,'Account Data'!$G:$G,A7)</f>
        <v>391792058</v>
      </c>
      <c r="AO7" s="31">
        <f>SUMIFS('Account Data'!K:K,'Account Data'!$G:$G,A7)</f>
        <v>442697482</v>
      </c>
      <c r="AP7" s="31">
        <f>SUMIFS('Account Data'!L:L,'Account Data'!$G:$G,A7)</f>
        <v>540826156</v>
      </c>
      <c r="AQ7" s="31">
        <f>SUMIFS('Account Data'!M:M,'Account Data'!$G:$G,A7)</f>
        <v>584428672</v>
      </c>
      <c r="AR7" s="31">
        <f>SUMIFS('Account Data'!N:N,'Account Data'!$G:$G,A7)</f>
        <v>742668814</v>
      </c>
      <c r="AS7" s="31">
        <f>SUMIFS('Account Data'!O:O,'Account Data'!$G:$G,A7)</f>
        <v>739895395</v>
      </c>
      <c r="AT7" s="31">
        <f>SUMIFS('Account Data'!P:P,'Account Data'!$G:$G,A7)</f>
        <v>774563689</v>
      </c>
      <c r="AU7" s="31">
        <f>SUMIFS('Account Data'!Q:Q,'Account Data'!$G:$G,A7)</f>
        <v>865655972</v>
      </c>
      <c r="AV7" s="31">
        <f>SUMIFS('Account Data'!R:R,'Account Data'!$G:$G,A7)</f>
        <v>848661144</v>
      </c>
      <c r="AW7" s="31">
        <f>SUMIFS('Account Data'!S:S,'Account Data'!$G:$G,A7)</f>
        <v>796457633</v>
      </c>
      <c r="AX7" s="31">
        <f>SUMIFS('Account Data'!T:T,'Account Data'!$G:$G,A7)</f>
        <v>955793954</v>
      </c>
      <c r="AY7" s="31">
        <f>SUMIFS('Account Data'!U:U,'Account Data'!$G:$G,A7)</f>
        <v>823708521</v>
      </c>
      <c r="AZ7" s="33">
        <f>SUMIFS('Account Data'!J:J,'Account Data'!$G:$G,$A$7,'Account Data'!$D:$D,$AZ$12)</f>
        <v>45952404</v>
      </c>
      <c r="BA7" s="33">
        <f>SUMIFS('Account Data'!K:K,'Account Data'!$G:$G,$A$7,'Account Data'!$D:$D,$AZ$12)</f>
        <v>60735667</v>
      </c>
      <c r="BB7" s="33">
        <f>SUMIFS('Account Data'!L:L,'Account Data'!$G:$G,$A$7,'Account Data'!$D:$D,$AZ$12)</f>
        <v>76802989</v>
      </c>
      <c r="BC7" s="33">
        <f>SUMIFS('Account Data'!M:M,'Account Data'!$G:$G,$A$7,'Account Data'!$D:$D,$AZ$12)</f>
        <v>71965429</v>
      </c>
      <c r="BD7" s="33">
        <f>SUMIFS('Account Data'!N:N,'Account Data'!$G:$G,$A$7,'Account Data'!$D:$D,$AZ$12)</f>
        <v>93466230</v>
      </c>
      <c r="BE7" s="33">
        <f>SUMIFS('Account Data'!O:O,'Account Data'!$G:$G,$A$7,'Account Data'!$D:$D,$AZ$12)</f>
        <v>96312478</v>
      </c>
      <c r="BF7" s="33">
        <f>SUMIFS('Account Data'!P:P,'Account Data'!$G:$G,$A$7,'Account Data'!$D:$D,$AZ$12)</f>
        <v>77355907</v>
      </c>
      <c r="BG7" s="33">
        <f>SUMIFS('Account Data'!Q:Q,'Account Data'!$G:$G,$A$7,'Account Data'!$D:$D,$AZ$12)</f>
        <v>143355885</v>
      </c>
      <c r="BH7" s="33">
        <f>SUMIFS('Account Data'!R:R,'Account Data'!$G:$G,$A$7,'Account Data'!$D:$D,$AZ$12)</f>
        <v>117966127</v>
      </c>
      <c r="BI7" s="33">
        <f>SUMIFS('Account Data'!S:S,'Account Data'!$G:$G,$A$7,'Account Data'!$D:$D,$AZ$12)</f>
        <v>100526918</v>
      </c>
      <c r="BJ7" s="33">
        <f>SUMIFS('Account Data'!T:T,'Account Data'!$G:$G,$A$7,'Account Data'!$D:$D,$AZ$12)</f>
        <v>134298701</v>
      </c>
      <c r="BK7" s="33">
        <f>SUMIFS('Account Data'!U:U,'Account Data'!$G:$G,$A$7,'Account Data'!$D:$D,$AZ$12)</f>
        <v>104072944</v>
      </c>
      <c r="BL7" s="42">
        <f>SUMIFS('Account Data'!V:V,'Account Data'!$G:$G,$A$7)</f>
        <v>83544111.35</v>
      </c>
      <c r="BM7" s="42">
        <f>SUMIFS('Account Data'!W:W,'Account Data'!$G:$G,$A$7)</f>
        <v>83544111.35</v>
      </c>
      <c r="BN7" s="42">
        <f>SUMIFS('Account Data'!X:X,'Account Data'!$G:$G,$A$7)</f>
        <v>167088222.7</v>
      </c>
      <c r="BO7" s="42">
        <f>SUMIFS('Account Data'!Y:Y,'Account Data'!$G:$G,$A$7)</f>
        <v>136455381.9</v>
      </c>
      <c r="BP7" s="42">
        <f>SUMIFS('Account Data'!Z:Z,'Account Data'!$G:$G,$A$7)</f>
        <v>122531363.3</v>
      </c>
      <c r="BQ7" s="42">
        <f>SUMIFS('Account Data'!AA:AA,'Account Data'!$G:$G,$A$7)</f>
        <v>313290417.6</v>
      </c>
      <c r="BR7" s="42">
        <f>SUMIFS('Account Data'!AB:AB,'Account Data'!$G:$G,$A$7)</f>
        <v>288227184.2</v>
      </c>
      <c r="BS7" s="42">
        <f>SUMIFS('Account Data'!AC:AC,'Account Data'!O:O,$A$7)</f>
        <v>0</v>
      </c>
      <c r="BT7" s="42">
        <f>SUMIFS('Account Data'!AD:AD,'Account Data'!P:P,$A$7)</f>
        <v>0</v>
      </c>
      <c r="BU7" s="42">
        <f>SUMIFS('Account Data'!AE:AE,'Account Data'!Q:Q,$A$7)</f>
        <v>0</v>
      </c>
      <c r="BV7" s="42">
        <f>SUMIFS('Account Data'!AF:AF,'Account Data'!R:R,$A$7)</f>
        <v>0</v>
      </c>
      <c r="BW7" s="42">
        <f>SUMIFS('Account Data'!AG:AG,'Account Data'!S:S,$A$7)</f>
        <v>0</v>
      </c>
      <c r="BX7" s="53">
        <f t="array" ref="BX7">XLOOKUP($B:$B,Target!$C:$C,Target!D:D)</f>
        <v>25000000</v>
      </c>
      <c r="BY7" s="53">
        <f t="array" ref="BY7">XLOOKUP($B:$B,Target!$C:$C,Target!E:E)</f>
        <v>25500000</v>
      </c>
      <c r="BZ7" s="53">
        <f t="array" ref="BZ7">XLOOKUP($B:$B,Target!$C:$C,Target!F:F)</f>
        <v>26265000</v>
      </c>
      <c r="CA7" s="53">
        <f t="array" ref="CA7">XLOOKUP($B:$B,Target!$C:$C,Target!G:G)</f>
        <v>27052950</v>
      </c>
      <c r="CB7" s="53">
        <f t="array" ref="CB7">XLOOKUP($B:$B,Target!$C:$C,Target!H:H)</f>
        <v>28270332.75</v>
      </c>
      <c r="CC7" s="53">
        <f t="array" ref="CC7">XLOOKUP($B:$B,Target!$C:$C,Target!I:I)</f>
        <v>29683849.39</v>
      </c>
      <c r="CD7" s="53">
        <f t="array" ref="CD7">XLOOKUP($B:$B,Target!$C:$C,Target!J:J)</f>
        <v>31019622.61</v>
      </c>
      <c r="CE7" s="53">
        <f t="array" ref="CE7">XLOOKUP($B:$B,Target!$C:$C,Target!K:K)</f>
        <v>32880799.97</v>
      </c>
      <c r="CF7" s="53">
        <f t="array" ref="CF7">XLOOKUP($B:$B,Target!$C:$C,Target!L:L)</f>
        <v>35840071.96</v>
      </c>
      <c r="CG7" s="53">
        <f t="array" ref="CG7">XLOOKUP($B:$B,Target!$C:$C,Target!M:M)</f>
        <v>37632075.56</v>
      </c>
      <c r="CH7" s="53">
        <f t="array" ref="CH7">XLOOKUP($B:$B,Target!$C:$C,Target!N:N)</f>
        <v>38761037.83</v>
      </c>
      <c r="CI7" s="53">
        <f t="array" ref="CI7">XLOOKUP($B:$B,Target!$C:$C,Target!O:O)</f>
        <v>39536258.59</v>
      </c>
    </row>
    <row r="8">
      <c r="A8" s="11" t="str">
        <f>'Account Manager Data'!A:A</f>
        <v>AM007</v>
      </c>
      <c r="B8" s="11" t="str">
        <f>'Account Manager Data'!B:B</f>
        <v>Yusuf Hidayat</v>
      </c>
      <c r="C8" s="11" t="str">
        <f>'Account Manager Data'!C:C</f>
        <v>Sumatera</v>
      </c>
      <c r="D8" s="28">
        <f t="array" ref="D8">XLOOKUP($B:$B,Target!$C:$C,Target!Q:Q,0)</f>
        <v>27848037.12</v>
      </c>
      <c r="E8" s="28">
        <f t="array" ref="E8">XLOOKUP($B:$B,Target!$C:$C,Target!R:R,0)</f>
        <v>34810046.4</v>
      </c>
      <c r="F8" s="28">
        <f t="array" ref="F8">XLOOKUP($B:$B,Target!$C:$C,Target!S:S,0)</f>
        <v>41772055.68</v>
      </c>
      <c r="G8" s="28">
        <f t="array" ref="G8">XLOOKUP($B:$B,Target!$C:$C,Target!T:T,0)</f>
        <v>48734064.96</v>
      </c>
      <c r="H8" s="28">
        <f t="array" ref="H8">XLOOKUP($B:$B,Target!$C:$C,Target!U:U,0)</f>
        <v>55696074.24</v>
      </c>
      <c r="I8" s="28">
        <f t="array" ref="I8">XLOOKUP($B:$B,Target!$C:$C,Target!V:V,0)</f>
        <v>62658083.51</v>
      </c>
      <c r="J8" s="28">
        <f t="array" ref="J8">XLOOKUP($B:$B,Target!$C:$C,Target!W:W,0)</f>
        <v>62658083.51</v>
      </c>
      <c r="K8" s="28">
        <f t="array" ref="K8">XLOOKUP($B:$B,Target!$C:$C,Target!X:X,0)</f>
        <v>62658083.51</v>
      </c>
      <c r="L8" s="28">
        <f t="array" ref="L8">XLOOKUP($B:$B,Target!$C:$C,Target!Y:Y,0)</f>
        <v>69620092.79</v>
      </c>
      <c r="M8" s="28">
        <f t="array" ref="M8">XLOOKUP($B:$B,Target!$C:$C,Target!Z:Z,0)</f>
        <v>69620092.79</v>
      </c>
      <c r="N8" s="28">
        <f t="array" ref="N8">XLOOKUP($B:$B,Target!$C:$C,Target!AA:AA,0)</f>
        <v>76582102.07</v>
      </c>
      <c r="O8" s="28">
        <f t="array" ref="O8">XLOOKUP($B:$B,Target!$C:$C,Target!AB:AB,0)</f>
        <v>83544111.35</v>
      </c>
      <c r="P8" s="29">
        <f t="shared" ref="P8:AA8" si="13">D8*7</f>
        <v>194936259.8</v>
      </c>
      <c r="Q8" s="29">
        <f t="shared" si="13"/>
        <v>243670324.8</v>
      </c>
      <c r="R8" s="29">
        <f t="shared" si="13"/>
        <v>292404389.7</v>
      </c>
      <c r="S8" s="29">
        <f t="shared" si="13"/>
        <v>341138454.7</v>
      </c>
      <c r="T8" s="29">
        <f t="shared" si="13"/>
        <v>389872519.6</v>
      </c>
      <c r="U8" s="29">
        <f t="shared" si="13"/>
        <v>438606584.6</v>
      </c>
      <c r="V8" s="29">
        <f t="shared" si="13"/>
        <v>438606584.6</v>
      </c>
      <c r="W8" s="29">
        <f t="shared" si="13"/>
        <v>438606584.6</v>
      </c>
      <c r="X8" s="29">
        <f t="shared" si="13"/>
        <v>487340649.6</v>
      </c>
      <c r="Y8" s="29">
        <f t="shared" si="13"/>
        <v>487340649.6</v>
      </c>
      <c r="Z8" s="29">
        <f t="shared" si="13"/>
        <v>536074714.5</v>
      </c>
      <c r="AA8" s="29">
        <f t="shared" si="13"/>
        <v>584808779.5</v>
      </c>
      <c r="AB8" s="30">
        <f t="shared" ref="AB8:AM8" si="14">D8*1.5</f>
        <v>41772055.68</v>
      </c>
      <c r="AC8" s="30">
        <f t="shared" si="14"/>
        <v>52215069.6</v>
      </c>
      <c r="AD8" s="30">
        <f t="shared" si="14"/>
        <v>62658083.51</v>
      </c>
      <c r="AE8" s="30">
        <f t="shared" si="14"/>
        <v>73101097.43</v>
      </c>
      <c r="AF8" s="30">
        <f t="shared" si="14"/>
        <v>83544111.35</v>
      </c>
      <c r="AG8" s="30">
        <f t="shared" si="14"/>
        <v>93987125.27</v>
      </c>
      <c r="AH8" s="30">
        <f t="shared" si="14"/>
        <v>93987125.27</v>
      </c>
      <c r="AI8" s="30">
        <f t="shared" si="14"/>
        <v>93987125.27</v>
      </c>
      <c r="AJ8" s="30">
        <f t="shared" si="14"/>
        <v>104430139.2</v>
      </c>
      <c r="AK8" s="30">
        <f t="shared" si="14"/>
        <v>104430139.2</v>
      </c>
      <c r="AL8" s="30">
        <f t="shared" si="14"/>
        <v>114873153.1</v>
      </c>
      <c r="AM8" s="30">
        <f t="shared" si="14"/>
        <v>125316167</v>
      </c>
      <c r="AN8" s="31">
        <f>SUMIFS('Account Data'!J:J,'Account Data'!$G:$G,A8)</f>
        <v>444125337</v>
      </c>
      <c r="AO8" s="31">
        <f>SUMIFS('Account Data'!K:K,'Account Data'!$G:$G,A8)</f>
        <v>447474310</v>
      </c>
      <c r="AP8" s="31">
        <f>SUMIFS('Account Data'!L:L,'Account Data'!$G:$G,A8)</f>
        <v>494526869</v>
      </c>
      <c r="AQ8" s="31">
        <f>SUMIFS('Account Data'!M:M,'Account Data'!$G:$G,A8)</f>
        <v>534726271</v>
      </c>
      <c r="AR8" s="31">
        <f>SUMIFS('Account Data'!N:N,'Account Data'!$G:$G,A8)</f>
        <v>650419554</v>
      </c>
      <c r="AS8" s="31">
        <f>SUMIFS('Account Data'!O:O,'Account Data'!$G:$G,A8)</f>
        <v>643456215</v>
      </c>
      <c r="AT8" s="31">
        <f>SUMIFS('Account Data'!P:P,'Account Data'!$G:$G,A8)</f>
        <v>708837095</v>
      </c>
      <c r="AU8" s="31">
        <f>SUMIFS('Account Data'!Q:Q,'Account Data'!$G:$G,A8)</f>
        <v>766893215</v>
      </c>
      <c r="AV8" s="31">
        <f>SUMIFS('Account Data'!R:R,'Account Data'!$G:$G,A8)</f>
        <v>719121385</v>
      </c>
      <c r="AW8" s="31">
        <f>SUMIFS('Account Data'!S:S,'Account Data'!$G:$G,A8)</f>
        <v>761411233</v>
      </c>
      <c r="AX8" s="31">
        <f>SUMIFS('Account Data'!T:T,'Account Data'!$G:$G,A8)</f>
        <v>1030338681</v>
      </c>
      <c r="AY8" s="31">
        <f>SUMIFS('Account Data'!U:U,'Account Data'!$G:$G,A8)</f>
        <v>814283497</v>
      </c>
      <c r="AZ8" s="33">
        <f>SUMIFS('Account Data'!J:J,'Account Data'!$G:$G,$A$8,'Account Data'!$D:$D,$AZ$12)</f>
        <v>54375133</v>
      </c>
      <c r="BA8" s="33">
        <f>SUMIFS('Account Data'!K:K,'Account Data'!$G:$G,$A$8,'Account Data'!$D:$D,$AZ$12)</f>
        <v>51022415</v>
      </c>
      <c r="BB8" s="33">
        <f>SUMIFS('Account Data'!L:L,'Account Data'!$G:$G,$A$8,'Account Data'!$D:$D,$AZ$12)</f>
        <v>58397339</v>
      </c>
      <c r="BC8" s="33">
        <f>SUMIFS('Account Data'!M:M,'Account Data'!$G:$G,$A$8,'Account Data'!$D:$D,$AZ$12)</f>
        <v>79860175</v>
      </c>
      <c r="BD8" s="33">
        <f>SUMIFS('Account Data'!N:N,'Account Data'!$G:$G,$A$8,'Account Data'!$D:$D,$AZ$12)</f>
        <v>80775270</v>
      </c>
      <c r="BE8" s="33">
        <f>SUMIFS('Account Data'!O:O,'Account Data'!$G:$G,$A$8,'Account Data'!$D:$D,$AZ$12)</f>
        <v>92650108</v>
      </c>
      <c r="BF8" s="33">
        <f>SUMIFS('Account Data'!P:P,'Account Data'!$G:$G,$A$8,'Account Data'!$D:$D,$AZ$12)</f>
        <v>92250679</v>
      </c>
      <c r="BG8" s="33">
        <f>SUMIFS('Account Data'!Q:Q,'Account Data'!$G:$G,$A$8,'Account Data'!$D:$D,$AZ$12)</f>
        <v>86767583</v>
      </c>
      <c r="BH8" s="33">
        <f>SUMIFS('Account Data'!R:R,'Account Data'!$G:$G,$A$8,'Account Data'!$D:$D,$AZ$12)</f>
        <v>103859838</v>
      </c>
      <c r="BI8" s="33">
        <f>SUMIFS('Account Data'!S:S,'Account Data'!$G:$G,$A$8,'Account Data'!$D:$D,$AZ$12)</f>
        <v>116576048</v>
      </c>
      <c r="BJ8" s="33">
        <f>SUMIFS('Account Data'!T:T,'Account Data'!$G:$G,$A$8,'Account Data'!$D:$D,$AZ$12)</f>
        <v>136867005</v>
      </c>
      <c r="BK8" s="33">
        <f>SUMIFS('Account Data'!U:U,'Account Data'!$G:$G,$A$8,'Account Data'!$D:$D,$AZ$12)</f>
        <v>115433122</v>
      </c>
      <c r="BL8" s="42">
        <f>SUMIFS('Account Data'!V:V,'Account Data'!$G:$G,$A$8)</f>
        <v>13924018.56</v>
      </c>
      <c r="BM8" s="42">
        <f>SUMIFS('Account Data'!W:W,'Account Data'!$G:$G,$A$8)</f>
        <v>6962009.279</v>
      </c>
      <c r="BN8" s="42">
        <f>SUMIFS('Account Data'!X:X,'Account Data'!$G:$G,$A$8)</f>
        <v>4177205.568</v>
      </c>
      <c r="BO8" s="42">
        <f>SUMIFS('Account Data'!Y:Y,'Account Data'!$G:$G,$A$8)</f>
        <v>48734064.96</v>
      </c>
      <c r="BP8" s="42">
        <f>SUMIFS('Account Data'!Z:Z,'Account Data'!$G:$G,$A$8)</f>
        <v>11139214.85</v>
      </c>
      <c r="BQ8" s="42">
        <f>SUMIFS('Account Data'!AA:AA,'Account Data'!$G:$G,$A$8)</f>
        <v>313290.4176</v>
      </c>
      <c r="BR8" s="42">
        <f>SUMIFS('Account Data'!AB:AB,'Account Data'!$G:$G,$A$8)</f>
        <v>41980915.95</v>
      </c>
      <c r="BS8" s="42">
        <f>SUMIFS('Account Data'!AC:AC,'Account Data'!O:O,$A$8)</f>
        <v>0</v>
      </c>
      <c r="BT8" s="42">
        <f>SUMIFS('Account Data'!AD:AD,'Account Data'!P:P,$A$8)</f>
        <v>0</v>
      </c>
      <c r="BU8" s="42">
        <f>SUMIFS('Account Data'!AE:AE,'Account Data'!Q:Q,$A$8)</f>
        <v>0</v>
      </c>
      <c r="BV8" s="42">
        <f>SUMIFS('Account Data'!AF:AF,'Account Data'!R:R,$A$8)</f>
        <v>0</v>
      </c>
      <c r="BW8" s="42">
        <f>SUMIFS('Account Data'!AG:AG,'Account Data'!S:S,$A$8)</f>
        <v>0</v>
      </c>
      <c r="BX8" s="53">
        <f t="array" ref="BX8">XLOOKUP($B:$B,Target!$C:$C,Target!D:D)</f>
        <v>27000000</v>
      </c>
      <c r="BY8" s="53">
        <f t="array" ref="BY8">XLOOKUP($B:$B,Target!$C:$C,Target!E:E)</f>
        <v>27540000</v>
      </c>
      <c r="BZ8" s="53">
        <f t="array" ref="BZ8">XLOOKUP($B:$B,Target!$C:$C,Target!F:F)</f>
        <v>28366200</v>
      </c>
      <c r="CA8" s="53">
        <f t="array" ref="CA8">XLOOKUP($B:$B,Target!$C:$C,Target!G:G)</f>
        <v>29217186</v>
      </c>
      <c r="CB8" s="53">
        <f t="array" ref="CB8">XLOOKUP($B:$B,Target!$C:$C,Target!H:H)</f>
        <v>30531959.37</v>
      </c>
      <c r="CC8" s="53">
        <f t="array" ref="CC8">XLOOKUP($B:$B,Target!$C:$C,Target!I:I)</f>
        <v>32058557.34</v>
      </c>
      <c r="CD8" s="53">
        <f t="array" ref="CD8">XLOOKUP($B:$B,Target!$C:$C,Target!J:J)</f>
        <v>33501192.42</v>
      </c>
      <c r="CE8" s="53">
        <f t="array" ref="CE8">XLOOKUP($B:$B,Target!$C:$C,Target!K:K)</f>
        <v>35511263.96</v>
      </c>
      <c r="CF8" s="53">
        <f t="array" ref="CF8">XLOOKUP($B:$B,Target!$C:$C,Target!L:L)</f>
        <v>38707277.72</v>
      </c>
      <c r="CG8" s="53">
        <f t="array" ref="CG8">XLOOKUP($B:$B,Target!$C:$C,Target!M:M)</f>
        <v>40642641.61</v>
      </c>
      <c r="CH8" s="53">
        <f t="array" ref="CH8">XLOOKUP($B:$B,Target!$C:$C,Target!N:N)</f>
        <v>41861920.85</v>
      </c>
      <c r="CI8" s="53">
        <f t="array" ref="CI8">XLOOKUP($B:$B,Target!$C:$C,Target!O:O)</f>
        <v>42699159.27</v>
      </c>
    </row>
    <row r="9">
      <c r="A9" s="11" t="str">
        <f>'Account Manager Data'!A:A</f>
        <v>AM008</v>
      </c>
      <c r="B9" s="11" t="str">
        <f>'Account Manager Data'!B:B</f>
        <v>Budi Santoso</v>
      </c>
      <c r="C9" s="11" t="str">
        <f>'Account Manager Data'!C:C</f>
        <v>Papua</v>
      </c>
      <c r="D9" s="28">
        <f t="array" ref="D9">XLOOKUP($B:$B,Target!$C:$C,Target!Q:Q,0)</f>
        <v>27848037.12</v>
      </c>
      <c r="E9" s="28">
        <f t="array" ref="E9">XLOOKUP($B:$B,Target!$C:$C,Target!R:R,0)</f>
        <v>34810046.4</v>
      </c>
      <c r="F9" s="28">
        <f t="array" ref="F9">XLOOKUP($B:$B,Target!$C:$C,Target!S:S,0)</f>
        <v>41772055.68</v>
      </c>
      <c r="G9" s="28">
        <f t="array" ref="G9">XLOOKUP($B:$B,Target!$C:$C,Target!T:T,0)</f>
        <v>48734064.96</v>
      </c>
      <c r="H9" s="28">
        <f t="array" ref="H9">XLOOKUP($B:$B,Target!$C:$C,Target!U:U,0)</f>
        <v>55696074.24</v>
      </c>
      <c r="I9" s="28">
        <f t="array" ref="I9">XLOOKUP($B:$B,Target!$C:$C,Target!V:V,0)</f>
        <v>62658083.51</v>
      </c>
      <c r="J9" s="28">
        <f t="array" ref="J9">XLOOKUP($B:$B,Target!$C:$C,Target!W:W,0)</f>
        <v>62658083.51</v>
      </c>
      <c r="K9" s="28">
        <f t="array" ref="K9">XLOOKUP($B:$B,Target!$C:$C,Target!X:X,0)</f>
        <v>62658083.51</v>
      </c>
      <c r="L9" s="28">
        <f t="array" ref="L9">XLOOKUP($B:$B,Target!$C:$C,Target!Y:Y,0)</f>
        <v>69620092.79</v>
      </c>
      <c r="M9" s="28">
        <f t="array" ref="M9">XLOOKUP($B:$B,Target!$C:$C,Target!Z:Z,0)</f>
        <v>69620092.79</v>
      </c>
      <c r="N9" s="28">
        <f t="array" ref="N9">XLOOKUP($B:$B,Target!$C:$C,Target!AA:AA,0)</f>
        <v>76582102.07</v>
      </c>
      <c r="O9" s="28">
        <f t="array" ref="O9">XLOOKUP($B:$B,Target!$C:$C,Target!AB:AB,0)</f>
        <v>83544111.35</v>
      </c>
      <c r="P9" s="29">
        <f t="shared" ref="P9:AA9" si="15">D9*7</f>
        <v>194936259.8</v>
      </c>
      <c r="Q9" s="29">
        <f t="shared" si="15"/>
        <v>243670324.8</v>
      </c>
      <c r="R9" s="29">
        <f t="shared" si="15"/>
        <v>292404389.7</v>
      </c>
      <c r="S9" s="29">
        <f t="shared" si="15"/>
        <v>341138454.7</v>
      </c>
      <c r="T9" s="29">
        <f t="shared" si="15"/>
        <v>389872519.6</v>
      </c>
      <c r="U9" s="29">
        <f t="shared" si="15"/>
        <v>438606584.6</v>
      </c>
      <c r="V9" s="29">
        <f t="shared" si="15"/>
        <v>438606584.6</v>
      </c>
      <c r="W9" s="29">
        <f t="shared" si="15"/>
        <v>438606584.6</v>
      </c>
      <c r="X9" s="29">
        <f t="shared" si="15"/>
        <v>487340649.6</v>
      </c>
      <c r="Y9" s="29">
        <f t="shared" si="15"/>
        <v>487340649.6</v>
      </c>
      <c r="Z9" s="29">
        <f t="shared" si="15"/>
        <v>536074714.5</v>
      </c>
      <c r="AA9" s="29">
        <f t="shared" si="15"/>
        <v>584808779.5</v>
      </c>
      <c r="AB9" s="30">
        <f t="shared" ref="AB9:AM9" si="16">D9*1.5</f>
        <v>41772055.68</v>
      </c>
      <c r="AC9" s="30">
        <f t="shared" si="16"/>
        <v>52215069.6</v>
      </c>
      <c r="AD9" s="30">
        <f t="shared" si="16"/>
        <v>62658083.51</v>
      </c>
      <c r="AE9" s="30">
        <f t="shared" si="16"/>
        <v>73101097.43</v>
      </c>
      <c r="AF9" s="30">
        <f t="shared" si="16"/>
        <v>83544111.35</v>
      </c>
      <c r="AG9" s="30">
        <f t="shared" si="16"/>
        <v>93987125.27</v>
      </c>
      <c r="AH9" s="30">
        <f t="shared" si="16"/>
        <v>93987125.27</v>
      </c>
      <c r="AI9" s="30">
        <f t="shared" si="16"/>
        <v>93987125.27</v>
      </c>
      <c r="AJ9" s="30">
        <f t="shared" si="16"/>
        <v>104430139.2</v>
      </c>
      <c r="AK9" s="30">
        <f t="shared" si="16"/>
        <v>104430139.2</v>
      </c>
      <c r="AL9" s="30">
        <f t="shared" si="16"/>
        <v>114873153.1</v>
      </c>
      <c r="AM9" s="30">
        <f t="shared" si="16"/>
        <v>125316167</v>
      </c>
      <c r="AN9" s="31">
        <f>SUMIFS('Account Data'!J:J,'Account Data'!$G:$G,A9)</f>
        <v>387385326</v>
      </c>
      <c r="AO9" s="31">
        <f>SUMIFS('Account Data'!K:K,'Account Data'!$G:$G,A9)</f>
        <v>422137116</v>
      </c>
      <c r="AP9" s="31">
        <f>SUMIFS('Account Data'!L:L,'Account Data'!$G:$G,A9)</f>
        <v>588479380</v>
      </c>
      <c r="AQ9" s="31">
        <f>SUMIFS('Account Data'!M:M,'Account Data'!$G:$G,A9)</f>
        <v>582118521</v>
      </c>
      <c r="AR9" s="31">
        <f>SUMIFS('Account Data'!N:N,'Account Data'!$G:$G,A9)</f>
        <v>668463068</v>
      </c>
      <c r="AS9" s="31">
        <f>SUMIFS('Account Data'!O:O,'Account Data'!$G:$G,A9)</f>
        <v>703104898</v>
      </c>
      <c r="AT9" s="31">
        <f>SUMIFS('Account Data'!P:P,'Account Data'!$G:$G,A9)</f>
        <v>719111767</v>
      </c>
      <c r="AU9" s="31">
        <f>SUMIFS('Account Data'!Q:Q,'Account Data'!$G:$G,A9)</f>
        <v>767564418</v>
      </c>
      <c r="AV9" s="31">
        <f>SUMIFS('Account Data'!R:R,'Account Data'!$G:$G,A9)</f>
        <v>727148022</v>
      </c>
      <c r="AW9" s="31">
        <f>SUMIFS('Account Data'!S:S,'Account Data'!$G:$G,A9)</f>
        <v>805346200</v>
      </c>
      <c r="AX9" s="31">
        <f>SUMIFS('Account Data'!T:T,'Account Data'!$G:$G,A9)</f>
        <v>875875934</v>
      </c>
      <c r="AY9" s="31">
        <f>SUMIFS('Account Data'!U:U,'Account Data'!$G:$G,A9)</f>
        <v>910775073</v>
      </c>
      <c r="AZ9" s="33">
        <f>SUMIFS('Account Data'!J:J,'Account Data'!$G:$G,$A$9,'Account Data'!$D:$D,$AZ$12)</f>
        <v>43266802</v>
      </c>
      <c r="BA9" s="33">
        <f>SUMIFS('Account Data'!K:K,'Account Data'!$G:$G,$A$9,'Account Data'!$D:$D,$AZ$12)</f>
        <v>73090561</v>
      </c>
      <c r="BB9" s="33">
        <f>SUMIFS('Account Data'!L:L,'Account Data'!$G:$G,$A$9,'Account Data'!$D:$D,$AZ$12)</f>
        <v>93579869</v>
      </c>
      <c r="BC9" s="33">
        <f>SUMIFS('Account Data'!M:M,'Account Data'!$G:$G,$A$9,'Account Data'!$D:$D,$AZ$12)</f>
        <v>103825692</v>
      </c>
      <c r="BD9" s="33">
        <f>SUMIFS('Account Data'!N:N,'Account Data'!$G:$G,$A$9,'Account Data'!$D:$D,$AZ$12)</f>
        <v>123132088</v>
      </c>
      <c r="BE9" s="33">
        <f>SUMIFS('Account Data'!O:O,'Account Data'!$G:$G,$A$9,'Account Data'!$D:$D,$AZ$12)</f>
        <v>113582208</v>
      </c>
      <c r="BF9" s="33">
        <f>SUMIFS('Account Data'!P:P,'Account Data'!$G:$G,$A$9,'Account Data'!$D:$D,$AZ$12)</f>
        <v>107289800</v>
      </c>
      <c r="BG9" s="33">
        <f>SUMIFS('Account Data'!Q:Q,'Account Data'!$G:$G,$A$9,'Account Data'!$D:$D,$AZ$12)</f>
        <v>135864564</v>
      </c>
      <c r="BH9" s="33">
        <f>SUMIFS('Account Data'!R:R,'Account Data'!$G:$G,$A$9,'Account Data'!$D:$D,$AZ$12)</f>
        <v>170639983</v>
      </c>
      <c r="BI9" s="33">
        <f>SUMIFS('Account Data'!S:S,'Account Data'!$G:$G,$A$9,'Account Data'!$D:$D,$AZ$12)</f>
        <v>102105657</v>
      </c>
      <c r="BJ9" s="33">
        <f>SUMIFS('Account Data'!T:T,'Account Data'!$G:$G,$A$9,'Account Data'!$D:$D,$AZ$12)</f>
        <v>120528843</v>
      </c>
      <c r="BK9" s="33">
        <f>SUMIFS('Account Data'!U:U,'Account Data'!$G:$G,$A$9,'Account Data'!$D:$D,$AZ$12)</f>
        <v>145367562</v>
      </c>
      <c r="BL9" s="42">
        <f>SUMIFS('Account Data'!V:V,'Account Data'!$G:$G,$A$9)</f>
        <v>13924018.56</v>
      </c>
      <c r="BM9" s="42">
        <f>SUMIFS('Account Data'!W:W,'Account Data'!$G:$G,$A$9)</f>
        <v>6962009.279</v>
      </c>
      <c r="BN9" s="42">
        <f>SUMIFS('Account Data'!X:X,'Account Data'!$G:$G,$A$9)</f>
        <v>4177205.568</v>
      </c>
      <c r="BO9" s="42">
        <f>SUMIFS('Account Data'!Y:Y,'Account Data'!$G:$G,$A$9)</f>
        <v>48734064.96</v>
      </c>
      <c r="BP9" s="42">
        <f>SUMIFS('Account Data'!Z:Z,'Account Data'!$G:$G,$A$9)</f>
        <v>11139214.85</v>
      </c>
      <c r="BQ9" s="42">
        <f>SUMIFS('Account Data'!AA:AA,'Account Data'!$G:$G,$A$9)</f>
        <v>313290.4176</v>
      </c>
      <c r="BR9" s="42">
        <f>SUMIFS('Account Data'!AB:AB,'Account Data'!$G:$G,$A$9)</f>
        <v>41980915.95</v>
      </c>
      <c r="BS9" s="42">
        <f>SUMIFS('Account Data'!AC:AC,'Account Data'!O:O,$A$9)</f>
        <v>0</v>
      </c>
      <c r="BT9" s="42">
        <f>SUMIFS('Account Data'!AD:AD,'Account Data'!P:P,$A$9)</f>
        <v>0</v>
      </c>
      <c r="BU9" s="42">
        <f>SUMIFS('Account Data'!AE:AE,'Account Data'!Q:Q,$A$9)</f>
        <v>0</v>
      </c>
      <c r="BV9" s="42">
        <f>SUMIFS('Account Data'!AF:AF,'Account Data'!R:R,$A$9)</f>
        <v>0</v>
      </c>
      <c r="BW9" s="42">
        <f>SUMIFS('Account Data'!AG:AG,'Account Data'!S:S,$A$9)</f>
        <v>0</v>
      </c>
      <c r="BX9" s="53">
        <f t="array" ref="BX9">XLOOKUP($B:$B,Target!$C:$C,Target!D:D)</f>
        <v>30000000</v>
      </c>
      <c r="BY9" s="53">
        <f t="array" ref="BY9">XLOOKUP($B:$B,Target!$C:$C,Target!E:E)</f>
        <v>30600000</v>
      </c>
      <c r="BZ9" s="53">
        <f t="array" ref="BZ9">XLOOKUP($B:$B,Target!$C:$C,Target!F:F)</f>
        <v>31518000</v>
      </c>
      <c r="CA9" s="53">
        <f t="array" ref="CA9">XLOOKUP($B:$B,Target!$C:$C,Target!G:G)</f>
        <v>32463540</v>
      </c>
      <c r="CB9" s="53">
        <f t="array" ref="CB9">XLOOKUP($B:$B,Target!$C:$C,Target!H:H)</f>
        <v>33924399.3</v>
      </c>
      <c r="CC9" s="53">
        <f t="array" ref="CC9">XLOOKUP($B:$B,Target!$C:$C,Target!I:I)</f>
        <v>35620619.27</v>
      </c>
      <c r="CD9" s="53">
        <f t="array" ref="CD9">XLOOKUP($B:$B,Target!$C:$C,Target!J:J)</f>
        <v>37223547.13</v>
      </c>
      <c r="CE9" s="53">
        <f t="array" ref="CE9">XLOOKUP($B:$B,Target!$C:$C,Target!K:K)</f>
        <v>39456959.96</v>
      </c>
      <c r="CF9" s="53">
        <f t="array" ref="CF9">XLOOKUP($B:$B,Target!$C:$C,Target!L:L)</f>
        <v>43008086.36</v>
      </c>
      <c r="CG9" s="53">
        <f t="array" ref="CG9">XLOOKUP($B:$B,Target!$C:$C,Target!M:M)</f>
        <v>45158490.67</v>
      </c>
      <c r="CH9" s="53">
        <f t="array" ref="CH9">XLOOKUP($B:$B,Target!$C:$C,Target!N:N)</f>
        <v>46513245.39</v>
      </c>
      <c r="CI9" s="53">
        <f t="array" ref="CI9">XLOOKUP($B:$B,Target!$C:$C,Target!O:O)</f>
        <v>47443510.3</v>
      </c>
    </row>
    <row r="10">
      <c r="A10" s="11" t="str">
        <f>'Account Manager Data'!A:A</f>
        <v>AM009</v>
      </c>
      <c r="B10" s="11" t="str">
        <f>'Account Manager Data'!B:B</f>
        <v>Teguh Wijaya</v>
      </c>
      <c r="C10" s="11" t="str">
        <f>'Account Manager Data'!C:C</f>
        <v>Sulawesi</v>
      </c>
      <c r="D10" s="28">
        <f t="array" ref="D10">XLOOKUP($B:$B,Target!$C:$C,Target!Q:Q,0)</f>
        <v>27848037.12</v>
      </c>
      <c r="E10" s="28">
        <f t="array" ref="E10">XLOOKUP($B:$B,Target!$C:$C,Target!R:R,0)</f>
        <v>34810046.4</v>
      </c>
      <c r="F10" s="28">
        <f t="array" ref="F10">XLOOKUP($B:$B,Target!$C:$C,Target!S:S,0)</f>
        <v>41772055.68</v>
      </c>
      <c r="G10" s="28">
        <f t="array" ref="G10">XLOOKUP($B:$B,Target!$C:$C,Target!T:T,0)</f>
        <v>48734064.96</v>
      </c>
      <c r="H10" s="28">
        <f t="array" ref="H10">XLOOKUP($B:$B,Target!$C:$C,Target!U:U,0)</f>
        <v>55696074.24</v>
      </c>
      <c r="I10" s="28">
        <f t="array" ref="I10">XLOOKUP($B:$B,Target!$C:$C,Target!V:V,0)</f>
        <v>62658083.51</v>
      </c>
      <c r="J10" s="28">
        <f t="array" ref="J10">XLOOKUP($B:$B,Target!$C:$C,Target!W:W,0)</f>
        <v>62658083.51</v>
      </c>
      <c r="K10" s="28">
        <f t="array" ref="K10">XLOOKUP($B:$B,Target!$C:$C,Target!X:X,0)</f>
        <v>62658083.51</v>
      </c>
      <c r="L10" s="28">
        <f t="array" ref="L10">XLOOKUP($B:$B,Target!$C:$C,Target!Y:Y,0)</f>
        <v>69620092.79</v>
      </c>
      <c r="M10" s="28">
        <f t="array" ref="M10">XLOOKUP($B:$B,Target!$C:$C,Target!Z:Z,0)</f>
        <v>69620092.79</v>
      </c>
      <c r="N10" s="28">
        <f t="array" ref="N10">XLOOKUP($B:$B,Target!$C:$C,Target!AA:AA,0)</f>
        <v>76582102.07</v>
      </c>
      <c r="O10" s="28">
        <f t="array" ref="O10">XLOOKUP($B:$B,Target!$C:$C,Target!AB:AB,0)</f>
        <v>83544111.35</v>
      </c>
      <c r="P10" s="29">
        <f t="shared" ref="P10:AA10" si="17">D10*7</f>
        <v>194936259.8</v>
      </c>
      <c r="Q10" s="29">
        <f t="shared" si="17"/>
        <v>243670324.8</v>
      </c>
      <c r="R10" s="29">
        <f t="shared" si="17"/>
        <v>292404389.7</v>
      </c>
      <c r="S10" s="29">
        <f t="shared" si="17"/>
        <v>341138454.7</v>
      </c>
      <c r="T10" s="29">
        <f t="shared" si="17"/>
        <v>389872519.6</v>
      </c>
      <c r="U10" s="29">
        <f t="shared" si="17"/>
        <v>438606584.6</v>
      </c>
      <c r="V10" s="29">
        <f t="shared" si="17"/>
        <v>438606584.6</v>
      </c>
      <c r="W10" s="29">
        <f t="shared" si="17"/>
        <v>438606584.6</v>
      </c>
      <c r="X10" s="29">
        <f t="shared" si="17"/>
        <v>487340649.6</v>
      </c>
      <c r="Y10" s="29">
        <f t="shared" si="17"/>
        <v>487340649.6</v>
      </c>
      <c r="Z10" s="29">
        <f t="shared" si="17"/>
        <v>536074714.5</v>
      </c>
      <c r="AA10" s="29">
        <f t="shared" si="17"/>
        <v>584808779.5</v>
      </c>
      <c r="AB10" s="30">
        <f t="shared" ref="AB10:AM10" si="18">D10*1.5</f>
        <v>41772055.68</v>
      </c>
      <c r="AC10" s="30">
        <f t="shared" si="18"/>
        <v>52215069.6</v>
      </c>
      <c r="AD10" s="30">
        <f t="shared" si="18"/>
        <v>62658083.51</v>
      </c>
      <c r="AE10" s="30">
        <f t="shared" si="18"/>
        <v>73101097.43</v>
      </c>
      <c r="AF10" s="30">
        <f t="shared" si="18"/>
        <v>83544111.35</v>
      </c>
      <c r="AG10" s="30">
        <f t="shared" si="18"/>
        <v>93987125.27</v>
      </c>
      <c r="AH10" s="30">
        <f t="shared" si="18"/>
        <v>93987125.27</v>
      </c>
      <c r="AI10" s="30">
        <f t="shared" si="18"/>
        <v>93987125.27</v>
      </c>
      <c r="AJ10" s="30">
        <f t="shared" si="18"/>
        <v>104430139.2</v>
      </c>
      <c r="AK10" s="30">
        <f t="shared" si="18"/>
        <v>104430139.2</v>
      </c>
      <c r="AL10" s="30">
        <f t="shared" si="18"/>
        <v>114873153.1</v>
      </c>
      <c r="AM10" s="30">
        <f t="shared" si="18"/>
        <v>125316167</v>
      </c>
      <c r="AN10" s="31">
        <f>SUMIFS('Account Data'!J:J,'Account Data'!$G:$G,A10)</f>
        <v>330724711</v>
      </c>
      <c r="AO10" s="31">
        <f>SUMIFS('Account Data'!K:K,'Account Data'!$G:$G,A10)</f>
        <v>453390191</v>
      </c>
      <c r="AP10" s="31">
        <f>SUMIFS('Account Data'!L:L,'Account Data'!$G:$G,A10)</f>
        <v>543416735</v>
      </c>
      <c r="AQ10" s="31">
        <f>SUMIFS('Account Data'!M:M,'Account Data'!$G:$G,A10)</f>
        <v>558746589</v>
      </c>
      <c r="AR10" s="31">
        <f>SUMIFS('Account Data'!N:N,'Account Data'!$G:$G,A10)</f>
        <v>648266194</v>
      </c>
      <c r="AS10" s="31">
        <f>SUMIFS('Account Data'!O:O,'Account Data'!$G:$G,A10)</f>
        <v>744344203</v>
      </c>
      <c r="AT10" s="31">
        <f>SUMIFS('Account Data'!P:P,'Account Data'!$G:$G,A10)</f>
        <v>735041718</v>
      </c>
      <c r="AU10" s="31">
        <f>SUMIFS('Account Data'!Q:Q,'Account Data'!$G:$G,A10)</f>
        <v>699271527</v>
      </c>
      <c r="AV10" s="31">
        <f>SUMIFS('Account Data'!R:R,'Account Data'!$G:$G,A10)</f>
        <v>771700283</v>
      </c>
      <c r="AW10" s="31">
        <f>SUMIFS('Account Data'!S:S,'Account Data'!$G:$G,A10)</f>
        <v>830178463</v>
      </c>
      <c r="AX10" s="31">
        <f>SUMIFS('Account Data'!T:T,'Account Data'!$G:$G,A10)</f>
        <v>982102037</v>
      </c>
      <c r="AY10" s="31">
        <f>SUMIFS('Account Data'!U:U,'Account Data'!$G:$G,A10)</f>
        <v>766419121</v>
      </c>
      <c r="AZ10" s="33">
        <f>SUMIFS('Account Data'!J:J,'Account Data'!$G:$G,$A$10,'Account Data'!$D:$D,$AZ$12)</f>
        <v>48684872</v>
      </c>
      <c r="BA10" s="33">
        <f>SUMIFS('Account Data'!K:K,'Account Data'!$G:$G,$A$10,'Account Data'!$D:$D,$AZ$12)</f>
        <v>49218864</v>
      </c>
      <c r="BB10" s="33">
        <f>SUMIFS('Account Data'!L:L,'Account Data'!$G:$G,$A$10,'Account Data'!$D:$D,$AZ$12)</f>
        <v>87577836</v>
      </c>
      <c r="BC10" s="33">
        <f>SUMIFS('Account Data'!M:M,'Account Data'!$G:$G,$A$10,'Account Data'!$D:$D,$AZ$12)</f>
        <v>93947795</v>
      </c>
      <c r="BD10" s="33">
        <f>SUMIFS('Account Data'!N:N,'Account Data'!$G:$G,$A$10,'Account Data'!$D:$D,$AZ$12)</f>
        <v>74569608</v>
      </c>
      <c r="BE10" s="33">
        <f>SUMIFS('Account Data'!O:O,'Account Data'!$G:$G,$A$10,'Account Data'!$D:$D,$AZ$12)</f>
        <v>75599829</v>
      </c>
      <c r="BF10" s="33">
        <f>SUMIFS('Account Data'!P:P,'Account Data'!$G:$G,$A$10,'Account Data'!$D:$D,$AZ$12)</f>
        <v>81106187</v>
      </c>
      <c r="BG10" s="33">
        <f>SUMIFS('Account Data'!Q:Q,'Account Data'!$G:$G,$A$10,'Account Data'!$D:$D,$AZ$12)</f>
        <v>119175738</v>
      </c>
      <c r="BH10" s="33">
        <f>SUMIFS('Account Data'!R:R,'Account Data'!$G:$G,$A$10,'Account Data'!$D:$D,$AZ$12)</f>
        <v>91829091</v>
      </c>
      <c r="BI10" s="33">
        <f>SUMIFS('Account Data'!S:S,'Account Data'!$G:$G,$A$10,'Account Data'!$D:$D,$AZ$12)</f>
        <v>111421057</v>
      </c>
      <c r="BJ10" s="33">
        <f>SUMIFS('Account Data'!T:T,'Account Data'!$G:$G,$A$10,'Account Data'!$D:$D,$AZ$12)</f>
        <v>112998423</v>
      </c>
      <c r="BK10" s="33">
        <f>SUMIFS('Account Data'!U:U,'Account Data'!$G:$G,$A$10,'Account Data'!$D:$D,$AZ$12)</f>
        <v>124239131</v>
      </c>
      <c r="BL10" s="42">
        <f>SUMIFS('Account Data'!V:V,'Account Data'!$G:$G,$A$10)</f>
        <v>12236258.73</v>
      </c>
      <c r="BM10" s="42">
        <f>SUMIFS('Account Data'!W:W,'Account Data'!$G:$G,$A$10)</f>
        <v>6118129.367</v>
      </c>
      <c r="BN10" s="42">
        <f>SUMIFS('Account Data'!X:X,'Account Data'!$G:$G,$A$10)</f>
        <v>3670877.62</v>
      </c>
      <c r="BO10" s="42">
        <f>SUMIFS('Account Data'!Y:Y,'Account Data'!$G:$G,$A$10)</f>
        <v>42826905.57</v>
      </c>
      <c r="BP10" s="42">
        <f>SUMIFS('Account Data'!Z:Z,'Account Data'!$G:$G,$A$10)</f>
        <v>9789006.987</v>
      </c>
      <c r="BQ10" s="42">
        <f>SUMIFS('Account Data'!AA:AA,'Account Data'!$G:$G,$A$10)</f>
        <v>275315.8215</v>
      </c>
      <c r="BR10" s="42">
        <f>SUMIFS('Account Data'!AB:AB,'Account Data'!$G:$G,$A$10)</f>
        <v>36892320.08</v>
      </c>
      <c r="BS10" s="42">
        <f>SUMIFS('Account Data'!AC:AC,'Account Data'!O:O,$A$10)</f>
        <v>0</v>
      </c>
      <c r="BT10" s="42">
        <f>SUMIFS('Account Data'!AD:AD,'Account Data'!P:P,$A$10)</f>
        <v>0</v>
      </c>
      <c r="BU10" s="42">
        <f>SUMIFS('Account Data'!AE:AE,'Account Data'!Q:Q,$A$10)</f>
        <v>0</v>
      </c>
      <c r="BV10" s="42">
        <f>SUMIFS('Account Data'!AF:AF,'Account Data'!R:R,$A$10)</f>
        <v>0</v>
      </c>
      <c r="BW10" s="42">
        <f>SUMIFS('Account Data'!AG:AG,'Account Data'!S:S,$A$10)</f>
        <v>0</v>
      </c>
      <c r="BX10" s="53">
        <f t="array" ref="BX10">XLOOKUP($B:$B,Target!$C:$C,Target!D:D)</f>
        <v>20000000</v>
      </c>
      <c r="BY10" s="53">
        <f t="array" ref="BY10">XLOOKUP($B:$B,Target!$C:$C,Target!E:E)</f>
        <v>20400000</v>
      </c>
      <c r="BZ10" s="53">
        <f t="array" ref="BZ10">XLOOKUP($B:$B,Target!$C:$C,Target!F:F)</f>
        <v>21012000</v>
      </c>
      <c r="CA10" s="53">
        <f t="array" ref="CA10">XLOOKUP($B:$B,Target!$C:$C,Target!G:G)</f>
        <v>21642360</v>
      </c>
      <c r="CB10" s="53">
        <f t="array" ref="CB10">XLOOKUP($B:$B,Target!$C:$C,Target!H:H)</f>
        <v>22616266.2</v>
      </c>
      <c r="CC10" s="53">
        <f t="array" ref="CC10">XLOOKUP($B:$B,Target!$C:$C,Target!I:I)</f>
        <v>23747079.51</v>
      </c>
      <c r="CD10" s="53">
        <f t="array" ref="CD10">XLOOKUP($B:$B,Target!$C:$C,Target!J:J)</f>
        <v>24815698.09</v>
      </c>
      <c r="CE10" s="53">
        <f t="array" ref="CE10">XLOOKUP($B:$B,Target!$C:$C,Target!K:K)</f>
        <v>26304639.97</v>
      </c>
      <c r="CF10" s="53">
        <f t="array" ref="CF10">XLOOKUP($B:$B,Target!$C:$C,Target!L:L)</f>
        <v>28672057.57</v>
      </c>
      <c r="CG10" s="53">
        <f t="array" ref="CG10">XLOOKUP($B:$B,Target!$C:$C,Target!M:M)</f>
        <v>30105660.45</v>
      </c>
      <c r="CH10" s="53">
        <f t="array" ref="CH10">XLOOKUP($B:$B,Target!$C:$C,Target!N:N)</f>
        <v>31008830.26</v>
      </c>
      <c r="CI10" s="53">
        <f t="array" ref="CI10">XLOOKUP($B:$B,Target!$C:$C,Target!O:O)</f>
        <v>31629006.87</v>
      </c>
    </row>
    <row r="11">
      <c r="A11" s="11" t="str">
        <f>'Account Manager Data'!A:A</f>
        <v>AM010</v>
      </c>
      <c r="B11" s="11" t="str">
        <f>'Account Manager Data'!B:B</f>
        <v>Ilham Saputra</v>
      </c>
      <c r="C11" s="11" t="str">
        <f>'Account Manager Data'!C:C</f>
        <v>Jawa</v>
      </c>
      <c r="D11" s="28">
        <f t="array" ref="D11">XLOOKUP($B:$B,Target!$C:$C,Target!Q:Q,0)</f>
        <v>27848037.12</v>
      </c>
      <c r="E11" s="28">
        <f t="array" ref="E11">XLOOKUP($B:$B,Target!$C:$C,Target!R:R,0)</f>
        <v>34810046.4</v>
      </c>
      <c r="F11" s="28">
        <f t="array" ref="F11">XLOOKUP($B:$B,Target!$C:$C,Target!S:S,0)</f>
        <v>41772055.68</v>
      </c>
      <c r="G11" s="28">
        <f t="array" ref="G11">XLOOKUP($B:$B,Target!$C:$C,Target!T:T,0)</f>
        <v>48734064.96</v>
      </c>
      <c r="H11" s="28">
        <f t="array" ref="H11">XLOOKUP($B:$B,Target!$C:$C,Target!U:U,0)</f>
        <v>55696074.24</v>
      </c>
      <c r="I11" s="28">
        <f t="array" ref="I11">XLOOKUP($B:$B,Target!$C:$C,Target!V:V,0)</f>
        <v>62658083.51</v>
      </c>
      <c r="J11" s="28">
        <f t="array" ref="J11">XLOOKUP($B:$B,Target!$C:$C,Target!W:W,0)</f>
        <v>62658083.51</v>
      </c>
      <c r="K11" s="28">
        <f t="array" ref="K11">XLOOKUP($B:$B,Target!$C:$C,Target!X:X,0)</f>
        <v>62658083.51</v>
      </c>
      <c r="L11" s="28">
        <f t="array" ref="L11">XLOOKUP($B:$B,Target!$C:$C,Target!Y:Y,0)</f>
        <v>69620092.79</v>
      </c>
      <c r="M11" s="28">
        <f t="array" ref="M11">XLOOKUP($B:$B,Target!$C:$C,Target!Z:Z,0)</f>
        <v>69620092.79</v>
      </c>
      <c r="N11" s="28">
        <f t="array" ref="N11">XLOOKUP($B:$B,Target!$C:$C,Target!AA:AA,0)</f>
        <v>76582102.07</v>
      </c>
      <c r="O11" s="28">
        <f t="array" ref="O11">XLOOKUP($B:$B,Target!$C:$C,Target!AB:AB,0)</f>
        <v>83544111.35</v>
      </c>
      <c r="P11" s="29">
        <f t="shared" ref="P11:AA11" si="19">D11*7</f>
        <v>194936259.8</v>
      </c>
      <c r="Q11" s="29">
        <f t="shared" si="19"/>
        <v>243670324.8</v>
      </c>
      <c r="R11" s="29">
        <f t="shared" si="19"/>
        <v>292404389.7</v>
      </c>
      <c r="S11" s="29">
        <f t="shared" si="19"/>
        <v>341138454.7</v>
      </c>
      <c r="T11" s="29">
        <f t="shared" si="19"/>
        <v>389872519.6</v>
      </c>
      <c r="U11" s="29">
        <f t="shared" si="19"/>
        <v>438606584.6</v>
      </c>
      <c r="V11" s="29">
        <f t="shared" si="19"/>
        <v>438606584.6</v>
      </c>
      <c r="W11" s="29">
        <f t="shared" si="19"/>
        <v>438606584.6</v>
      </c>
      <c r="X11" s="29">
        <f t="shared" si="19"/>
        <v>487340649.6</v>
      </c>
      <c r="Y11" s="29">
        <f t="shared" si="19"/>
        <v>487340649.6</v>
      </c>
      <c r="Z11" s="29">
        <f t="shared" si="19"/>
        <v>536074714.5</v>
      </c>
      <c r="AA11" s="29">
        <f t="shared" si="19"/>
        <v>584808779.5</v>
      </c>
      <c r="AB11" s="30">
        <f t="shared" ref="AB11:AM11" si="20">D11*1.5</f>
        <v>41772055.68</v>
      </c>
      <c r="AC11" s="30">
        <f t="shared" si="20"/>
        <v>52215069.6</v>
      </c>
      <c r="AD11" s="30">
        <f t="shared" si="20"/>
        <v>62658083.51</v>
      </c>
      <c r="AE11" s="30">
        <f t="shared" si="20"/>
        <v>73101097.43</v>
      </c>
      <c r="AF11" s="30">
        <f t="shared" si="20"/>
        <v>83544111.35</v>
      </c>
      <c r="AG11" s="30">
        <f t="shared" si="20"/>
        <v>93987125.27</v>
      </c>
      <c r="AH11" s="30">
        <f t="shared" si="20"/>
        <v>93987125.27</v>
      </c>
      <c r="AI11" s="30">
        <f t="shared" si="20"/>
        <v>93987125.27</v>
      </c>
      <c r="AJ11" s="30">
        <f t="shared" si="20"/>
        <v>104430139.2</v>
      </c>
      <c r="AK11" s="30">
        <f t="shared" si="20"/>
        <v>104430139.2</v>
      </c>
      <c r="AL11" s="30">
        <f t="shared" si="20"/>
        <v>114873153.1</v>
      </c>
      <c r="AM11" s="30">
        <f t="shared" si="20"/>
        <v>125316167</v>
      </c>
      <c r="AN11" s="31">
        <f>SUMIFS('Account Data'!J:J,'Account Data'!$G:$G,A11)</f>
        <v>429382902</v>
      </c>
      <c r="AO11" s="31">
        <f>SUMIFS('Account Data'!K:K,'Account Data'!$G:$G,A11)</f>
        <v>486132233</v>
      </c>
      <c r="AP11" s="31">
        <f>SUMIFS('Account Data'!L:L,'Account Data'!$G:$G,A11)</f>
        <v>531095505</v>
      </c>
      <c r="AQ11" s="31">
        <f>SUMIFS('Account Data'!M:M,'Account Data'!$G:$G,A11)</f>
        <v>535255151</v>
      </c>
      <c r="AR11" s="31">
        <f>SUMIFS('Account Data'!N:N,'Account Data'!$G:$G,A11)</f>
        <v>749139562</v>
      </c>
      <c r="AS11" s="31">
        <f>SUMIFS('Account Data'!O:O,'Account Data'!$G:$G,A11)</f>
        <v>709960787</v>
      </c>
      <c r="AT11" s="31">
        <f>SUMIFS('Account Data'!P:P,'Account Data'!$G:$G,A11)</f>
        <v>684393820</v>
      </c>
      <c r="AU11" s="31">
        <f>SUMIFS('Account Data'!Q:Q,'Account Data'!$G:$G,A11)</f>
        <v>697884077</v>
      </c>
      <c r="AV11" s="31">
        <f>SUMIFS('Account Data'!R:R,'Account Data'!$G:$G,A11)</f>
        <v>807457325</v>
      </c>
      <c r="AW11" s="31">
        <f>SUMIFS('Account Data'!S:S,'Account Data'!$G:$G,A11)</f>
        <v>872160664</v>
      </c>
      <c r="AX11" s="31">
        <f>SUMIFS('Account Data'!T:T,'Account Data'!$G:$G,A11)</f>
        <v>858008004</v>
      </c>
      <c r="AY11" s="31">
        <f>SUMIFS('Account Data'!U:U,'Account Data'!$G:$G,A11)</f>
        <v>868722066</v>
      </c>
      <c r="AZ11" s="33">
        <f>SUMIFS('Account Data'!J:J,'Account Data'!$G:$G,$A$11,'Account Data'!$D:$D,$AZ$12)</f>
        <v>67477974</v>
      </c>
      <c r="BA11" s="33">
        <f>SUMIFS('Account Data'!K:K,'Account Data'!$G:$G,$A$11,'Account Data'!$D:$D,$AZ$12)</f>
        <v>75196536</v>
      </c>
      <c r="BB11" s="33">
        <f>SUMIFS('Account Data'!L:L,'Account Data'!$G:$G,$A$11,'Account Data'!$D:$D,$AZ$12)</f>
        <v>92840588</v>
      </c>
      <c r="BC11" s="33">
        <f>SUMIFS('Account Data'!M:M,'Account Data'!$G:$G,$A$11,'Account Data'!$D:$D,$AZ$12)</f>
        <v>80695717</v>
      </c>
      <c r="BD11" s="33">
        <f>SUMIFS('Account Data'!N:N,'Account Data'!$G:$G,$A$11,'Account Data'!$D:$D,$AZ$12)</f>
        <v>136194418</v>
      </c>
      <c r="BE11" s="33">
        <f>SUMIFS('Account Data'!O:O,'Account Data'!$G:$G,$A$11,'Account Data'!$D:$D,$AZ$12)</f>
        <v>106408467</v>
      </c>
      <c r="BF11" s="33">
        <f>SUMIFS('Account Data'!P:P,'Account Data'!$G:$G,$A$11,'Account Data'!$D:$D,$AZ$12)</f>
        <v>78982331</v>
      </c>
      <c r="BG11" s="33">
        <f>SUMIFS('Account Data'!Q:Q,'Account Data'!$G:$G,$A$11,'Account Data'!$D:$D,$AZ$12)</f>
        <v>116794818</v>
      </c>
      <c r="BH11" s="33">
        <f>SUMIFS('Account Data'!R:R,'Account Data'!$G:$G,$A$11,'Account Data'!$D:$D,$AZ$12)</f>
        <v>118984846</v>
      </c>
      <c r="BI11" s="33">
        <f>SUMIFS('Account Data'!S:S,'Account Data'!$G:$G,$A$11,'Account Data'!$D:$D,$AZ$12)</f>
        <v>138489063</v>
      </c>
      <c r="BJ11" s="33">
        <f>SUMIFS('Account Data'!T:T,'Account Data'!$G:$G,$A$11,'Account Data'!$D:$D,$AZ$12)</f>
        <v>147470047</v>
      </c>
      <c r="BK11" s="33">
        <f>SUMIFS('Account Data'!U:U,'Account Data'!$G:$G,$A$11,'Account Data'!$D:$D,$AZ$12)</f>
        <v>163095815</v>
      </c>
      <c r="BL11" s="42">
        <f>SUMIFS('Account Data'!V:V,'Account Data'!$G:$G,$A$11)</f>
        <v>13566992.44</v>
      </c>
      <c r="BM11" s="42">
        <f>SUMIFS('Account Data'!W:W,'Account Data'!$G:$G,$A$11)</f>
        <v>6783496.221</v>
      </c>
      <c r="BN11" s="42">
        <f>SUMIFS('Account Data'!X:X,'Account Data'!$G:$G,$A$11)</f>
        <v>4070097.733</v>
      </c>
      <c r="BO11" s="42">
        <f>SUMIFS('Account Data'!Y:Y,'Account Data'!$G:$G,$A$11)</f>
        <v>47484473.55</v>
      </c>
      <c r="BP11" s="42">
        <f>SUMIFS('Account Data'!Z:Z,'Account Data'!$G:$G,$A$11)</f>
        <v>10853593.95</v>
      </c>
      <c r="BQ11" s="42">
        <f>SUMIFS('Account Data'!AA:AA,'Account Data'!$G:$G,$A$11)</f>
        <v>305257.3299</v>
      </c>
      <c r="BR11" s="42">
        <f>SUMIFS('Account Data'!AB:AB,'Account Data'!$G:$G,$A$11)</f>
        <v>40904482.21</v>
      </c>
      <c r="BS11" s="42">
        <f>SUMIFS('Account Data'!AC:AC,'Account Data'!O:O,$A$11)</f>
        <v>0</v>
      </c>
      <c r="BT11" s="42">
        <f>SUMIFS('Account Data'!AD:AD,'Account Data'!P:P,$A$11)</f>
        <v>0</v>
      </c>
      <c r="BU11" s="42">
        <f>SUMIFS('Account Data'!AE:AE,'Account Data'!Q:Q,$A$11)</f>
        <v>0</v>
      </c>
      <c r="BV11" s="42">
        <f>SUMIFS('Account Data'!AF:AF,'Account Data'!R:R,$A$11)</f>
        <v>0</v>
      </c>
      <c r="BW11" s="42">
        <f>SUMIFS('Account Data'!AG:AG,'Account Data'!S:S,$A$11)</f>
        <v>0</v>
      </c>
      <c r="BX11" s="53">
        <f t="array" ref="BX11">XLOOKUP($B:$B,Target!$C:$C,Target!D:D)</f>
        <v>40000000</v>
      </c>
      <c r="BY11" s="53">
        <f t="array" ref="BY11">XLOOKUP($B:$B,Target!$C:$C,Target!E:E)</f>
        <v>40800000</v>
      </c>
      <c r="BZ11" s="53">
        <f t="array" ref="BZ11">XLOOKUP($B:$B,Target!$C:$C,Target!F:F)</f>
        <v>42024000</v>
      </c>
      <c r="CA11" s="53">
        <f t="array" ref="CA11">XLOOKUP($B:$B,Target!$C:$C,Target!G:G)</f>
        <v>43284720</v>
      </c>
      <c r="CB11" s="53">
        <f t="array" ref="CB11">XLOOKUP($B:$B,Target!$C:$C,Target!H:H)</f>
        <v>45232532.4</v>
      </c>
      <c r="CC11" s="53">
        <f t="array" ref="CC11">XLOOKUP($B:$B,Target!$C:$C,Target!I:I)</f>
        <v>47494159.02</v>
      </c>
      <c r="CD11" s="53">
        <f t="array" ref="CD11">XLOOKUP($B:$B,Target!$C:$C,Target!J:J)</f>
        <v>49631396.18</v>
      </c>
      <c r="CE11" s="53">
        <f t="array" ref="CE11">XLOOKUP($B:$B,Target!$C:$C,Target!K:K)</f>
        <v>52609279.95</v>
      </c>
      <c r="CF11" s="53">
        <f t="array" ref="CF11">XLOOKUP($B:$B,Target!$C:$C,Target!L:L)</f>
        <v>57344115.14</v>
      </c>
      <c r="CG11" s="53">
        <f t="array" ref="CG11">XLOOKUP($B:$B,Target!$C:$C,Target!M:M)</f>
        <v>60211320.9</v>
      </c>
      <c r="CH11" s="53">
        <f t="array" ref="CH11">XLOOKUP($B:$B,Target!$C:$C,Target!N:N)</f>
        <v>62017660.53</v>
      </c>
      <c r="CI11" s="53">
        <f t="array" ref="CI11">XLOOKUP($B:$B,Target!$C:$C,Target!O:O)</f>
        <v>63258013.74</v>
      </c>
    </row>
    <row r="12">
      <c r="AB12" s="65"/>
      <c r="AC12" s="65"/>
      <c r="AD12" s="65"/>
      <c r="AE12" s="65"/>
      <c r="AF12" s="65"/>
      <c r="AG12" s="65"/>
      <c r="AH12" s="65"/>
      <c r="AI12" s="65"/>
      <c r="AJ12" s="65"/>
      <c r="AK12" s="65"/>
      <c r="AL12" s="65"/>
      <c r="AM12" s="65"/>
      <c r="AZ12" s="3" t="s">
        <v>103</v>
      </c>
    </row>
    <row r="13">
      <c r="AB13" s="65"/>
      <c r="AC13" s="65"/>
      <c r="AD13" s="65"/>
      <c r="AE13" s="65"/>
      <c r="AF13" s="65"/>
      <c r="AG13" s="65"/>
      <c r="AH13" s="65"/>
      <c r="AI13" s="65"/>
      <c r="AJ13" s="65"/>
      <c r="AK13" s="65"/>
      <c r="AL13" s="65"/>
      <c r="AM13" s="65"/>
    </row>
    <row r="14">
      <c r="AB14" s="65"/>
      <c r="AC14" s="65"/>
      <c r="AD14" s="65"/>
      <c r="AE14" s="65"/>
      <c r="AF14" s="65"/>
      <c r="AG14" s="65"/>
      <c r="AH14" s="65"/>
      <c r="AI14" s="65"/>
      <c r="AJ14" s="65"/>
      <c r="AK14" s="65"/>
      <c r="AL14" s="65"/>
      <c r="AM14" s="65"/>
      <c r="CA14" s="66"/>
    </row>
    <row r="15">
      <c r="AB15" s="65"/>
      <c r="AC15" s="65"/>
      <c r="AD15" s="65"/>
      <c r="AE15" s="65"/>
      <c r="AF15" s="65"/>
      <c r="AG15" s="65"/>
      <c r="AH15" s="65"/>
      <c r="AI15" s="65"/>
      <c r="AJ15" s="65"/>
      <c r="AK15" s="65"/>
      <c r="AL15" s="65"/>
      <c r="AM15" s="65"/>
      <c r="BN15" s="66"/>
    </row>
    <row r="16">
      <c r="AB16" s="65"/>
      <c r="AC16" s="65"/>
      <c r="AD16" s="65"/>
      <c r="AE16" s="65"/>
      <c r="AF16" s="65"/>
      <c r="AG16" s="65"/>
      <c r="AH16" s="65"/>
      <c r="AI16" s="65"/>
      <c r="AJ16" s="65"/>
      <c r="AK16" s="65"/>
      <c r="AL16" s="65"/>
      <c r="AM16" s="65"/>
      <c r="BN16" s="66"/>
    </row>
    <row r="17">
      <c r="AB17" s="65"/>
      <c r="AC17" s="65"/>
      <c r="AD17" s="65"/>
      <c r="AE17" s="65"/>
      <c r="AF17" s="65"/>
      <c r="AG17" s="65"/>
      <c r="AH17" s="65"/>
      <c r="AI17" s="65"/>
      <c r="AJ17" s="65"/>
      <c r="AK17" s="65"/>
      <c r="AL17" s="65"/>
      <c r="AM17" s="65"/>
    </row>
    <row r="18">
      <c r="AB18" s="65"/>
      <c r="AC18" s="65"/>
      <c r="AD18" s="65"/>
      <c r="AE18" s="65"/>
      <c r="AF18" s="65"/>
      <c r="AG18" s="65"/>
      <c r="AH18" s="65"/>
      <c r="AI18" s="65"/>
      <c r="AJ18" s="65"/>
      <c r="AK18" s="65"/>
      <c r="AL18" s="65"/>
      <c r="AM18" s="65"/>
    </row>
    <row r="19">
      <c r="AB19" s="65"/>
      <c r="AC19" s="65"/>
      <c r="AD19" s="65"/>
      <c r="AE19" s="65"/>
      <c r="AF19" s="65"/>
      <c r="AG19" s="65"/>
      <c r="AH19" s="65"/>
      <c r="AI19" s="65"/>
      <c r="AJ19" s="65"/>
      <c r="AK19" s="65"/>
      <c r="AL19" s="65"/>
      <c r="AM19" s="65"/>
    </row>
    <row r="20">
      <c r="AB20" s="65"/>
      <c r="AC20" s="65"/>
      <c r="AD20" s="65"/>
      <c r="AE20" s="65"/>
      <c r="AF20" s="65"/>
      <c r="AG20" s="65"/>
      <c r="AH20" s="65"/>
      <c r="AI20" s="65"/>
      <c r="AJ20" s="65"/>
      <c r="AK20" s="65"/>
      <c r="AL20" s="65"/>
      <c r="AM20" s="65"/>
    </row>
    <row r="21">
      <c r="AB21" s="65"/>
      <c r="AC21" s="65"/>
      <c r="AD21" s="65"/>
      <c r="AE21" s="65"/>
      <c r="AF21" s="65"/>
      <c r="AG21" s="65"/>
      <c r="AH21" s="65"/>
      <c r="AI21" s="65"/>
      <c r="AJ21" s="65"/>
      <c r="AK21" s="65"/>
      <c r="AL21" s="65"/>
      <c r="AM21" s="65"/>
    </row>
    <row r="22">
      <c r="AB22" s="65"/>
      <c r="AC22" s="65"/>
      <c r="AD22" s="65"/>
      <c r="AE22" s="65"/>
      <c r="AF22" s="65"/>
      <c r="AG22" s="65"/>
      <c r="AH22" s="65"/>
      <c r="AI22" s="65"/>
      <c r="AJ22" s="65"/>
      <c r="AK22" s="65"/>
      <c r="AL22" s="65"/>
      <c r="AM22" s="65"/>
    </row>
    <row r="23">
      <c r="AB23" s="65"/>
      <c r="AC23" s="65"/>
      <c r="AD23" s="65"/>
      <c r="AE23" s="65"/>
      <c r="AF23" s="65"/>
      <c r="AG23" s="65"/>
      <c r="AH23" s="65"/>
      <c r="AI23" s="65"/>
      <c r="AJ23" s="65"/>
      <c r="AK23" s="65"/>
      <c r="AL23" s="65"/>
      <c r="AM23" s="65"/>
    </row>
    <row r="24">
      <c r="AB24" s="65"/>
      <c r="AC24" s="65"/>
      <c r="AD24" s="65"/>
      <c r="AE24" s="65"/>
      <c r="AF24" s="65"/>
      <c r="AG24" s="65"/>
      <c r="AH24" s="65"/>
      <c r="AI24" s="65"/>
      <c r="AJ24" s="65"/>
      <c r="AK24" s="65"/>
      <c r="AL24" s="65"/>
      <c r="AM24" s="65"/>
    </row>
    <row r="25">
      <c r="AB25" s="65"/>
      <c r="AC25" s="65"/>
      <c r="AD25" s="65"/>
      <c r="AE25" s="65"/>
      <c r="AF25" s="65"/>
      <c r="AG25" s="65"/>
      <c r="AH25" s="65"/>
      <c r="AI25" s="65"/>
      <c r="AJ25" s="65"/>
      <c r="AK25" s="65"/>
      <c r="AL25" s="65"/>
      <c r="AM25" s="65"/>
    </row>
    <row r="26">
      <c r="AB26" s="65"/>
      <c r="AC26" s="65"/>
      <c r="AD26" s="65"/>
      <c r="AE26" s="65"/>
      <c r="AF26" s="65"/>
      <c r="AG26" s="65"/>
      <c r="AH26" s="65"/>
      <c r="AI26" s="65"/>
      <c r="AJ26" s="65"/>
      <c r="AK26" s="65"/>
      <c r="AL26" s="65"/>
      <c r="AM26" s="65"/>
    </row>
    <row r="27">
      <c r="AB27" s="65"/>
      <c r="AC27" s="65"/>
      <c r="AD27" s="65"/>
      <c r="AE27" s="65"/>
      <c r="AF27" s="65"/>
      <c r="AG27" s="65"/>
      <c r="AH27" s="65"/>
      <c r="AI27" s="65"/>
      <c r="AJ27" s="65"/>
      <c r="AK27" s="65"/>
      <c r="AL27" s="65"/>
      <c r="AM27" s="65"/>
    </row>
    <row r="28">
      <c r="AB28" s="65"/>
      <c r="AC28" s="65"/>
      <c r="AD28" s="65"/>
      <c r="AE28" s="65"/>
      <c r="AF28" s="65"/>
      <c r="AG28" s="65"/>
      <c r="AH28" s="65"/>
      <c r="AI28" s="65"/>
      <c r="AJ28" s="65"/>
      <c r="AK28" s="65"/>
      <c r="AL28" s="65"/>
      <c r="AM28" s="65"/>
    </row>
    <row r="29">
      <c r="AB29" s="65"/>
      <c r="AC29" s="65"/>
      <c r="AD29" s="65"/>
      <c r="AE29" s="65"/>
      <c r="AF29" s="65"/>
      <c r="AG29" s="65"/>
      <c r="AH29" s="65"/>
      <c r="AI29" s="65"/>
      <c r="AJ29" s="65"/>
      <c r="AK29" s="65"/>
      <c r="AL29" s="65"/>
      <c r="AM29" s="65"/>
    </row>
    <row r="30">
      <c r="AB30" s="65"/>
      <c r="AC30" s="65"/>
      <c r="AD30" s="65"/>
      <c r="AE30" s="65"/>
      <c r="AF30" s="65"/>
      <c r="AG30" s="65"/>
      <c r="AH30" s="65"/>
      <c r="AI30" s="65"/>
      <c r="AJ30" s="65"/>
      <c r="AK30" s="65"/>
      <c r="AL30" s="65"/>
      <c r="AM30" s="65"/>
    </row>
    <row r="31">
      <c r="AB31" s="65"/>
      <c r="AC31" s="65"/>
      <c r="AD31" s="65"/>
      <c r="AE31" s="65"/>
      <c r="AF31" s="65"/>
      <c r="AG31" s="65"/>
      <c r="AH31" s="65"/>
      <c r="AI31" s="65"/>
      <c r="AJ31" s="65"/>
      <c r="AK31" s="65"/>
      <c r="AL31" s="65"/>
      <c r="AM31" s="65"/>
    </row>
    <row r="32">
      <c r="AB32" s="65"/>
      <c r="AC32" s="65"/>
      <c r="AD32" s="65"/>
      <c r="AE32" s="65"/>
      <c r="AF32" s="65"/>
      <c r="AG32" s="65"/>
      <c r="AH32" s="65"/>
      <c r="AI32" s="65"/>
      <c r="AJ32" s="65"/>
      <c r="AK32" s="65"/>
      <c r="AL32" s="65"/>
      <c r="AM32" s="65"/>
    </row>
    <row r="33">
      <c r="AB33" s="65"/>
      <c r="AC33" s="65"/>
      <c r="AD33" s="65"/>
      <c r="AE33" s="65"/>
      <c r="AF33" s="65"/>
      <c r="AG33" s="65"/>
      <c r="AH33" s="65"/>
      <c r="AI33" s="65"/>
      <c r="AJ33" s="65"/>
      <c r="AK33" s="65"/>
      <c r="AL33" s="65"/>
      <c r="AM33" s="65"/>
    </row>
    <row r="34">
      <c r="AB34" s="65"/>
      <c r="AC34" s="65"/>
      <c r="AD34" s="65"/>
      <c r="AE34" s="65"/>
      <c r="AF34" s="65"/>
      <c r="AG34" s="65"/>
      <c r="AH34" s="65"/>
      <c r="AI34" s="65"/>
      <c r="AJ34" s="65"/>
      <c r="AK34" s="65"/>
      <c r="AL34" s="65"/>
      <c r="AM34" s="65"/>
    </row>
    <row r="35">
      <c r="AB35" s="65"/>
      <c r="AC35" s="65"/>
      <c r="AD35" s="65"/>
      <c r="AE35" s="65"/>
      <c r="AF35" s="65"/>
      <c r="AG35" s="65"/>
      <c r="AH35" s="65"/>
      <c r="AI35" s="65"/>
      <c r="AJ35" s="65"/>
      <c r="AK35" s="65"/>
      <c r="AL35" s="65"/>
      <c r="AM35" s="65"/>
    </row>
    <row r="36">
      <c r="AB36" s="65"/>
      <c r="AC36" s="65"/>
      <c r="AD36" s="65"/>
      <c r="AE36" s="65"/>
      <c r="AF36" s="65"/>
      <c r="AG36" s="65"/>
      <c r="AH36" s="65"/>
      <c r="AI36" s="65"/>
      <c r="AJ36" s="65"/>
      <c r="AK36" s="65"/>
      <c r="AL36" s="65"/>
      <c r="AM36" s="65"/>
    </row>
    <row r="37">
      <c r="AB37" s="65"/>
      <c r="AC37" s="65"/>
      <c r="AD37" s="65"/>
      <c r="AE37" s="65"/>
      <c r="AF37" s="65"/>
      <c r="AG37" s="65"/>
      <c r="AH37" s="65"/>
      <c r="AI37" s="65"/>
      <c r="AJ37" s="65"/>
      <c r="AK37" s="65"/>
      <c r="AL37" s="65"/>
      <c r="AM37" s="65"/>
    </row>
    <row r="38">
      <c r="AB38" s="65"/>
      <c r="AC38" s="65"/>
      <c r="AD38" s="65"/>
      <c r="AE38" s="65"/>
      <c r="AF38" s="65"/>
      <c r="AG38" s="65"/>
      <c r="AH38" s="65"/>
      <c r="AI38" s="65"/>
      <c r="AJ38" s="65"/>
      <c r="AK38" s="65"/>
      <c r="AL38" s="65"/>
      <c r="AM38" s="65"/>
    </row>
    <row r="39">
      <c r="AB39" s="65"/>
      <c r="AC39" s="65"/>
      <c r="AD39" s="65"/>
      <c r="AE39" s="65"/>
      <c r="AF39" s="65"/>
      <c r="AG39" s="65"/>
      <c r="AH39" s="65"/>
      <c r="AI39" s="65"/>
      <c r="AJ39" s="65"/>
      <c r="AK39" s="65"/>
      <c r="AL39" s="65"/>
      <c r="AM39" s="65"/>
    </row>
    <row r="40">
      <c r="AB40" s="65"/>
      <c r="AC40" s="65"/>
      <c r="AD40" s="65"/>
      <c r="AE40" s="65"/>
      <c r="AF40" s="65"/>
      <c r="AG40" s="65"/>
      <c r="AH40" s="65"/>
      <c r="AI40" s="65"/>
      <c r="AJ40" s="65"/>
      <c r="AK40" s="65"/>
      <c r="AL40" s="65"/>
      <c r="AM40" s="65"/>
    </row>
    <row r="41">
      <c r="AB41" s="65"/>
      <c r="AC41" s="65"/>
      <c r="AD41" s="65"/>
      <c r="AE41" s="65"/>
      <c r="AF41" s="65"/>
      <c r="AG41" s="65"/>
      <c r="AH41" s="65"/>
      <c r="AI41" s="65"/>
      <c r="AJ41" s="65"/>
      <c r="AK41" s="65"/>
      <c r="AL41" s="65"/>
      <c r="AM41" s="65"/>
    </row>
    <row r="42">
      <c r="AB42" s="65"/>
      <c r="AC42" s="65"/>
      <c r="AD42" s="65"/>
      <c r="AE42" s="65"/>
      <c r="AF42" s="65"/>
      <c r="AG42" s="65"/>
      <c r="AH42" s="65"/>
      <c r="AI42" s="65"/>
      <c r="AJ42" s="65"/>
      <c r="AK42" s="65"/>
      <c r="AL42" s="65"/>
      <c r="AM42" s="65"/>
    </row>
    <row r="43">
      <c r="AB43" s="65"/>
      <c r="AC43" s="65"/>
      <c r="AD43" s="65"/>
      <c r="AE43" s="65"/>
      <c r="AF43" s="65"/>
      <c r="AG43" s="65"/>
      <c r="AH43" s="65"/>
      <c r="AI43" s="65"/>
      <c r="AJ43" s="65"/>
      <c r="AK43" s="65"/>
      <c r="AL43" s="65"/>
      <c r="AM43" s="65"/>
    </row>
    <row r="44">
      <c r="AB44" s="65"/>
      <c r="AC44" s="65"/>
      <c r="AD44" s="65"/>
      <c r="AE44" s="65"/>
      <c r="AF44" s="65"/>
      <c r="AG44" s="65"/>
      <c r="AH44" s="65"/>
      <c r="AI44" s="65"/>
      <c r="AJ44" s="65"/>
      <c r="AK44" s="65"/>
      <c r="AL44" s="65"/>
      <c r="AM44" s="65"/>
    </row>
    <row r="45">
      <c r="AB45" s="65"/>
      <c r="AC45" s="65"/>
      <c r="AD45" s="65"/>
      <c r="AE45" s="65"/>
      <c r="AF45" s="65"/>
      <c r="AG45" s="65"/>
      <c r="AH45" s="65"/>
      <c r="AI45" s="65"/>
      <c r="AJ45" s="65"/>
      <c r="AK45" s="65"/>
      <c r="AL45" s="65"/>
      <c r="AM45" s="65"/>
    </row>
    <row r="46">
      <c r="AB46" s="65"/>
      <c r="AC46" s="65"/>
      <c r="AD46" s="65"/>
      <c r="AE46" s="65"/>
      <c r="AF46" s="65"/>
      <c r="AG46" s="65"/>
      <c r="AH46" s="65"/>
      <c r="AI46" s="65"/>
      <c r="AJ46" s="65"/>
      <c r="AK46" s="65"/>
      <c r="AL46" s="65"/>
      <c r="AM46" s="65"/>
    </row>
    <row r="47">
      <c r="AB47" s="65"/>
      <c r="AC47" s="65"/>
      <c r="AD47" s="65"/>
      <c r="AE47" s="65"/>
      <c r="AF47" s="65"/>
      <c r="AG47" s="65"/>
      <c r="AH47" s="65"/>
      <c r="AI47" s="65"/>
      <c r="AJ47" s="65"/>
      <c r="AK47" s="65"/>
      <c r="AL47" s="65"/>
      <c r="AM47" s="65"/>
    </row>
    <row r="48">
      <c r="AB48" s="65"/>
      <c r="AC48" s="65"/>
      <c r="AD48" s="65"/>
      <c r="AE48" s="65"/>
      <c r="AF48" s="65"/>
      <c r="AG48" s="65"/>
      <c r="AH48" s="65"/>
      <c r="AI48" s="65"/>
      <c r="AJ48" s="65"/>
      <c r="AK48" s="65"/>
      <c r="AL48" s="65"/>
      <c r="AM48" s="65"/>
    </row>
    <row r="49">
      <c r="AB49" s="65"/>
      <c r="AC49" s="65"/>
      <c r="AD49" s="65"/>
      <c r="AE49" s="65"/>
      <c r="AF49" s="65"/>
      <c r="AG49" s="65"/>
      <c r="AH49" s="65"/>
      <c r="AI49" s="65"/>
      <c r="AJ49" s="65"/>
      <c r="AK49" s="65"/>
      <c r="AL49" s="65"/>
      <c r="AM49" s="65"/>
    </row>
    <row r="50">
      <c r="AB50" s="65"/>
      <c r="AC50" s="65"/>
      <c r="AD50" s="65"/>
      <c r="AE50" s="65"/>
      <c r="AF50" s="65"/>
      <c r="AG50" s="65"/>
      <c r="AH50" s="65"/>
      <c r="AI50" s="65"/>
      <c r="AJ50" s="65"/>
      <c r="AK50" s="65"/>
      <c r="AL50" s="65"/>
      <c r="AM50" s="65"/>
    </row>
    <row r="51">
      <c r="AB51" s="65"/>
      <c r="AC51" s="65"/>
      <c r="AD51" s="65"/>
      <c r="AE51" s="65"/>
      <c r="AF51" s="65"/>
      <c r="AG51" s="65"/>
      <c r="AH51" s="65"/>
      <c r="AI51" s="65"/>
      <c r="AJ51" s="65"/>
      <c r="AK51" s="65"/>
      <c r="AL51" s="65"/>
      <c r="AM51" s="65"/>
    </row>
    <row r="52">
      <c r="AB52" s="65"/>
      <c r="AC52" s="65"/>
      <c r="AD52" s="65"/>
      <c r="AE52" s="65"/>
      <c r="AF52" s="65"/>
      <c r="AG52" s="65"/>
      <c r="AH52" s="65"/>
      <c r="AI52" s="65"/>
      <c r="AJ52" s="65"/>
      <c r="AK52" s="65"/>
      <c r="AL52" s="65"/>
      <c r="AM52" s="65"/>
    </row>
    <row r="53">
      <c r="AB53" s="65"/>
      <c r="AC53" s="65"/>
      <c r="AD53" s="65"/>
      <c r="AE53" s="65"/>
      <c r="AF53" s="65"/>
      <c r="AG53" s="65"/>
      <c r="AH53" s="65"/>
      <c r="AI53" s="65"/>
      <c r="AJ53" s="65"/>
      <c r="AK53" s="65"/>
      <c r="AL53" s="65"/>
      <c r="AM53" s="65"/>
    </row>
    <row r="54">
      <c r="AB54" s="65"/>
      <c r="AC54" s="65"/>
      <c r="AD54" s="65"/>
      <c r="AE54" s="65"/>
      <c r="AF54" s="65"/>
      <c r="AG54" s="65"/>
      <c r="AH54" s="65"/>
      <c r="AI54" s="65"/>
      <c r="AJ54" s="65"/>
      <c r="AK54" s="65"/>
      <c r="AL54" s="65"/>
      <c r="AM54" s="65"/>
    </row>
    <row r="55">
      <c r="AB55" s="65"/>
      <c r="AC55" s="65"/>
      <c r="AD55" s="65"/>
      <c r="AE55" s="65"/>
      <c r="AF55" s="65"/>
      <c r="AG55" s="65"/>
      <c r="AH55" s="65"/>
      <c r="AI55" s="65"/>
      <c r="AJ55" s="65"/>
      <c r="AK55" s="65"/>
      <c r="AL55" s="65"/>
      <c r="AM55" s="65"/>
    </row>
    <row r="56">
      <c r="AB56" s="65"/>
      <c r="AC56" s="65"/>
      <c r="AD56" s="65"/>
      <c r="AE56" s="65"/>
      <c r="AF56" s="65"/>
      <c r="AG56" s="65"/>
      <c r="AH56" s="65"/>
      <c r="AI56" s="65"/>
      <c r="AJ56" s="65"/>
      <c r="AK56" s="65"/>
      <c r="AL56" s="65"/>
      <c r="AM56" s="65"/>
    </row>
    <row r="57">
      <c r="AB57" s="65"/>
      <c r="AC57" s="65"/>
      <c r="AD57" s="65"/>
      <c r="AE57" s="65"/>
      <c r="AF57" s="65"/>
      <c r="AG57" s="65"/>
      <c r="AH57" s="65"/>
      <c r="AI57" s="65"/>
      <c r="AJ57" s="65"/>
      <c r="AK57" s="65"/>
      <c r="AL57" s="65"/>
      <c r="AM57" s="65"/>
    </row>
    <row r="58">
      <c r="AB58" s="65"/>
      <c r="AC58" s="65"/>
      <c r="AD58" s="65"/>
      <c r="AE58" s="65"/>
      <c r="AF58" s="65"/>
      <c r="AG58" s="65"/>
      <c r="AH58" s="65"/>
      <c r="AI58" s="65"/>
      <c r="AJ58" s="65"/>
      <c r="AK58" s="65"/>
      <c r="AL58" s="65"/>
      <c r="AM58" s="65"/>
    </row>
    <row r="59">
      <c r="AB59" s="65"/>
      <c r="AC59" s="65"/>
      <c r="AD59" s="65"/>
      <c r="AE59" s="65"/>
      <c r="AF59" s="65"/>
      <c r="AG59" s="65"/>
      <c r="AH59" s="65"/>
      <c r="AI59" s="65"/>
      <c r="AJ59" s="65"/>
      <c r="AK59" s="65"/>
      <c r="AL59" s="65"/>
      <c r="AM59" s="65"/>
    </row>
    <row r="60">
      <c r="AB60" s="65"/>
      <c r="AC60" s="65"/>
      <c r="AD60" s="65"/>
      <c r="AE60" s="65"/>
      <c r="AF60" s="65"/>
      <c r="AG60" s="65"/>
      <c r="AH60" s="65"/>
      <c r="AI60" s="65"/>
      <c r="AJ60" s="65"/>
      <c r="AK60" s="65"/>
      <c r="AL60" s="65"/>
      <c r="AM60" s="65"/>
    </row>
    <row r="61">
      <c r="AB61" s="65"/>
      <c r="AC61" s="65"/>
      <c r="AD61" s="65"/>
      <c r="AE61" s="65"/>
      <c r="AF61" s="65"/>
      <c r="AG61" s="65"/>
      <c r="AH61" s="65"/>
      <c r="AI61" s="65"/>
      <c r="AJ61" s="65"/>
      <c r="AK61" s="65"/>
      <c r="AL61" s="65"/>
      <c r="AM61" s="65"/>
    </row>
    <row r="62">
      <c r="AB62" s="65"/>
      <c r="AC62" s="65"/>
      <c r="AD62" s="65"/>
      <c r="AE62" s="65"/>
      <c r="AF62" s="65"/>
      <c r="AG62" s="65"/>
      <c r="AH62" s="65"/>
      <c r="AI62" s="65"/>
      <c r="AJ62" s="65"/>
      <c r="AK62" s="65"/>
      <c r="AL62" s="65"/>
      <c r="AM62" s="65"/>
    </row>
    <row r="63">
      <c r="AB63" s="65"/>
      <c r="AC63" s="65"/>
      <c r="AD63" s="65"/>
      <c r="AE63" s="65"/>
      <c r="AF63" s="65"/>
      <c r="AG63" s="65"/>
      <c r="AH63" s="65"/>
      <c r="AI63" s="65"/>
      <c r="AJ63" s="65"/>
      <c r="AK63" s="65"/>
      <c r="AL63" s="65"/>
      <c r="AM63" s="65"/>
    </row>
    <row r="64">
      <c r="AB64" s="65"/>
      <c r="AC64" s="65"/>
      <c r="AD64" s="65"/>
      <c r="AE64" s="65"/>
      <c r="AF64" s="65"/>
      <c r="AG64" s="65"/>
      <c r="AH64" s="65"/>
      <c r="AI64" s="65"/>
      <c r="AJ64" s="65"/>
      <c r="AK64" s="65"/>
      <c r="AL64" s="65"/>
      <c r="AM64" s="65"/>
    </row>
    <row r="65">
      <c r="AB65" s="65"/>
      <c r="AC65" s="65"/>
      <c r="AD65" s="65"/>
      <c r="AE65" s="65"/>
      <c r="AF65" s="65"/>
      <c r="AG65" s="65"/>
      <c r="AH65" s="65"/>
      <c r="AI65" s="65"/>
      <c r="AJ65" s="65"/>
      <c r="AK65" s="65"/>
      <c r="AL65" s="65"/>
      <c r="AM65" s="65"/>
    </row>
    <row r="66">
      <c r="AB66" s="65"/>
      <c r="AC66" s="65"/>
      <c r="AD66" s="65"/>
      <c r="AE66" s="65"/>
      <c r="AF66" s="65"/>
      <c r="AG66" s="65"/>
      <c r="AH66" s="65"/>
      <c r="AI66" s="65"/>
      <c r="AJ66" s="65"/>
      <c r="AK66" s="65"/>
      <c r="AL66" s="65"/>
      <c r="AM66" s="65"/>
    </row>
    <row r="67">
      <c r="AB67" s="65"/>
      <c r="AC67" s="65"/>
      <c r="AD67" s="65"/>
      <c r="AE67" s="65"/>
      <c r="AF67" s="65"/>
      <c r="AG67" s="65"/>
      <c r="AH67" s="65"/>
      <c r="AI67" s="65"/>
      <c r="AJ67" s="65"/>
      <c r="AK67" s="65"/>
      <c r="AL67" s="65"/>
      <c r="AM67" s="65"/>
    </row>
    <row r="68">
      <c r="AB68" s="65"/>
      <c r="AC68" s="65"/>
      <c r="AD68" s="65"/>
      <c r="AE68" s="65"/>
      <c r="AF68" s="65"/>
      <c r="AG68" s="65"/>
      <c r="AH68" s="65"/>
      <c r="AI68" s="65"/>
      <c r="AJ68" s="65"/>
      <c r="AK68" s="65"/>
      <c r="AL68" s="65"/>
      <c r="AM68" s="65"/>
    </row>
    <row r="69">
      <c r="AB69" s="65"/>
      <c r="AC69" s="65"/>
      <c r="AD69" s="65"/>
      <c r="AE69" s="65"/>
      <c r="AF69" s="65"/>
      <c r="AG69" s="65"/>
      <c r="AH69" s="65"/>
      <c r="AI69" s="65"/>
      <c r="AJ69" s="65"/>
      <c r="AK69" s="65"/>
      <c r="AL69" s="65"/>
      <c r="AM69" s="65"/>
    </row>
    <row r="70">
      <c r="AB70" s="65"/>
      <c r="AC70" s="65"/>
      <c r="AD70" s="65"/>
      <c r="AE70" s="65"/>
      <c r="AF70" s="65"/>
      <c r="AG70" s="65"/>
      <c r="AH70" s="65"/>
      <c r="AI70" s="65"/>
      <c r="AJ70" s="65"/>
      <c r="AK70" s="65"/>
      <c r="AL70" s="65"/>
      <c r="AM70" s="65"/>
    </row>
    <row r="71">
      <c r="AB71" s="65"/>
      <c r="AC71" s="65"/>
      <c r="AD71" s="65"/>
      <c r="AE71" s="65"/>
      <c r="AF71" s="65"/>
      <c r="AG71" s="65"/>
      <c r="AH71" s="65"/>
      <c r="AI71" s="65"/>
      <c r="AJ71" s="65"/>
      <c r="AK71" s="65"/>
      <c r="AL71" s="65"/>
      <c r="AM71" s="65"/>
    </row>
    <row r="72">
      <c r="AB72" s="65"/>
      <c r="AC72" s="65"/>
      <c r="AD72" s="65"/>
      <c r="AE72" s="65"/>
      <c r="AF72" s="65"/>
      <c r="AG72" s="65"/>
      <c r="AH72" s="65"/>
      <c r="AI72" s="65"/>
      <c r="AJ72" s="65"/>
      <c r="AK72" s="65"/>
      <c r="AL72" s="65"/>
      <c r="AM72" s="65"/>
    </row>
    <row r="73">
      <c r="AB73" s="65"/>
      <c r="AC73" s="65"/>
      <c r="AD73" s="65"/>
      <c r="AE73" s="65"/>
      <c r="AF73" s="65"/>
      <c r="AG73" s="65"/>
      <c r="AH73" s="65"/>
      <c r="AI73" s="65"/>
      <c r="AJ73" s="65"/>
      <c r="AK73" s="65"/>
      <c r="AL73" s="65"/>
      <c r="AM73" s="65"/>
    </row>
    <row r="74">
      <c r="AB74" s="65"/>
      <c r="AC74" s="65"/>
      <c r="AD74" s="65"/>
      <c r="AE74" s="65"/>
      <c r="AF74" s="65"/>
      <c r="AG74" s="65"/>
      <c r="AH74" s="65"/>
      <c r="AI74" s="65"/>
      <c r="AJ74" s="65"/>
      <c r="AK74" s="65"/>
      <c r="AL74" s="65"/>
      <c r="AM74" s="65"/>
    </row>
    <row r="75">
      <c r="AB75" s="65"/>
      <c r="AC75" s="65"/>
      <c r="AD75" s="65"/>
      <c r="AE75" s="65"/>
      <c r="AF75" s="65"/>
      <c r="AG75" s="65"/>
      <c r="AH75" s="65"/>
      <c r="AI75" s="65"/>
      <c r="AJ75" s="65"/>
      <c r="AK75" s="65"/>
      <c r="AL75" s="65"/>
      <c r="AM75" s="65"/>
    </row>
    <row r="76">
      <c r="AB76" s="65"/>
      <c r="AC76" s="65"/>
      <c r="AD76" s="65"/>
      <c r="AE76" s="65"/>
      <c r="AF76" s="65"/>
      <c r="AG76" s="65"/>
      <c r="AH76" s="65"/>
      <c r="AI76" s="65"/>
      <c r="AJ76" s="65"/>
      <c r="AK76" s="65"/>
      <c r="AL76" s="65"/>
      <c r="AM76" s="65"/>
    </row>
    <row r="77">
      <c r="AB77" s="65"/>
      <c r="AC77" s="65"/>
      <c r="AD77" s="65"/>
      <c r="AE77" s="65"/>
      <c r="AF77" s="65"/>
      <c r="AG77" s="65"/>
      <c r="AH77" s="65"/>
      <c r="AI77" s="65"/>
      <c r="AJ77" s="65"/>
      <c r="AK77" s="65"/>
      <c r="AL77" s="65"/>
      <c r="AM77" s="65"/>
    </row>
    <row r="78">
      <c r="AB78" s="65"/>
      <c r="AC78" s="65"/>
      <c r="AD78" s="65"/>
      <c r="AE78" s="65"/>
      <c r="AF78" s="65"/>
      <c r="AG78" s="65"/>
      <c r="AH78" s="65"/>
      <c r="AI78" s="65"/>
      <c r="AJ78" s="65"/>
      <c r="AK78" s="65"/>
      <c r="AL78" s="65"/>
      <c r="AM78" s="65"/>
    </row>
    <row r="79">
      <c r="AB79" s="65"/>
      <c r="AC79" s="65"/>
      <c r="AD79" s="65"/>
      <c r="AE79" s="65"/>
      <c r="AF79" s="65"/>
      <c r="AG79" s="65"/>
      <c r="AH79" s="65"/>
      <c r="AI79" s="65"/>
      <c r="AJ79" s="65"/>
      <c r="AK79" s="65"/>
      <c r="AL79" s="65"/>
      <c r="AM79" s="65"/>
    </row>
    <row r="80">
      <c r="AB80" s="65"/>
      <c r="AC80" s="65"/>
      <c r="AD80" s="65"/>
      <c r="AE80" s="65"/>
      <c r="AF80" s="65"/>
      <c r="AG80" s="65"/>
      <c r="AH80" s="65"/>
      <c r="AI80" s="65"/>
      <c r="AJ80" s="65"/>
      <c r="AK80" s="65"/>
      <c r="AL80" s="65"/>
      <c r="AM80" s="65"/>
    </row>
    <row r="81">
      <c r="AB81" s="65"/>
      <c r="AC81" s="65"/>
      <c r="AD81" s="65"/>
      <c r="AE81" s="65"/>
      <c r="AF81" s="65"/>
      <c r="AG81" s="65"/>
      <c r="AH81" s="65"/>
      <c r="AI81" s="65"/>
      <c r="AJ81" s="65"/>
      <c r="AK81" s="65"/>
      <c r="AL81" s="65"/>
      <c r="AM81" s="65"/>
    </row>
    <row r="82">
      <c r="AB82" s="65"/>
      <c r="AC82" s="65"/>
      <c r="AD82" s="65"/>
      <c r="AE82" s="65"/>
      <c r="AF82" s="65"/>
      <c r="AG82" s="65"/>
      <c r="AH82" s="65"/>
      <c r="AI82" s="65"/>
      <c r="AJ82" s="65"/>
      <c r="AK82" s="65"/>
      <c r="AL82" s="65"/>
      <c r="AM82" s="65"/>
    </row>
    <row r="83">
      <c r="AB83" s="65"/>
      <c r="AC83" s="65"/>
      <c r="AD83" s="65"/>
      <c r="AE83" s="65"/>
      <c r="AF83" s="65"/>
      <c r="AG83" s="65"/>
      <c r="AH83" s="65"/>
      <c r="AI83" s="65"/>
      <c r="AJ83" s="65"/>
      <c r="AK83" s="65"/>
      <c r="AL83" s="65"/>
      <c r="AM83" s="65"/>
    </row>
    <row r="84">
      <c r="AB84" s="65"/>
      <c r="AC84" s="65"/>
      <c r="AD84" s="65"/>
      <c r="AE84" s="65"/>
      <c r="AF84" s="65"/>
      <c r="AG84" s="65"/>
      <c r="AH84" s="65"/>
      <c r="AI84" s="65"/>
      <c r="AJ84" s="65"/>
      <c r="AK84" s="65"/>
      <c r="AL84" s="65"/>
      <c r="AM84" s="65"/>
    </row>
    <row r="85">
      <c r="AB85" s="65"/>
      <c r="AC85" s="65"/>
      <c r="AD85" s="65"/>
      <c r="AE85" s="65"/>
      <c r="AF85" s="65"/>
      <c r="AG85" s="65"/>
      <c r="AH85" s="65"/>
      <c r="AI85" s="65"/>
      <c r="AJ85" s="65"/>
      <c r="AK85" s="65"/>
      <c r="AL85" s="65"/>
      <c r="AM85" s="65"/>
    </row>
    <row r="86">
      <c r="AB86" s="65"/>
      <c r="AC86" s="65"/>
      <c r="AD86" s="65"/>
      <c r="AE86" s="65"/>
      <c r="AF86" s="65"/>
      <c r="AG86" s="65"/>
      <c r="AH86" s="65"/>
      <c r="AI86" s="65"/>
      <c r="AJ86" s="65"/>
      <c r="AK86" s="65"/>
      <c r="AL86" s="65"/>
      <c r="AM86" s="65"/>
    </row>
    <row r="87">
      <c r="AB87" s="65"/>
      <c r="AC87" s="65"/>
      <c r="AD87" s="65"/>
      <c r="AE87" s="65"/>
      <c r="AF87" s="65"/>
      <c r="AG87" s="65"/>
      <c r="AH87" s="65"/>
      <c r="AI87" s="65"/>
      <c r="AJ87" s="65"/>
      <c r="AK87" s="65"/>
      <c r="AL87" s="65"/>
      <c r="AM87" s="65"/>
    </row>
    <row r="88">
      <c r="AB88" s="65"/>
      <c r="AC88" s="65"/>
      <c r="AD88" s="65"/>
      <c r="AE88" s="65"/>
      <c r="AF88" s="65"/>
      <c r="AG88" s="65"/>
      <c r="AH88" s="65"/>
      <c r="AI88" s="65"/>
      <c r="AJ88" s="65"/>
      <c r="AK88" s="65"/>
      <c r="AL88" s="65"/>
      <c r="AM88" s="65"/>
    </row>
    <row r="89">
      <c r="AB89" s="65"/>
      <c r="AC89" s="65"/>
      <c r="AD89" s="65"/>
      <c r="AE89" s="65"/>
      <c r="AF89" s="65"/>
      <c r="AG89" s="65"/>
      <c r="AH89" s="65"/>
      <c r="AI89" s="65"/>
      <c r="AJ89" s="65"/>
      <c r="AK89" s="65"/>
      <c r="AL89" s="65"/>
      <c r="AM89" s="65"/>
    </row>
    <row r="90">
      <c r="AB90" s="65"/>
      <c r="AC90" s="65"/>
      <c r="AD90" s="65"/>
      <c r="AE90" s="65"/>
      <c r="AF90" s="65"/>
      <c r="AG90" s="65"/>
      <c r="AH90" s="65"/>
      <c r="AI90" s="65"/>
      <c r="AJ90" s="65"/>
      <c r="AK90" s="65"/>
      <c r="AL90" s="65"/>
      <c r="AM90" s="65"/>
    </row>
    <row r="91">
      <c r="AB91" s="65"/>
      <c r="AC91" s="65"/>
      <c r="AD91" s="65"/>
      <c r="AE91" s="65"/>
      <c r="AF91" s="65"/>
      <c r="AG91" s="65"/>
      <c r="AH91" s="65"/>
      <c r="AI91" s="65"/>
      <c r="AJ91" s="65"/>
      <c r="AK91" s="65"/>
      <c r="AL91" s="65"/>
      <c r="AM91" s="65"/>
    </row>
    <row r="92">
      <c r="AB92" s="65"/>
      <c r="AC92" s="65"/>
      <c r="AD92" s="65"/>
      <c r="AE92" s="65"/>
      <c r="AF92" s="65"/>
      <c r="AG92" s="65"/>
      <c r="AH92" s="65"/>
      <c r="AI92" s="65"/>
      <c r="AJ92" s="65"/>
      <c r="AK92" s="65"/>
      <c r="AL92" s="65"/>
      <c r="AM92" s="65"/>
    </row>
    <row r="93">
      <c r="AB93" s="65"/>
      <c r="AC93" s="65"/>
      <c r="AD93" s="65"/>
      <c r="AE93" s="65"/>
      <c r="AF93" s="65"/>
      <c r="AG93" s="65"/>
      <c r="AH93" s="65"/>
      <c r="AI93" s="65"/>
      <c r="AJ93" s="65"/>
      <c r="AK93" s="65"/>
      <c r="AL93" s="65"/>
      <c r="AM93" s="65"/>
    </row>
    <row r="94">
      <c r="AB94" s="65"/>
      <c r="AC94" s="65"/>
      <c r="AD94" s="65"/>
      <c r="AE94" s="65"/>
      <c r="AF94" s="65"/>
      <c r="AG94" s="65"/>
      <c r="AH94" s="65"/>
      <c r="AI94" s="65"/>
      <c r="AJ94" s="65"/>
      <c r="AK94" s="65"/>
      <c r="AL94" s="65"/>
      <c r="AM94" s="65"/>
    </row>
    <row r="95">
      <c r="AB95" s="65"/>
      <c r="AC95" s="65"/>
      <c r="AD95" s="65"/>
      <c r="AE95" s="65"/>
      <c r="AF95" s="65"/>
      <c r="AG95" s="65"/>
      <c r="AH95" s="65"/>
      <c r="AI95" s="65"/>
      <c r="AJ95" s="65"/>
      <c r="AK95" s="65"/>
      <c r="AL95" s="65"/>
      <c r="AM95" s="65"/>
    </row>
    <row r="96">
      <c r="AB96" s="65"/>
      <c r="AC96" s="65"/>
      <c r="AD96" s="65"/>
      <c r="AE96" s="65"/>
      <c r="AF96" s="65"/>
      <c r="AG96" s="65"/>
      <c r="AH96" s="65"/>
      <c r="AI96" s="65"/>
      <c r="AJ96" s="65"/>
      <c r="AK96" s="65"/>
      <c r="AL96" s="65"/>
      <c r="AM96" s="65"/>
    </row>
    <row r="97">
      <c r="AB97" s="65"/>
      <c r="AC97" s="65"/>
      <c r="AD97" s="65"/>
      <c r="AE97" s="65"/>
      <c r="AF97" s="65"/>
      <c r="AG97" s="65"/>
      <c r="AH97" s="65"/>
      <c r="AI97" s="65"/>
      <c r="AJ97" s="65"/>
      <c r="AK97" s="65"/>
      <c r="AL97" s="65"/>
      <c r="AM97" s="65"/>
    </row>
    <row r="98">
      <c r="AB98" s="65"/>
      <c r="AC98" s="65"/>
      <c r="AD98" s="65"/>
      <c r="AE98" s="65"/>
      <c r="AF98" s="65"/>
      <c r="AG98" s="65"/>
      <c r="AH98" s="65"/>
      <c r="AI98" s="65"/>
      <c r="AJ98" s="65"/>
      <c r="AK98" s="65"/>
      <c r="AL98" s="65"/>
      <c r="AM98" s="65"/>
    </row>
    <row r="99">
      <c r="AB99" s="65"/>
      <c r="AC99" s="65"/>
      <c r="AD99" s="65"/>
      <c r="AE99" s="65"/>
      <c r="AF99" s="65"/>
      <c r="AG99" s="65"/>
      <c r="AH99" s="65"/>
      <c r="AI99" s="65"/>
      <c r="AJ99" s="65"/>
      <c r="AK99" s="65"/>
      <c r="AL99" s="65"/>
      <c r="AM99" s="65"/>
    </row>
    <row r="100">
      <c r="AB100" s="65"/>
      <c r="AC100" s="65"/>
      <c r="AD100" s="65"/>
      <c r="AE100" s="65"/>
      <c r="AF100" s="65"/>
      <c r="AG100" s="65"/>
      <c r="AH100" s="65"/>
      <c r="AI100" s="65"/>
      <c r="AJ100" s="65"/>
      <c r="AK100" s="65"/>
      <c r="AL100" s="65"/>
      <c r="AM100" s="65"/>
    </row>
    <row r="101">
      <c r="AB101" s="65"/>
      <c r="AC101" s="65"/>
      <c r="AD101" s="65"/>
      <c r="AE101" s="65"/>
      <c r="AF101" s="65"/>
      <c r="AG101" s="65"/>
      <c r="AH101" s="65"/>
      <c r="AI101" s="65"/>
      <c r="AJ101" s="65"/>
      <c r="AK101" s="65"/>
      <c r="AL101" s="65"/>
      <c r="AM101" s="65"/>
    </row>
    <row r="102">
      <c r="AB102" s="65"/>
      <c r="AC102" s="65"/>
      <c r="AD102" s="65"/>
      <c r="AE102" s="65"/>
      <c r="AF102" s="65"/>
      <c r="AG102" s="65"/>
      <c r="AH102" s="65"/>
      <c r="AI102" s="65"/>
      <c r="AJ102" s="65"/>
      <c r="AK102" s="65"/>
      <c r="AL102" s="65"/>
      <c r="AM102" s="65"/>
    </row>
    <row r="103">
      <c r="AB103" s="65"/>
      <c r="AC103" s="65"/>
      <c r="AD103" s="65"/>
      <c r="AE103" s="65"/>
      <c r="AF103" s="65"/>
      <c r="AG103" s="65"/>
      <c r="AH103" s="65"/>
      <c r="AI103" s="65"/>
      <c r="AJ103" s="65"/>
      <c r="AK103" s="65"/>
      <c r="AL103" s="65"/>
      <c r="AM103" s="65"/>
    </row>
    <row r="104">
      <c r="AB104" s="65"/>
      <c r="AC104" s="65"/>
      <c r="AD104" s="65"/>
      <c r="AE104" s="65"/>
      <c r="AF104" s="65"/>
      <c r="AG104" s="65"/>
      <c r="AH104" s="65"/>
      <c r="AI104" s="65"/>
      <c r="AJ104" s="65"/>
      <c r="AK104" s="65"/>
      <c r="AL104" s="65"/>
      <c r="AM104" s="65"/>
    </row>
    <row r="105">
      <c r="AB105" s="65"/>
      <c r="AC105" s="65"/>
      <c r="AD105" s="65"/>
      <c r="AE105" s="65"/>
      <c r="AF105" s="65"/>
      <c r="AG105" s="65"/>
      <c r="AH105" s="65"/>
      <c r="AI105" s="65"/>
      <c r="AJ105" s="65"/>
      <c r="AK105" s="65"/>
      <c r="AL105" s="65"/>
      <c r="AM105" s="65"/>
    </row>
    <row r="106">
      <c r="AB106" s="65"/>
      <c r="AC106" s="65"/>
      <c r="AD106" s="65"/>
      <c r="AE106" s="65"/>
      <c r="AF106" s="65"/>
      <c r="AG106" s="65"/>
      <c r="AH106" s="65"/>
      <c r="AI106" s="65"/>
      <c r="AJ106" s="65"/>
      <c r="AK106" s="65"/>
      <c r="AL106" s="65"/>
      <c r="AM106" s="65"/>
    </row>
    <row r="107">
      <c r="AB107" s="65"/>
      <c r="AC107" s="65"/>
      <c r="AD107" s="65"/>
      <c r="AE107" s="65"/>
      <c r="AF107" s="65"/>
      <c r="AG107" s="65"/>
      <c r="AH107" s="65"/>
      <c r="AI107" s="65"/>
      <c r="AJ107" s="65"/>
      <c r="AK107" s="65"/>
      <c r="AL107" s="65"/>
      <c r="AM107" s="65"/>
    </row>
    <row r="108">
      <c r="AB108" s="65"/>
      <c r="AC108" s="65"/>
      <c r="AD108" s="65"/>
      <c r="AE108" s="65"/>
      <c r="AF108" s="65"/>
      <c r="AG108" s="65"/>
      <c r="AH108" s="65"/>
      <c r="AI108" s="65"/>
      <c r="AJ108" s="65"/>
      <c r="AK108" s="65"/>
      <c r="AL108" s="65"/>
      <c r="AM108" s="65"/>
    </row>
    <row r="109">
      <c r="AB109" s="65"/>
      <c r="AC109" s="65"/>
      <c r="AD109" s="65"/>
      <c r="AE109" s="65"/>
      <c r="AF109" s="65"/>
      <c r="AG109" s="65"/>
      <c r="AH109" s="65"/>
      <c r="AI109" s="65"/>
      <c r="AJ109" s="65"/>
      <c r="AK109" s="65"/>
      <c r="AL109" s="65"/>
      <c r="AM109" s="65"/>
    </row>
    <row r="110">
      <c r="AB110" s="65"/>
      <c r="AC110" s="65"/>
      <c r="AD110" s="65"/>
      <c r="AE110" s="65"/>
      <c r="AF110" s="65"/>
      <c r="AG110" s="65"/>
      <c r="AH110" s="65"/>
      <c r="AI110" s="65"/>
      <c r="AJ110" s="65"/>
      <c r="AK110" s="65"/>
      <c r="AL110" s="65"/>
      <c r="AM110" s="65"/>
    </row>
    <row r="111">
      <c r="AB111" s="65"/>
      <c r="AC111" s="65"/>
      <c r="AD111" s="65"/>
      <c r="AE111" s="65"/>
      <c r="AF111" s="65"/>
      <c r="AG111" s="65"/>
      <c r="AH111" s="65"/>
      <c r="AI111" s="65"/>
      <c r="AJ111" s="65"/>
      <c r="AK111" s="65"/>
      <c r="AL111" s="65"/>
      <c r="AM111" s="65"/>
    </row>
    <row r="112">
      <c r="AB112" s="65"/>
      <c r="AC112" s="65"/>
      <c r="AD112" s="65"/>
      <c r="AE112" s="65"/>
      <c r="AF112" s="65"/>
      <c r="AG112" s="65"/>
      <c r="AH112" s="65"/>
      <c r="AI112" s="65"/>
      <c r="AJ112" s="65"/>
      <c r="AK112" s="65"/>
      <c r="AL112" s="65"/>
      <c r="AM112" s="65"/>
    </row>
    <row r="113">
      <c r="AB113" s="65"/>
      <c r="AC113" s="65"/>
      <c r="AD113" s="65"/>
      <c r="AE113" s="65"/>
      <c r="AF113" s="65"/>
      <c r="AG113" s="65"/>
      <c r="AH113" s="65"/>
      <c r="AI113" s="65"/>
      <c r="AJ113" s="65"/>
      <c r="AK113" s="65"/>
      <c r="AL113" s="65"/>
      <c r="AM113" s="65"/>
    </row>
    <row r="114">
      <c r="AB114" s="65"/>
      <c r="AC114" s="65"/>
      <c r="AD114" s="65"/>
      <c r="AE114" s="65"/>
      <c r="AF114" s="65"/>
      <c r="AG114" s="65"/>
      <c r="AH114" s="65"/>
      <c r="AI114" s="65"/>
      <c r="AJ114" s="65"/>
      <c r="AK114" s="65"/>
      <c r="AL114" s="65"/>
      <c r="AM114" s="65"/>
    </row>
    <row r="115">
      <c r="AB115" s="65"/>
      <c r="AC115" s="65"/>
      <c r="AD115" s="65"/>
      <c r="AE115" s="65"/>
      <c r="AF115" s="65"/>
      <c r="AG115" s="65"/>
      <c r="AH115" s="65"/>
      <c r="AI115" s="65"/>
      <c r="AJ115" s="65"/>
      <c r="AK115" s="65"/>
      <c r="AL115" s="65"/>
      <c r="AM115" s="65"/>
    </row>
    <row r="116">
      <c r="AB116" s="65"/>
      <c r="AC116" s="65"/>
      <c r="AD116" s="65"/>
      <c r="AE116" s="65"/>
      <c r="AF116" s="65"/>
      <c r="AG116" s="65"/>
      <c r="AH116" s="65"/>
      <c r="AI116" s="65"/>
      <c r="AJ116" s="65"/>
      <c r="AK116" s="65"/>
      <c r="AL116" s="65"/>
      <c r="AM116" s="65"/>
    </row>
    <row r="117">
      <c r="AB117" s="65"/>
      <c r="AC117" s="65"/>
      <c r="AD117" s="65"/>
      <c r="AE117" s="65"/>
      <c r="AF117" s="65"/>
      <c r="AG117" s="65"/>
      <c r="AH117" s="65"/>
      <c r="AI117" s="65"/>
      <c r="AJ117" s="65"/>
      <c r="AK117" s="65"/>
      <c r="AL117" s="65"/>
      <c r="AM117" s="65"/>
    </row>
    <row r="118">
      <c r="AB118" s="65"/>
      <c r="AC118" s="65"/>
      <c r="AD118" s="65"/>
      <c r="AE118" s="65"/>
      <c r="AF118" s="65"/>
      <c r="AG118" s="65"/>
      <c r="AH118" s="65"/>
      <c r="AI118" s="65"/>
      <c r="AJ118" s="65"/>
      <c r="AK118" s="65"/>
      <c r="AL118" s="65"/>
      <c r="AM118" s="65"/>
    </row>
    <row r="119">
      <c r="AB119" s="65"/>
      <c r="AC119" s="65"/>
      <c r="AD119" s="65"/>
      <c r="AE119" s="65"/>
      <c r="AF119" s="65"/>
      <c r="AG119" s="65"/>
      <c r="AH119" s="65"/>
      <c r="AI119" s="65"/>
      <c r="AJ119" s="65"/>
      <c r="AK119" s="65"/>
      <c r="AL119" s="65"/>
      <c r="AM119" s="65"/>
    </row>
    <row r="120">
      <c r="AB120" s="65"/>
      <c r="AC120" s="65"/>
      <c r="AD120" s="65"/>
      <c r="AE120" s="65"/>
      <c r="AF120" s="65"/>
      <c r="AG120" s="65"/>
      <c r="AH120" s="65"/>
      <c r="AI120" s="65"/>
      <c r="AJ120" s="65"/>
      <c r="AK120" s="65"/>
      <c r="AL120" s="65"/>
      <c r="AM120" s="65"/>
    </row>
    <row r="121">
      <c r="AB121" s="65"/>
      <c r="AC121" s="65"/>
      <c r="AD121" s="65"/>
      <c r="AE121" s="65"/>
      <c r="AF121" s="65"/>
      <c r="AG121" s="65"/>
      <c r="AH121" s="65"/>
      <c r="AI121" s="65"/>
      <c r="AJ121" s="65"/>
      <c r="AK121" s="65"/>
      <c r="AL121" s="65"/>
      <c r="AM121" s="65"/>
    </row>
    <row r="122">
      <c r="AB122" s="65"/>
      <c r="AC122" s="65"/>
      <c r="AD122" s="65"/>
      <c r="AE122" s="65"/>
      <c r="AF122" s="65"/>
      <c r="AG122" s="65"/>
      <c r="AH122" s="65"/>
      <c r="AI122" s="65"/>
      <c r="AJ122" s="65"/>
      <c r="AK122" s="65"/>
      <c r="AL122" s="65"/>
      <c r="AM122" s="65"/>
    </row>
    <row r="123">
      <c r="AB123" s="65"/>
      <c r="AC123" s="65"/>
      <c r="AD123" s="65"/>
      <c r="AE123" s="65"/>
      <c r="AF123" s="65"/>
      <c r="AG123" s="65"/>
      <c r="AH123" s="65"/>
      <c r="AI123" s="65"/>
      <c r="AJ123" s="65"/>
      <c r="AK123" s="65"/>
      <c r="AL123" s="65"/>
      <c r="AM123" s="65"/>
    </row>
    <row r="124">
      <c r="AB124" s="65"/>
      <c r="AC124" s="65"/>
      <c r="AD124" s="65"/>
      <c r="AE124" s="65"/>
      <c r="AF124" s="65"/>
      <c r="AG124" s="65"/>
      <c r="AH124" s="65"/>
      <c r="AI124" s="65"/>
      <c r="AJ124" s="65"/>
      <c r="AK124" s="65"/>
      <c r="AL124" s="65"/>
      <c r="AM124" s="65"/>
    </row>
    <row r="125">
      <c r="AB125" s="65"/>
      <c r="AC125" s="65"/>
      <c r="AD125" s="65"/>
      <c r="AE125" s="65"/>
      <c r="AF125" s="65"/>
      <c r="AG125" s="65"/>
      <c r="AH125" s="65"/>
      <c r="AI125" s="65"/>
      <c r="AJ125" s="65"/>
      <c r="AK125" s="65"/>
      <c r="AL125" s="65"/>
      <c r="AM125" s="65"/>
    </row>
    <row r="126">
      <c r="AB126" s="65"/>
      <c r="AC126" s="65"/>
      <c r="AD126" s="65"/>
      <c r="AE126" s="65"/>
      <c r="AF126" s="65"/>
      <c r="AG126" s="65"/>
      <c r="AH126" s="65"/>
      <c r="AI126" s="65"/>
      <c r="AJ126" s="65"/>
      <c r="AK126" s="65"/>
      <c r="AL126" s="65"/>
      <c r="AM126" s="65"/>
    </row>
    <row r="127">
      <c r="AB127" s="65"/>
      <c r="AC127" s="65"/>
      <c r="AD127" s="65"/>
      <c r="AE127" s="65"/>
      <c r="AF127" s="65"/>
      <c r="AG127" s="65"/>
      <c r="AH127" s="65"/>
      <c r="AI127" s="65"/>
      <c r="AJ127" s="65"/>
      <c r="AK127" s="65"/>
      <c r="AL127" s="65"/>
      <c r="AM127" s="65"/>
    </row>
    <row r="128">
      <c r="AB128" s="65"/>
      <c r="AC128" s="65"/>
      <c r="AD128" s="65"/>
      <c r="AE128" s="65"/>
      <c r="AF128" s="65"/>
      <c r="AG128" s="65"/>
      <c r="AH128" s="65"/>
      <c r="AI128" s="65"/>
      <c r="AJ128" s="65"/>
      <c r="AK128" s="65"/>
      <c r="AL128" s="65"/>
      <c r="AM128" s="65"/>
    </row>
    <row r="129">
      <c r="AB129" s="65"/>
      <c r="AC129" s="65"/>
      <c r="AD129" s="65"/>
      <c r="AE129" s="65"/>
      <c r="AF129" s="65"/>
      <c r="AG129" s="65"/>
      <c r="AH129" s="65"/>
      <c r="AI129" s="65"/>
      <c r="AJ129" s="65"/>
      <c r="AK129" s="65"/>
      <c r="AL129" s="65"/>
      <c r="AM129" s="65"/>
    </row>
    <row r="130">
      <c r="AB130" s="65"/>
      <c r="AC130" s="65"/>
      <c r="AD130" s="65"/>
      <c r="AE130" s="65"/>
      <c r="AF130" s="65"/>
      <c r="AG130" s="65"/>
      <c r="AH130" s="65"/>
      <c r="AI130" s="65"/>
      <c r="AJ130" s="65"/>
      <c r="AK130" s="65"/>
      <c r="AL130" s="65"/>
      <c r="AM130" s="65"/>
    </row>
    <row r="131">
      <c r="AB131" s="65"/>
      <c r="AC131" s="65"/>
      <c r="AD131" s="65"/>
      <c r="AE131" s="65"/>
      <c r="AF131" s="65"/>
      <c r="AG131" s="65"/>
      <c r="AH131" s="65"/>
      <c r="AI131" s="65"/>
      <c r="AJ131" s="65"/>
      <c r="AK131" s="65"/>
      <c r="AL131" s="65"/>
      <c r="AM131" s="65"/>
    </row>
    <row r="132">
      <c r="AB132" s="65"/>
      <c r="AC132" s="65"/>
      <c r="AD132" s="65"/>
      <c r="AE132" s="65"/>
      <c r="AF132" s="65"/>
      <c r="AG132" s="65"/>
      <c r="AH132" s="65"/>
      <c r="AI132" s="65"/>
      <c r="AJ132" s="65"/>
      <c r="AK132" s="65"/>
      <c r="AL132" s="65"/>
      <c r="AM132" s="65"/>
    </row>
    <row r="133">
      <c r="AB133" s="65"/>
      <c r="AC133" s="65"/>
      <c r="AD133" s="65"/>
      <c r="AE133" s="65"/>
      <c r="AF133" s="65"/>
      <c r="AG133" s="65"/>
      <c r="AH133" s="65"/>
      <c r="AI133" s="65"/>
      <c r="AJ133" s="65"/>
      <c r="AK133" s="65"/>
      <c r="AL133" s="65"/>
      <c r="AM133" s="65"/>
    </row>
    <row r="134">
      <c r="AB134" s="65"/>
      <c r="AC134" s="65"/>
      <c r="AD134" s="65"/>
      <c r="AE134" s="65"/>
      <c r="AF134" s="65"/>
      <c r="AG134" s="65"/>
      <c r="AH134" s="65"/>
      <c r="AI134" s="65"/>
      <c r="AJ134" s="65"/>
      <c r="AK134" s="65"/>
      <c r="AL134" s="65"/>
      <c r="AM134" s="65"/>
    </row>
    <row r="135">
      <c r="AB135" s="65"/>
      <c r="AC135" s="65"/>
      <c r="AD135" s="65"/>
      <c r="AE135" s="65"/>
      <c r="AF135" s="65"/>
      <c r="AG135" s="65"/>
      <c r="AH135" s="65"/>
      <c r="AI135" s="65"/>
      <c r="AJ135" s="65"/>
      <c r="AK135" s="65"/>
      <c r="AL135" s="65"/>
      <c r="AM135" s="65"/>
    </row>
    <row r="136">
      <c r="AB136" s="65"/>
      <c r="AC136" s="65"/>
      <c r="AD136" s="65"/>
      <c r="AE136" s="65"/>
      <c r="AF136" s="65"/>
      <c r="AG136" s="65"/>
      <c r="AH136" s="65"/>
      <c r="AI136" s="65"/>
      <c r="AJ136" s="65"/>
      <c r="AK136" s="65"/>
      <c r="AL136" s="65"/>
      <c r="AM136" s="65"/>
    </row>
    <row r="137">
      <c r="AB137" s="65"/>
      <c r="AC137" s="65"/>
      <c r="AD137" s="65"/>
      <c r="AE137" s="65"/>
      <c r="AF137" s="65"/>
      <c r="AG137" s="65"/>
      <c r="AH137" s="65"/>
      <c r="AI137" s="65"/>
      <c r="AJ137" s="65"/>
      <c r="AK137" s="65"/>
      <c r="AL137" s="65"/>
      <c r="AM137" s="65"/>
    </row>
    <row r="138">
      <c r="AB138" s="65"/>
      <c r="AC138" s="65"/>
      <c r="AD138" s="65"/>
      <c r="AE138" s="65"/>
      <c r="AF138" s="65"/>
      <c r="AG138" s="65"/>
      <c r="AH138" s="65"/>
      <c r="AI138" s="65"/>
      <c r="AJ138" s="65"/>
      <c r="AK138" s="65"/>
      <c r="AL138" s="65"/>
      <c r="AM138" s="65"/>
    </row>
    <row r="139">
      <c r="AB139" s="65"/>
      <c r="AC139" s="65"/>
      <c r="AD139" s="65"/>
      <c r="AE139" s="65"/>
      <c r="AF139" s="65"/>
      <c r="AG139" s="65"/>
      <c r="AH139" s="65"/>
      <c r="AI139" s="65"/>
      <c r="AJ139" s="65"/>
      <c r="AK139" s="65"/>
      <c r="AL139" s="65"/>
      <c r="AM139" s="65"/>
    </row>
    <row r="140">
      <c r="AB140" s="65"/>
      <c r="AC140" s="65"/>
      <c r="AD140" s="65"/>
      <c r="AE140" s="65"/>
      <c r="AF140" s="65"/>
      <c r="AG140" s="65"/>
      <c r="AH140" s="65"/>
      <c r="AI140" s="65"/>
      <c r="AJ140" s="65"/>
      <c r="AK140" s="65"/>
      <c r="AL140" s="65"/>
      <c r="AM140" s="65"/>
    </row>
    <row r="141">
      <c r="AB141" s="65"/>
      <c r="AC141" s="65"/>
      <c r="AD141" s="65"/>
      <c r="AE141" s="65"/>
      <c r="AF141" s="65"/>
      <c r="AG141" s="65"/>
      <c r="AH141" s="65"/>
      <c r="AI141" s="65"/>
      <c r="AJ141" s="65"/>
      <c r="AK141" s="65"/>
      <c r="AL141" s="65"/>
      <c r="AM141" s="65"/>
    </row>
    <row r="142">
      <c r="AB142" s="65"/>
      <c r="AC142" s="65"/>
      <c r="AD142" s="65"/>
      <c r="AE142" s="65"/>
      <c r="AF142" s="65"/>
      <c r="AG142" s="65"/>
      <c r="AH142" s="65"/>
      <c r="AI142" s="65"/>
      <c r="AJ142" s="65"/>
      <c r="AK142" s="65"/>
      <c r="AL142" s="65"/>
      <c r="AM142" s="65"/>
    </row>
    <row r="143">
      <c r="AB143" s="65"/>
      <c r="AC143" s="65"/>
      <c r="AD143" s="65"/>
      <c r="AE143" s="65"/>
      <c r="AF143" s="65"/>
      <c r="AG143" s="65"/>
      <c r="AH143" s="65"/>
      <c r="AI143" s="65"/>
      <c r="AJ143" s="65"/>
      <c r="AK143" s="65"/>
      <c r="AL143" s="65"/>
      <c r="AM143" s="65"/>
    </row>
    <row r="144">
      <c r="AB144" s="65"/>
      <c r="AC144" s="65"/>
      <c r="AD144" s="65"/>
      <c r="AE144" s="65"/>
      <c r="AF144" s="65"/>
      <c r="AG144" s="65"/>
      <c r="AH144" s="65"/>
      <c r="AI144" s="65"/>
      <c r="AJ144" s="65"/>
      <c r="AK144" s="65"/>
      <c r="AL144" s="65"/>
      <c r="AM144" s="65"/>
    </row>
    <row r="145">
      <c r="AB145" s="65"/>
      <c r="AC145" s="65"/>
      <c r="AD145" s="65"/>
      <c r="AE145" s="65"/>
      <c r="AF145" s="65"/>
      <c r="AG145" s="65"/>
      <c r="AH145" s="65"/>
      <c r="AI145" s="65"/>
      <c r="AJ145" s="65"/>
      <c r="AK145" s="65"/>
      <c r="AL145" s="65"/>
      <c r="AM145" s="65"/>
    </row>
    <row r="146">
      <c r="AB146" s="65"/>
      <c r="AC146" s="65"/>
      <c r="AD146" s="65"/>
      <c r="AE146" s="65"/>
      <c r="AF146" s="65"/>
      <c r="AG146" s="65"/>
      <c r="AH146" s="65"/>
      <c r="AI146" s="65"/>
      <c r="AJ146" s="65"/>
      <c r="AK146" s="65"/>
      <c r="AL146" s="65"/>
      <c r="AM146" s="65"/>
    </row>
    <row r="147">
      <c r="AB147" s="65"/>
      <c r="AC147" s="65"/>
      <c r="AD147" s="65"/>
      <c r="AE147" s="65"/>
      <c r="AF147" s="65"/>
      <c r="AG147" s="65"/>
      <c r="AH147" s="65"/>
      <c r="AI147" s="65"/>
      <c r="AJ147" s="65"/>
      <c r="AK147" s="65"/>
      <c r="AL147" s="65"/>
      <c r="AM147" s="65"/>
    </row>
    <row r="148">
      <c r="AB148" s="65"/>
      <c r="AC148" s="65"/>
      <c r="AD148" s="65"/>
      <c r="AE148" s="65"/>
      <c r="AF148" s="65"/>
      <c r="AG148" s="65"/>
      <c r="AH148" s="65"/>
      <c r="AI148" s="65"/>
      <c r="AJ148" s="65"/>
      <c r="AK148" s="65"/>
      <c r="AL148" s="65"/>
      <c r="AM148" s="65"/>
    </row>
    <row r="149">
      <c r="AB149" s="65"/>
      <c r="AC149" s="65"/>
      <c r="AD149" s="65"/>
      <c r="AE149" s="65"/>
      <c r="AF149" s="65"/>
      <c r="AG149" s="65"/>
      <c r="AH149" s="65"/>
      <c r="AI149" s="65"/>
      <c r="AJ149" s="65"/>
      <c r="AK149" s="65"/>
      <c r="AL149" s="65"/>
      <c r="AM149" s="65"/>
    </row>
    <row r="150">
      <c r="AB150" s="65"/>
      <c r="AC150" s="65"/>
      <c r="AD150" s="65"/>
      <c r="AE150" s="65"/>
      <c r="AF150" s="65"/>
      <c r="AG150" s="65"/>
      <c r="AH150" s="65"/>
      <c r="AI150" s="65"/>
      <c r="AJ150" s="65"/>
      <c r="AK150" s="65"/>
      <c r="AL150" s="65"/>
      <c r="AM150" s="65"/>
    </row>
    <row r="151">
      <c r="AB151" s="65"/>
      <c r="AC151" s="65"/>
      <c r="AD151" s="65"/>
      <c r="AE151" s="65"/>
      <c r="AF151" s="65"/>
      <c r="AG151" s="65"/>
      <c r="AH151" s="65"/>
      <c r="AI151" s="65"/>
      <c r="AJ151" s="65"/>
      <c r="AK151" s="65"/>
      <c r="AL151" s="65"/>
      <c r="AM151" s="65"/>
    </row>
    <row r="152">
      <c r="AB152" s="65"/>
      <c r="AC152" s="65"/>
      <c r="AD152" s="65"/>
      <c r="AE152" s="65"/>
      <c r="AF152" s="65"/>
      <c r="AG152" s="65"/>
      <c r="AH152" s="65"/>
      <c r="AI152" s="65"/>
      <c r="AJ152" s="65"/>
      <c r="AK152" s="65"/>
      <c r="AL152" s="65"/>
      <c r="AM152" s="65"/>
    </row>
    <row r="153">
      <c r="AB153" s="65"/>
      <c r="AC153" s="65"/>
      <c r="AD153" s="65"/>
      <c r="AE153" s="65"/>
      <c r="AF153" s="65"/>
      <c r="AG153" s="65"/>
      <c r="AH153" s="65"/>
      <c r="AI153" s="65"/>
      <c r="AJ153" s="65"/>
      <c r="AK153" s="65"/>
      <c r="AL153" s="65"/>
      <c r="AM153" s="65"/>
    </row>
    <row r="154">
      <c r="AB154" s="65"/>
      <c r="AC154" s="65"/>
      <c r="AD154" s="65"/>
      <c r="AE154" s="65"/>
      <c r="AF154" s="65"/>
      <c r="AG154" s="65"/>
      <c r="AH154" s="65"/>
      <c r="AI154" s="65"/>
      <c r="AJ154" s="65"/>
      <c r="AK154" s="65"/>
      <c r="AL154" s="65"/>
      <c r="AM154" s="65"/>
    </row>
    <row r="155">
      <c r="AB155" s="65"/>
      <c r="AC155" s="65"/>
      <c r="AD155" s="65"/>
      <c r="AE155" s="65"/>
      <c r="AF155" s="65"/>
      <c r="AG155" s="65"/>
      <c r="AH155" s="65"/>
      <c r="AI155" s="65"/>
      <c r="AJ155" s="65"/>
      <c r="AK155" s="65"/>
      <c r="AL155" s="65"/>
      <c r="AM155" s="65"/>
    </row>
    <row r="156">
      <c r="AB156" s="65"/>
      <c r="AC156" s="65"/>
      <c r="AD156" s="65"/>
      <c r="AE156" s="65"/>
      <c r="AF156" s="65"/>
      <c r="AG156" s="65"/>
      <c r="AH156" s="65"/>
      <c r="AI156" s="65"/>
      <c r="AJ156" s="65"/>
      <c r="AK156" s="65"/>
      <c r="AL156" s="65"/>
      <c r="AM156" s="65"/>
    </row>
    <row r="157">
      <c r="AB157" s="65"/>
      <c r="AC157" s="65"/>
      <c r="AD157" s="65"/>
      <c r="AE157" s="65"/>
      <c r="AF157" s="65"/>
      <c r="AG157" s="65"/>
      <c r="AH157" s="65"/>
      <c r="AI157" s="65"/>
      <c r="AJ157" s="65"/>
      <c r="AK157" s="65"/>
      <c r="AL157" s="65"/>
      <c r="AM157" s="65"/>
    </row>
    <row r="158">
      <c r="AB158" s="65"/>
      <c r="AC158" s="65"/>
      <c r="AD158" s="65"/>
      <c r="AE158" s="65"/>
      <c r="AF158" s="65"/>
      <c r="AG158" s="65"/>
      <c r="AH158" s="65"/>
      <c r="AI158" s="65"/>
      <c r="AJ158" s="65"/>
      <c r="AK158" s="65"/>
      <c r="AL158" s="65"/>
      <c r="AM158" s="65"/>
    </row>
    <row r="159">
      <c r="AB159" s="65"/>
      <c r="AC159" s="65"/>
      <c r="AD159" s="65"/>
      <c r="AE159" s="65"/>
      <c r="AF159" s="65"/>
      <c r="AG159" s="65"/>
      <c r="AH159" s="65"/>
      <c r="AI159" s="65"/>
      <c r="AJ159" s="65"/>
      <c r="AK159" s="65"/>
      <c r="AL159" s="65"/>
      <c r="AM159" s="65"/>
    </row>
    <row r="160">
      <c r="AB160" s="65"/>
      <c r="AC160" s="65"/>
      <c r="AD160" s="65"/>
      <c r="AE160" s="65"/>
      <c r="AF160" s="65"/>
      <c r="AG160" s="65"/>
      <c r="AH160" s="65"/>
      <c r="AI160" s="65"/>
      <c r="AJ160" s="65"/>
      <c r="AK160" s="65"/>
      <c r="AL160" s="65"/>
      <c r="AM160" s="65"/>
    </row>
    <row r="161">
      <c r="AB161" s="65"/>
      <c r="AC161" s="65"/>
      <c r="AD161" s="65"/>
      <c r="AE161" s="65"/>
      <c r="AF161" s="65"/>
      <c r="AG161" s="65"/>
      <c r="AH161" s="65"/>
      <c r="AI161" s="65"/>
      <c r="AJ161" s="65"/>
      <c r="AK161" s="65"/>
      <c r="AL161" s="65"/>
      <c r="AM161" s="65"/>
    </row>
    <row r="162">
      <c r="AB162" s="65"/>
      <c r="AC162" s="65"/>
      <c r="AD162" s="65"/>
      <c r="AE162" s="65"/>
      <c r="AF162" s="65"/>
      <c r="AG162" s="65"/>
      <c r="AH162" s="65"/>
      <c r="AI162" s="65"/>
      <c r="AJ162" s="65"/>
      <c r="AK162" s="65"/>
      <c r="AL162" s="65"/>
      <c r="AM162" s="65"/>
    </row>
    <row r="163">
      <c r="AB163" s="65"/>
      <c r="AC163" s="65"/>
      <c r="AD163" s="65"/>
      <c r="AE163" s="65"/>
      <c r="AF163" s="65"/>
      <c r="AG163" s="65"/>
      <c r="AH163" s="65"/>
      <c r="AI163" s="65"/>
      <c r="AJ163" s="65"/>
      <c r="AK163" s="65"/>
      <c r="AL163" s="65"/>
      <c r="AM163" s="65"/>
    </row>
    <row r="164">
      <c r="AB164" s="65"/>
      <c r="AC164" s="65"/>
      <c r="AD164" s="65"/>
      <c r="AE164" s="65"/>
      <c r="AF164" s="65"/>
      <c r="AG164" s="65"/>
      <c r="AH164" s="65"/>
      <c r="AI164" s="65"/>
      <c r="AJ164" s="65"/>
      <c r="AK164" s="65"/>
      <c r="AL164" s="65"/>
      <c r="AM164" s="65"/>
    </row>
    <row r="165">
      <c r="AB165" s="65"/>
      <c r="AC165" s="65"/>
      <c r="AD165" s="65"/>
      <c r="AE165" s="65"/>
      <c r="AF165" s="65"/>
      <c r="AG165" s="65"/>
      <c r="AH165" s="65"/>
      <c r="AI165" s="65"/>
      <c r="AJ165" s="65"/>
      <c r="AK165" s="65"/>
      <c r="AL165" s="65"/>
      <c r="AM165" s="65"/>
    </row>
    <row r="166">
      <c r="AB166" s="65"/>
      <c r="AC166" s="65"/>
      <c r="AD166" s="65"/>
      <c r="AE166" s="65"/>
      <c r="AF166" s="65"/>
      <c r="AG166" s="65"/>
      <c r="AH166" s="65"/>
      <c r="AI166" s="65"/>
      <c r="AJ166" s="65"/>
      <c r="AK166" s="65"/>
      <c r="AL166" s="65"/>
      <c r="AM166" s="65"/>
    </row>
    <row r="167">
      <c r="AB167" s="65"/>
      <c r="AC167" s="65"/>
      <c r="AD167" s="65"/>
      <c r="AE167" s="65"/>
      <c r="AF167" s="65"/>
      <c r="AG167" s="65"/>
      <c r="AH167" s="65"/>
      <c r="AI167" s="65"/>
      <c r="AJ167" s="65"/>
      <c r="AK167" s="65"/>
      <c r="AL167" s="65"/>
      <c r="AM167" s="65"/>
    </row>
    <row r="168">
      <c r="AB168" s="65"/>
      <c r="AC168" s="65"/>
      <c r="AD168" s="65"/>
      <c r="AE168" s="65"/>
      <c r="AF168" s="65"/>
      <c r="AG168" s="65"/>
      <c r="AH168" s="65"/>
      <c r="AI168" s="65"/>
      <c r="AJ168" s="65"/>
      <c r="AK168" s="65"/>
      <c r="AL168" s="65"/>
      <c r="AM168" s="65"/>
    </row>
    <row r="169">
      <c r="AB169" s="65"/>
      <c r="AC169" s="65"/>
      <c r="AD169" s="65"/>
      <c r="AE169" s="65"/>
      <c r="AF169" s="65"/>
      <c r="AG169" s="65"/>
      <c r="AH169" s="65"/>
      <c r="AI169" s="65"/>
      <c r="AJ169" s="65"/>
      <c r="AK169" s="65"/>
      <c r="AL169" s="65"/>
      <c r="AM169" s="65"/>
    </row>
    <row r="170">
      <c r="AB170" s="65"/>
      <c r="AC170" s="65"/>
      <c r="AD170" s="65"/>
      <c r="AE170" s="65"/>
      <c r="AF170" s="65"/>
      <c r="AG170" s="65"/>
      <c r="AH170" s="65"/>
      <c r="AI170" s="65"/>
      <c r="AJ170" s="65"/>
      <c r="AK170" s="65"/>
      <c r="AL170" s="65"/>
      <c r="AM170" s="65"/>
    </row>
    <row r="171">
      <c r="AB171" s="65"/>
      <c r="AC171" s="65"/>
      <c r="AD171" s="65"/>
      <c r="AE171" s="65"/>
      <c r="AF171" s="65"/>
      <c r="AG171" s="65"/>
      <c r="AH171" s="65"/>
      <c r="AI171" s="65"/>
      <c r="AJ171" s="65"/>
      <c r="AK171" s="65"/>
      <c r="AL171" s="65"/>
      <c r="AM171" s="65"/>
    </row>
    <row r="172">
      <c r="AB172" s="65"/>
      <c r="AC172" s="65"/>
      <c r="AD172" s="65"/>
      <c r="AE172" s="65"/>
      <c r="AF172" s="65"/>
      <c r="AG172" s="65"/>
      <c r="AH172" s="65"/>
      <c r="AI172" s="65"/>
      <c r="AJ172" s="65"/>
      <c r="AK172" s="65"/>
      <c r="AL172" s="65"/>
      <c r="AM172" s="65"/>
    </row>
    <row r="173">
      <c r="AB173" s="65"/>
      <c r="AC173" s="65"/>
      <c r="AD173" s="65"/>
      <c r="AE173" s="65"/>
      <c r="AF173" s="65"/>
      <c r="AG173" s="65"/>
      <c r="AH173" s="65"/>
      <c r="AI173" s="65"/>
      <c r="AJ173" s="65"/>
      <c r="AK173" s="65"/>
      <c r="AL173" s="65"/>
      <c r="AM173" s="65"/>
    </row>
    <row r="174">
      <c r="AB174" s="65"/>
      <c r="AC174" s="65"/>
      <c r="AD174" s="65"/>
      <c r="AE174" s="65"/>
      <c r="AF174" s="65"/>
      <c r="AG174" s="65"/>
      <c r="AH174" s="65"/>
      <c r="AI174" s="65"/>
      <c r="AJ174" s="65"/>
      <c r="AK174" s="65"/>
      <c r="AL174" s="65"/>
      <c r="AM174" s="65"/>
    </row>
    <row r="175">
      <c r="AB175" s="65"/>
      <c r="AC175" s="65"/>
      <c r="AD175" s="65"/>
      <c r="AE175" s="65"/>
      <c r="AF175" s="65"/>
      <c r="AG175" s="65"/>
      <c r="AH175" s="65"/>
      <c r="AI175" s="65"/>
      <c r="AJ175" s="65"/>
      <c r="AK175" s="65"/>
      <c r="AL175" s="65"/>
      <c r="AM175" s="65"/>
    </row>
    <row r="176">
      <c r="AB176" s="65"/>
      <c r="AC176" s="65"/>
      <c r="AD176" s="65"/>
      <c r="AE176" s="65"/>
      <c r="AF176" s="65"/>
      <c r="AG176" s="65"/>
      <c r="AH176" s="65"/>
      <c r="AI176" s="65"/>
      <c r="AJ176" s="65"/>
      <c r="AK176" s="65"/>
      <c r="AL176" s="65"/>
      <c r="AM176" s="65"/>
    </row>
    <row r="177">
      <c r="AB177" s="65"/>
      <c r="AC177" s="65"/>
      <c r="AD177" s="65"/>
      <c r="AE177" s="65"/>
      <c r="AF177" s="65"/>
      <c r="AG177" s="65"/>
      <c r="AH177" s="65"/>
      <c r="AI177" s="65"/>
      <c r="AJ177" s="65"/>
      <c r="AK177" s="65"/>
      <c r="AL177" s="65"/>
      <c r="AM177" s="65"/>
    </row>
    <row r="178">
      <c r="AB178" s="65"/>
      <c r="AC178" s="65"/>
      <c r="AD178" s="65"/>
      <c r="AE178" s="65"/>
      <c r="AF178" s="65"/>
      <c r="AG178" s="65"/>
      <c r="AH178" s="65"/>
      <c r="AI178" s="65"/>
      <c r="AJ178" s="65"/>
      <c r="AK178" s="65"/>
      <c r="AL178" s="65"/>
      <c r="AM178" s="65"/>
    </row>
    <row r="179">
      <c r="AB179" s="65"/>
      <c r="AC179" s="65"/>
      <c r="AD179" s="65"/>
      <c r="AE179" s="65"/>
      <c r="AF179" s="65"/>
      <c r="AG179" s="65"/>
      <c r="AH179" s="65"/>
      <c r="AI179" s="65"/>
      <c r="AJ179" s="65"/>
      <c r="AK179" s="65"/>
      <c r="AL179" s="65"/>
      <c r="AM179" s="65"/>
    </row>
    <row r="180">
      <c r="AB180" s="65"/>
      <c r="AC180" s="65"/>
      <c r="AD180" s="65"/>
      <c r="AE180" s="65"/>
      <c r="AF180" s="65"/>
      <c r="AG180" s="65"/>
      <c r="AH180" s="65"/>
      <c r="AI180" s="65"/>
      <c r="AJ180" s="65"/>
      <c r="AK180" s="65"/>
      <c r="AL180" s="65"/>
      <c r="AM180" s="65"/>
    </row>
    <row r="181">
      <c r="AB181" s="65"/>
      <c r="AC181" s="65"/>
      <c r="AD181" s="65"/>
      <c r="AE181" s="65"/>
      <c r="AF181" s="65"/>
      <c r="AG181" s="65"/>
      <c r="AH181" s="65"/>
      <c r="AI181" s="65"/>
      <c r="AJ181" s="65"/>
      <c r="AK181" s="65"/>
      <c r="AL181" s="65"/>
      <c r="AM181" s="65"/>
    </row>
    <row r="182">
      <c r="AB182" s="65"/>
      <c r="AC182" s="65"/>
      <c r="AD182" s="65"/>
      <c r="AE182" s="65"/>
      <c r="AF182" s="65"/>
      <c r="AG182" s="65"/>
      <c r="AH182" s="65"/>
      <c r="AI182" s="65"/>
      <c r="AJ182" s="65"/>
      <c r="AK182" s="65"/>
      <c r="AL182" s="65"/>
      <c r="AM182" s="65"/>
    </row>
    <row r="183">
      <c r="AB183" s="65"/>
      <c r="AC183" s="65"/>
      <c r="AD183" s="65"/>
      <c r="AE183" s="65"/>
      <c r="AF183" s="65"/>
      <c r="AG183" s="65"/>
      <c r="AH183" s="65"/>
      <c r="AI183" s="65"/>
      <c r="AJ183" s="65"/>
      <c r="AK183" s="65"/>
      <c r="AL183" s="65"/>
      <c r="AM183" s="65"/>
    </row>
    <row r="184">
      <c r="AB184" s="65"/>
      <c r="AC184" s="65"/>
      <c r="AD184" s="65"/>
      <c r="AE184" s="65"/>
      <c r="AF184" s="65"/>
      <c r="AG184" s="65"/>
      <c r="AH184" s="65"/>
      <c r="AI184" s="65"/>
      <c r="AJ184" s="65"/>
      <c r="AK184" s="65"/>
      <c r="AL184" s="65"/>
      <c r="AM184" s="65"/>
    </row>
    <row r="185">
      <c r="AB185" s="65"/>
      <c r="AC185" s="65"/>
      <c r="AD185" s="65"/>
      <c r="AE185" s="65"/>
      <c r="AF185" s="65"/>
      <c r="AG185" s="65"/>
      <c r="AH185" s="65"/>
      <c r="AI185" s="65"/>
      <c r="AJ185" s="65"/>
      <c r="AK185" s="65"/>
      <c r="AL185" s="65"/>
      <c r="AM185" s="65"/>
    </row>
    <row r="186">
      <c r="AB186" s="65"/>
      <c r="AC186" s="65"/>
      <c r="AD186" s="65"/>
      <c r="AE186" s="65"/>
      <c r="AF186" s="65"/>
      <c r="AG186" s="65"/>
      <c r="AH186" s="65"/>
      <c r="AI186" s="65"/>
      <c r="AJ186" s="65"/>
      <c r="AK186" s="65"/>
      <c r="AL186" s="65"/>
      <c r="AM186" s="65"/>
    </row>
    <row r="187">
      <c r="AB187" s="65"/>
      <c r="AC187" s="65"/>
      <c r="AD187" s="65"/>
      <c r="AE187" s="65"/>
      <c r="AF187" s="65"/>
      <c r="AG187" s="65"/>
      <c r="AH187" s="65"/>
      <c r="AI187" s="65"/>
      <c r="AJ187" s="65"/>
      <c r="AK187" s="65"/>
      <c r="AL187" s="65"/>
      <c r="AM187" s="65"/>
    </row>
    <row r="188">
      <c r="AB188" s="65"/>
      <c r="AC188" s="65"/>
      <c r="AD188" s="65"/>
      <c r="AE188" s="65"/>
      <c r="AF188" s="65"/>
      <c r="AG188" s="65"/>
      <c r="AH188" s="65"/>
      <c r="AI188" s="65"/>
      <c r="AJ188" s="65"/>
      <c r="AK188" s="65"/>
      <c r="AL188" s="65"/>
      <c r="AM188" s="65"/>
    </row>
    <row r="189">
      <c r="AB189" s="65"/>
      <c r="AC189" s="65"/>
      <c r="AD189" s="65"/>
      <c r="AE189" s="65"/>
      <c r="AF189" s="65"/>
      <c r="AG189" s="65"/>
      <c r="AH189" s="65"/>
      <c r="AI189" s="65"/>
      <c r="AJ189" s="65"/>
      <c r="AK189" s="65"/>
      <c r="AL189" s="65"/>
      <c r="AM189" s="65"/>
    </row>
    <row r="190">
      <c r="AB190" s="65"/>
      <c r="AC190" s="65"/>
      <c r="AD190" s="65"/>
      <c r="AE190" s="65"/>
      <c r="AF190" s="65"/>
      <c r="AG190" s="65"/>
      <c r="AH190" s="65"/>
      <c r="AI190" s="65"/>
      <c r="AJ190" s="65"/>
      <c r="AK190" s="65"/>
      <c r="AL190" s="65"/>
      <c r="AM190" s="65"/>
    </row>
    <row r="191">
      <c r="AB191" s="65"/>
      <c r="AC191" s="65"/>
      <c r="AD191" s="65"/>
      <c r="AE191" s="65"/>
      <c r="AF191" s="65"/>
      <c r="AG191" s="65"/>
      <c r="AH191" s="65"/>
      <c r="AI191" s="65"/>
      <c r="AJ191" s="65"/>
      <c r="AK191" s="65"/>
      <c r="AL191" s="65"/>
      <c r="AM191" s="65"/>
    </row>
    <row r="192">
      <c r="AB192" s="65"/>
      <c r="AC192" s="65"/>
      <c r="AD192" s="65"/>
      <c r="AE192" s="65"/>
      <c r="AF192" s="65"/>
      <c r="AG192" s="65"/>
      <c r="AH192" s="65"/>
      <c r="AI192" s="65"/>
      <c r="AJ192" s="65"/>
      <c r="AK192" s="65"/>
      <c r="AL192" s="65"/>
      <c r="AM192" s="65"/>
    </row>
    <row r="193">
      <c r="AB193" s="65"/>
      <c r="AC193" s="65"/>
      <c r="AD193" s="65"/>
      <c r="AE193" s="65"/>
      <c r="AF193" s="65"/>
      <c r="AG193" s="65"/>
      <c r="AH193" s="65"/>
      <c r="AI193" s="65"/>
      <c r="AJ193" s="65"/>
      <c r="AK193" s="65"/>
      <c r="AL193" s="65"/>
      <c r="AM193" s="65"/>
    </row>
    <row r="194">
      <c r="AB194" s="65"/>
      <c r="AC194" s="65"/>
      <c r="AD194" s="65"/>
      <c r="AE194" s="65"/>
      <c r="AF194" s="65"/>
      <c r="AG194" s="65"/>
      <c r="AH194" s="65"/>
      <c r="AI194" s="65"/>
      <c r="AJ194" s="65"/>
      <c r="AK194" s="65"/>
      <c r="AL194" s="65"/>
      <c r="AM194" s="65"/>
    </row>
    <row r="195">
      <c r="AB195" s="65"/>
      <c r="AC195" s="65"/>
      <c r="AD195" s="65"/>
      <c r="AE195" s="65"/>
      <c r="AF195" s="65"/>
      <c r="AG195" s="65"/>
      <c r="AH195" s="65"/>
      <c r="AI195" s="65"/>
      <c r="AJ195" s="65"/>
      <c r="AK195" s="65"/>
      <c r="AL195" s="65"/>
      <c r="AM195" s="65"/>
    </row>
    <row r="196">
      <c r="AB196" s="65"/>
      <c r="AC196" s="65"/>
      <c r="AD196" s="65"/>
      <c r="AE196" s="65"/>
      <c r="AF196" s="65"/>
      <c r="AG196" s="65"/>
      <c r="AH196" s="65"/>
      <c r="AI196" s="65"/>
      <c r="AJ196" s="65"/>
      <c r="AK196" s="65"/>
      <c r="AL196" s="65"/>
      <c r="AM196" s="65"/>
    </row>
    <row r="197">
      <c r="AB197" s="65"/>
      <c r="AC197" s="65"/>
      <c r="AD197" s="65"/>
      <c r="AE197" s="65"/>
      <c r="AF197" s="65"/>
      <c r="AG197" s="65"/>
      <c r="AH197" s="65"/>
      <c r="AI197" s="65"/>
      <c r="AJ197" s="65"/>
      <c r="AK197" s="65"/>
      <c r="AL197" s="65"/>
      <c r="AM197" s="65"/>
    </row>
    <row r="198">
      <c r="AB198" s="65"/>
      <c r="AC198" s="65"/>
      <c r="AD198" s="65"/>
      <c r="AE198" s="65"/>
      <c r="AF198" s="65"/>
      <c r="AG198" s="65"/>
      <c r="AH198" s="65"/>
      <c r="AI198" s="65"/>
      <c r="AJ198" s="65"/>
      <c r="AK198" s="65"/>
      <c r="AL198" s="65"/>
      <c r="AM198" s="65"/>
    </row>
    <row r="199">
      <c r="AB199" s="65"/>
      <c r="AC199" s="65"/>
      <c r="AD199" s="65"/>
      <c r="AE199" s="65"/>
      <c r="AF199" s="65"/>
      <c r="AG199" s="65"/>
      <c r="AH199" s="65"/>
      <c r="AI199" s="65"/>
      <c r="AJ199" s="65"/>
      <c r="AK199" s="65"/>
      <c r="AL199" s="65"/>
      <c r="AM199" s="65"/>
    </row>
    <row r="200">
      <c r="AB200" s="65"/>
      <c r="AC200" s="65"/>
      <c r="AD200" s="65"/>
      <c r="AE200" s="65"/>
      <c r="AF200" s="65"/>
      <c r="AG200" s="65"/>
      <c r="AH200" s="65"/>
      <c r="AI200" s="65"/>
      <c r="AJ200" s="65"/>
      <c r="AK200" s="65"/>
      <c r="AL200" s="65"/>
      <c r="AM200" s="65"/>
    </row>
    <row r="201">
      <c r="AB201" s="65"/>
      <c r="AC201" s="65"/>
      <c r="AD201" s="65"/>
      <c r="AE201" s="65"/>
      <c r="AF201" s="65"/>
      <c r="AG201" s="65"/>
      <c r="AH201" s="65"/>
      <c r="AI201" s="65"/>
      <c r="AJ201" s="65"/>
      <c r="AK201" s="65"/>
      <c r="AL201" s="65"/>
      <c r="AM201" s="65"/>
    </row>
    <row r="202">
      <c r="AB202" s="65"/>
      <c r="AC202" s="65"/>
      <c r="AD202" s="65"/>
      <c r="AE202" s="65"/>
      <c r="AF202" s="65"/>
      <c r="AG202" s="65"/>
      <c r="AH202" s="65"/>
      <c r="AI202" s="65"/>
      <c r="AJ202" s="65"/>
      <c r="AK202" s="65"/>
      <c r="AL202" s="65"/>
      <c r="AM202" s="65"/>
    </row>
    <row r="203">
      <c r="AB203" s="65"/>
      <c r="AC203" s="65"/>
      <c r="AD203" s="65"/>
      <c r="AE203" s="65"/>
      <c r="AF203" s="65"/>
      <c r="AG203" s="65"/>
      <c r="AH203" s="65"/>
      <c r="AI203" s="65"/>
      <c r="AJ203" s="65"/>
      <c r="AK203" s="65"/>
      <c r="AL203" s="65"/>
      <c r="AM203" s="65"/>
    </row>
    <row r="204">
      <c r="AB204" s="65"/>
      <c r="AC204" s="65"/>
      <c r="AD204" s="65"/>
      <c r="AE204" s="65"/>
      <c r="AF204" s="65"/>
      <c r="AG204" s="65"/>
      <c r="AH204" s="65"/>
      <c r="AI204" s="65"/>
      <c r="AJ204" s="65"/>
      <c r="AK204" s="65"/>
      <c r="AL204" s="65"/>
      <c r="AM204" s="65"/>
    </row>
    <row r="205">
      <c r="AB205" s="65"/>
      <c r="AC205" s="65"/>
      <c r="AD205" s="65"/>
      <c r="AE205" s="65"/>
      <c r="AF205" s="65"/>
      <c r="AG205" s="65"/>
      <c r="AH205" s="65"/>
      <c r="AI205" s="65"/>
      <c r="AJ205" s="65"/>
      <c r="AK205" s="65"/>
      <c r="AL205" s="65"/>
      <c r="AM205" s="65"/>
    </row>
    <row r="206">
      <c r="AB206" s="65"/>
      <c r="AC206" s="65"/>
      <c r="AD206" s="65"/>
      <c r="AE206" s="65"/>
      <c r="AF206" s="65"/>
      <c r="AG206" s="65"/>
      <c r="AH206" s="65"/>
      <c r="AI206" s="65"/>
      <c r="AJ206" s="65"/>
      <c r="AK206" s="65"/>
      <c r="AL206" s="65"/>
      <c r="AM206" s="65"/>
    </row>
    <row r="207">
      <c r="AB207" s="65"/>
      <c r="AC207" s="65"/>
      <c r="AD207" s="65"/>
      <c r="AE207" s="65"/>
      <c r="AF207" s="65"/>
      <c r="AG207" s="65"/>
      <c r="AH207" s="65"/>
      <c r="AI207" s="65"/>
      <c r="AJ207" s="65"/>
      <c r="AK207" s="65"/>
      <c r="AL207" s="65"/>
      <c r="AM207" s="65"/>
    </row>
    <row r="208">
      <c r="AB208" s="65"/>
      <c r="AC208" s="65"/>
      <c r="AD208" s="65"/>
      <c r="AE208" s="65"/>
      <c r="AF208" s="65"/>
      <c r="AG208" s="65"/>
      <c r="AH208" s="65"/>
      <c r="AI208" s="65"/>
      <c r="AJ208" s="65"/>
      <c r="AK208" s="65"/>
      <c r="AL208" s="65"/>
      <c r="AM208" s="65"/>
    </row>
    <row r="209">
      <c r="AB209" s="65"/>
      <c r="AC209" s="65"/>
      <c r="AD209" s="65"/>
      <c r="AE209" s="65"/>
      <c r="AF209" s="65"/>
      <c r="AG209" s="65"/>
      <c r="AH209" s="65"/>
      <c r="AI209" s="65"/>
      <c r="AJ209" s="65"/>
      <c r="AK209" s="65"/>
      <c r="AL209" s="65"/>
      <c r="AM209" s="65"/>
    </row>
    <row r="210">
      <c r="AB210" s="65"/>
      <c r="AC210" s="65"/>
      <c r="AD210" s="65"/>
      <c r="AE210" s="65"/>
      <c r="AF210" s="65"/>
      <c r="AG210" s="65"/>
      <c r="AH210" s="65"/>
      <c r="AI210" s="65"/>
      <c r="AJ210" s="65"/>
      <c r="AK210" s="65"/>
      <c r="AL210" s="65"/>
      <c r="AM210" s="65"/>
    </row>
    <row r="211">
      <c r="AB211" s="65"/>
      <c r="AC211" s="65"/>
      <c r="AD211" s="65"/>
      <c r="AE211" s="65"/>
      <c r="AF211" s="65"/>
      <c r="AG211" s="65"/>
      <c r="AH211" s="65"/>
      <c r="AI211" s="65"/>
      <c r="AJ211" s="65"/>
      <c r="AK211" s="65"/>
      <c r="AL211" s="65"/>
      <c r="AM211" s="65"/>
    </row>
    <row r="212">
      <c r="AB212" s="65"/>
      <c r="AC212" s="65"/>
      <c r="AD212" s="65"/>
      <c r="AE212" s="65"/>
      <c r="AF212" s="65"/>
      <c r="AG212" s="65"/>
      <c r="AH212" s="65"/>
      <c r="AI212" s="65"/>
      <c r="AJ212" s="65"/>
      <c r="AK212" s="65"/>
      <c r="AL212" s="65"/>
      <c r="AM212" s="65"/>
    </row>
    <row r="213">
      <c r="AB213" s="65"/>
      <c r="AC213" s="65"/>
      <c r="AD213" s="65"/>
      <c r="AE213" s="65"/>
      <c r="AF213" s="65"/>
      <c r="AG213" s="65"/>
      <c r="AH213" s="65"/>
      <c r="AI213" s="65"/>
      <c r="AJ213" s="65"/>
      <c r="AK213" s="65"/>
      <c r="AL213" s="65"/>
      <c r="AM213" s="65"/>
    </row>
    <row r="214">
      <c r="AB214" s="65"/>
      <c r="AC214" s="65"/>
      <c r="AD214" s="65"/>
      <c r="AE214" s="65"/>
      <c r="AF214" s="65"/>
      <c r="AG214" s="65"/>
      <c r="AH214" s="65"/>
      <c r="AI214" s="65"/>
      <c r="AJ214" s="65"/>
      <c r="AK214" s="65"/>
      <c r="AL214" s="65"/>
      <c r="AM214" s="65"/>
    </row>
    <row r="215">
      <c r="AB215" s="65"/>
      <c r="AC215" s="65"/>
      <c r="AD215" s="65"/>
      <c r="AE215" s="65"/>
      <c r="AF215" s="65"/>
      <c r="AG215" s="65"/>
      <c r="AH215" s="65"/>
      <c r="AI215" s="65"/>
      <c r="AJ215" s="65"/>
      <c r="AK215" s="65"/>
      <c r="AL215" s="65"/>
      <c r="AM215" s="65"/>
    </row>
    <row r="216">
      <c r="AB216" s="65"/>
      <c r="AC216" s="65"/>
      <c r="AD216" s="65"/>
      <c r="AE216" s="65"/>
      <c r="AF216" s="65"/>
      <c r="AG216" s="65"/>
      <c r="AH216" s="65"/>
      <c r="AI216" s="65"/>
      <c r="AJ216" s="65"/>
      <c r="AK216" s="65"/>
      <c r="AL216" s="65"/>
      <c r="AM216" s="65"/>
    </row>
    <row r="217">
      <c r="AB217" s="65"/>
      <c r="AC217" s="65"/>
      <c r="AD217" s="65"/>
      <c r="AE217" s="65"/>
      <c r="AF217" s="65"/>
      <c r="AG217" s="65"/>
      <c r="AH217" s="65"/>
      <c r="AI217" s="65"/>
      <c r="AJ217" s="65"/>
      <c r="AK217" s="65"/>
      <c r="AL217" s="65"/>
      <c r="AM217" s="65"/>
    </row>
    <row r="218">
      <c r="AB218" s="65"/>
      <c r="AC218" s="65"/>
      <c r="AD218" s="65"/>
      <c r="AE218" s="65"/>
      <c r="AF218" s="65"/>
      <c r="AG218" s="65"/>
      <c r="AH218" s="65"/>
      <c r="AI218" s="65"/>
      <c r="AJ218" s="65"/>
      <c r="AK218" s="65"/>
      <c r="AL218" s="65"/>
      <c r="AM218" s="65"/>
    </row>
    <row r="219">
      <c r="AB219" s="65"/>
      <c r="AC219" s="65"/>
      <c r="AD219" s="65"/>
      <c r="AE219" s="65"/>
      <c r="AF219" s="65"/>
      <c r="AG219" s="65"/>
      <c r="AH219" s="65"/>
      <c r="AI219" s="65"/>
      <c r="AJ219" s="65"/>
      <c r="AK219" s="65"/>
      <c r="AL219" s="65"/>
      <c r="AM219" s="65"/>
    </row>
    <row r="220">
      <c r="AB220" s="65"/>
      <c r="AC220" s="65"/>
      <c r="AD220" s="65"/>
      <c r="AE220" s="65"/>
      <c r="AF220" s="65"/>
      <c r="AG220" s="65"/>
      <c r="AH220" s="65"/>
      <c r="AI220" s="65"/>
      <c r="AJ220" s="65"/>
      <c r="AK220" s="65"/>
      <c r="AL220" s="65"/>
      <c r="AM220" s="65"/>
    </row>
    <row r="221">
      <c r="AB221" s="65"/>
      <c r="AC221" s="65"/>
      <c r="AD221" s="65"/>
      <c r="AE221" s="65"/>
      <c r="AF221" s="65"/>
      <c r="AG221" s="65"/>
      <c r="AH221" s="65"/>
      <c r="AI221" s="65"/>
      <c r="AJ221" s="65"/>
      <c r="AK221" s="65"/>
      <c r="AL221" s="65"/>
      <c r="AM221" s="65"/>
    </row>
    <row r="222">
      <c r="AB222" s="65"/>
      <c r="AC222" s="65"/>
      <c r="AD222" s="65"/>
      <c r="AE222" s="65"/>
      <c r="AF222" s="65"/>
      <c r="AG222" s="65"/>
      <c r="AH222" s="65"/>
      <c r="AI222" s="65"/>
      <c r="AJ222" s="65"/>
      <c r="AK222" s="65"/>
      <c r="AL222" s="65"/>
      <c r="AM222" s="65"/>
    </row>
    <row r="223">
      <c r="AB223" s="65"/>
      <c r="AC223" s="65"/>
      <c r="AD223" s="65"/>
      <c r="AE223" s="65"/>
      <c r="AF223" s="65"/>
      <c r="AG223" s="65"/>
      <c r="AH223" s="65"/>
      <c r="AI223" s="65"/>
      <c r="AJ223" s="65"/>
      <c r="AK223" s="65"/>
      <c r="AL223" s="65"/>
      <c r="AM223" s="65"/>
    </row>
    <row r="224">
      <c r="AB224" s="65"/>
      <c r="AC224" s="65"/>
      <c r="AD224" s="65"/>
      <c r="AE224" s="65"/>
      <c r="AF224" s="65"/>
      <c r="AG224" s="65"/>
      <c r="AH224" s="65"/>
      <c r="AI224" s="65"/>
      <c r="AJ224" s="65"/>
      <c r="AK224" s="65"/>
      <c r="AL224" s="65"/>
      <c r="AM224" s="65"/>
    </row>
    <row r="225">
      <c r="AB225" s="65"/>
      <c r="AC225" s="65"/>
      <c r="AD225" s="65"/>
      <c r="AE225" s="65"/>
      <c r="AF225" s="65"/>
      <c r="AG225" s="65"/>
      <c r="AH225" s="65"/>
      <c r="AI225" s="65"/>
      <c r="AJ225" s="65"/>
      <c r="AK225" s="65"/>
      <c r="AL225" s="65"/>
      <c r="AM225" s="65"/>
    </row>
    <row r="226">
      <c r="AB226" s="65"/>
      <c r="AC226" s="65"/>
      <c r="AD226" s="65"/>
      <c r="AE226" s="65"/>
      <c r="AF226" s="65"/>
      <c r="AG226" s="65"/>
      <c r="AH226" s="65"/>
      <c r="AI226" s="65"/>
      <c r="AJ226" s="65"/>
      <c r="AK226" s="65"/>
      <c r="AL226" s="65"/>
      <c r="AM226" s="65"/>
    </row>
    <row r="227">
      <c r="AB227" s="65"/>
      <c r="AC227" s="65"/>
      <c r="AD227" s="65"/>
      <c r="AE227" s="65"/>
      <c r="AF227" s="65"/>
      <c r="AG227" s="65"/>
      <c r="AH227" s="65"/>
      <c r="AI227" s="65"/>
      <c r="AJ227" s="65"/>
      <c r="AK227" s="65"/>
      <c r="AL227" s="65"/>
      <c r="AM227" s="65"/>
    </row>
    <row r="228">
      <c r="AB228" s="65"/>
      <c r="AC228" s="65"/>
      <c r="AD228" s="65"/>
      <c r="AE228" s="65"/>
      <c r="AF228" s="65"/>
      <c r="AG228" s="65"/>
      <c r="AH228" s="65"/>
      <c r="AI228" s="65"/>
      <c r="AJ228" s="65"/>
      <c r="AK228" s="65"/>
      <c r="AL228" s="65"/>
      <c r="AM228" s="65"/>
    </row>
    <row r="229">
      <c r="AB229" s="65"/>
      <c r="AC229" s="65"/>
      <c r="AD229" s="65"/>
      <c r="AE229" s="65"/>
      <c r="AF229" s="65"/>
      <c r="AG229" s="65"/>
      <c r="AH229" s="65"/>
      <c r="AI229" s="65"/>
      <c r="AJ229" s="65"/>
      <c r="AK229" s="65"/>
      <c r="AL229" s="65"/>
      <c r="AM229" s="65"/>
    </row>
    <row r="230">
      <c r="AB230" s="65"/>
      <c r="AC230" s="65"/>
      <c r="AD230" s="65"/>
      <c r="AE230" s="65"/>
      <c r="AF230" s="65"/>
      <c r="AG230" s="65"/>
      <c r="AH230" s="65"/>
      <c r="AI230" s="65"/>
      <c r="AJ230" s="65"/>
      <c r="AK230" s="65"/>
      <c r="AL230" s="65"/>
      <c r="AM230" s="65"/>
    </row>
    <row r="231">
      <c r="AB231" s="65"/>
      <c r="AC231" s="65"/>
      <c r="AD231" s="65"/>
      <c r="AE231" s="65"/>
      <c r="AF231" s="65"/>
      <c r="AG231" s="65"/>
      <c r="AH231" s="65"/>
      <c r="AI231" s="65"/>
      <c r="AJ231" s="65"/>
      <c r="AK231" s="65"/>
      <c r="AL231" s="65"/>
      <c r="AM231" s="65"/>
    </row>
    <row r="232">
      <c r="AB232" s="65"/>
      <c r="AC232" s="65"/>
      <c r="AD232" s="65"/>
      <c r="AE232" s="65"/>
      <c r="AF232" s="65"/>
      <c r="AG232" s="65"/>
      <c r="AH232" s="65"/>
      <c r="AI232" s="65"/>
      <c r="AJ232" s="65"/>
      <c r="AK232" s="65"/>
      <c r="AL232" s="65"/>
      <c r="AM232" s="65"/>
    </row>
    <row r="233">
      <c r="AB233" s="65"/>
      <c r="AC233" s="65"/>
      <c r="AD233" s="65"/>
      <c r="AE233" s="65"/>
      <c r="AF233" s="65"/>
      <c r="AG233" s="65"/>
      <c r="AH233" s="65"/>
      <c r="AI233" s="65"/>
      <c r="AJ233" s="65"/>
      <c r="AK233" s="65"/>
      <c r="AL233" s="65"/>
      <c r="AM233" s="65"/>
    </row>
    <row r="234">
      <c r="AB234" s="65"/>
      <c r="AC234" s="65"/>
      <c r="AD234" s="65"/>
      <c r="AE234" s="65"/>
      <c r="AF234" s="65"/>
      <c r="AG234" s="65"/>
      <c r="AH234" s="65"/>
      <c r="AI234" s="65"/>
      <c r="AJ234" s="65"/>
      <c r="AK234" s="65"/>
      <c r="AL234" s="65"/>
      <c r="AM234" s="65"/>
    </row>
    <row r="235">
      <c r="AB235" s="65"/>
      <c r="AC235" s="65"/>
      <c r="AD235" s="65"/>
      <c r="AE235" s="65"/>
      <c r="AF235" s="65"/>
      <c r="AG235" s="65"/>
      <c r="AH235" s="65"/>
      <c r="AI235" s="65"/>
      <c r="AJ235" s="65"/>
      <c r="AK235" s="65"/>
      <c r="AL235" s="65"/>
      <c r="AM235" s="65"/>
    </row>
    <row r="236">
      <c r="AB236" s="65"/>
      <c r="AC236" s="65"/>
      <c r="AD236" s="65"/>
      <c r="AE236" s="65"/>
      <c r="AF236" s="65"/>
      <c r="AG236" s="65"/>
      <c r="AH236" s="65"/>
      <c r="AI236" s="65"/>
      <c r="AJ236" s="65"/>
      <c r="AK236" s="65"/>
      <c r="AL236" s="65"/>
      <c r="AM236" s="65"/>
    </row>
    <row r="237">
      <c r="AB237" s="65"/>
      <c r="AC237" s="65"/>
      <c r="AD237" s="65"/>
      <c r="AE237" s="65"/>
      <c r="AF237" s="65"/>
      <c r="AG237" s="65"/>
      <c r="AH237" s="65"/>
      <c r="AI237" s="65"/>
      <c r="AJ237" s="65"/>
      <c r="AK237" s="65"/>
      <c r="AL237" s="65"/>
      <c r="AM237" s="65"/>
    </row>
    <row r="238">
      <c r="AB238" s="65"/>
      <c r="AC238" s="65"/>
      <c r="AD238" s="65"/>
      <c r="AE238" s="65"/>
      <c r="AF238" s="65"/>
      <c r="AG238" s="65"/>
      <c r="AH238" s="65"/>
      <c r="AI238" s="65"/>
      <c r="AJ238" s="65"/>
      <c r="AK238" s="65"/>
      <c r="AL238" s="65"/>
      <c r="AM238" s="65"/>
    </row>
    <row r="239">
      <c r="AB239" s="65"/>
      <c r="AC239" s="65"/>
      <c r="AD239" s="65"/>
      <c r="AE239" s="65"/>
      <c r="AF239" s="65"/>
      <c r="AG239" s="65"/>
      <c r="AH239" s="65"/>
      <c r="AI239" s="65"/>
      <c r="AJ239" s="65"/>
      <c r="AK239" s="65"/>
      <c r="AL239" s="65"/>
      <c r="AM239" s="65"/>
    </row>
    <row r="240">
      <c r="AB240" s="65"/>
      <c r="AC240" s="65"/>
      <c r="AD240" s="65"/>
      <c r="AE240" s="65"/>
      <c r="AF240" s="65"/>
      <c r="AG240" s="65"/>
      <c r="AH240" s="65"/>
      <c r="AI240" s="65"/>
      <c r="AJ240" s="65"/>
      <c r="AK240" s="65"/>
      <c r="AL240" s="65"/>
      <c r="AM240" s="65"/>
    </row>
    <row r="241">
      <c r="AB241" s="65"/>
      <c r="AC241" s="65"/>
      <c r="AD241" s="65"/>
      <c r="AE241" s="65"/>
      <c r="AF241" s="65"/>
      <c r="AG241" s="65"/>
      <c r="AH241" s="65"/>
      <c r="AI241" s="65"/>
      <c r="AJ241" s="65"/>
      <c r="AK241" s="65"/>
      <c r="AL241" s="65"/>
      <c r="AM241" s="65"/>
    </row>
    <row r="242">
      <c r="AB242" s="65"/>
      <c r="AC242" s="65"/>
      <c r="AD242" s="65"/>
      <c r="AE242" s="65"/>
      <c r="AF242" s="65"/>
      <c r="AG242" s="65"/>
      <c r="AH242" s="65"/>
      <c r="AI242" s="65"/>
      <c r="AJ242" s="65"/>
      <c r="AK242" s="65"/>
      <c r="AL242" s="65"/>
      <c r="AM242" s="65"/>
    </row>
    <row r="243">
      <c r="AB243" s="65"/>
      <c r="AC243" s="65"/>
      <c r="AD243" s="65"/>
      <c r="AE243" s="65"/>
      <c r="AF243" s="65"/>
      <c r="AG243" s="65"/>
      <c r="AH243" s="65"/>
      <c r="AI243" s="65"/>
      <c r="AJ243" s="65"/>
      <c r="AK243" s="65"/>
      <c r="AL243" s="65"/>
      <c r="AM243" s="65"/>
    </row>
    <row r="244">
      <c r="AB244" s="65"/>
      <c r="AC244" s="65"/>
      <c r="AD244" s="65"/>
      <c r="AE244" s="65"/>
      <c r="AF244" s="65"/>
      <c r="AG244" s="65"/>
      <c r="AH244" s="65"/>
      <c r="AI244" s="65"/>
      <c r="AJ244" s="65"/>
      <c r="AK244" s="65"/>
      <c r="AL244" s="65"/>
      <c r="AM244" s="65"/>
    </row>
    <row r="245">
      <c r="AB245" s="65"/>
      <c r="AC245" s="65"/>
      <c r="AD245" s="65"/>
      <c r="AE245" s="65"/>
      <c r="AF245" s="65"/>
      <c r="AG245" s="65"/>
      <c r="AH245" s="65"/>
      <c r="AI245" s="65"/>
      <c r="AJ245" s="65"/>
      <c r="AK245" s="65"/>
      <c r="AL245" s="65"/>
      <c r="AM245" s="65"/>
    </row>
    <row r="246">
      <c r="AB246" s="65"/>
      <c r="AC246" s="65"/>
      <c r="AD246" s="65"/>
      <c r="AE246" s="65"/>
      <c r="AF246" s="65"/>
      <c r="AG246" s="65"/>
      <c r="AH246" s="65"/>
      <c r="AI246" s="65"/>
      <c r="AJ246" s="65"/>
      <c r="AK246" s="65"/>
      <c r="AL246" s="65"/>
      <c r="AM246" s="65"/>
    </row>
    <row r="247">
      <c r="AB247" s="65"/>
      <c r="AC247" s="65"/>
      <c r="AD247" s="65"/>
      <c r="AE247" s="65"/>
      <c r="AF247" s="65"/>
      <c r="AG247" s="65"/>
      <c r="AH247" s="65"/>
      <c r="AI247" s="65"/>
      <c r="AJ247" s="65"/>
      <c r="AK247" s="65"/>
      <c r="AL247" s="65"/>
      <c r="AM247" s="65"/>
    </row>
    <row r="248">
      <c r="AB248" s="65"/>
      <c r="AC248" s="65"/>
      <c r="AD248" s="65"/>
      <c r="AE248" s="65"/>
      <c r="AF248" s="65"/>
      <c r="AG248" s="65"/>
      <c r="AH248" s="65"/>
      <c r="AI248" s="65"/>
      <c r="AJ248" s="65"/>
      <c r="AK248" s="65"/>
      <c r="AL248" s="65"/>
      <c r="AM248" s="65"/>
    </row>
    <row r="249">
      <c r="AB249" s="65"/>
      <c r="AC249" s="65"/>
      <c r="AD249" s="65"/>
      <c r="AE249" s="65"/>
      <c r="AF249" s="65"/>
      <c r="AG249" s="65"/>
      <c r="AH249" s="65"/>
      <c r="AI249" s="65"/>
      <c r="AJ249" s="65"/>
      <c r="AK249" s="65"/>
      <c r="AL249" s="65"/>
      <c r="AM249" s="65"/>
    </row>
    <row r="250">
      <c r="AB250" s="65"/>
      <c r="AC250" s="65"/>
      <c r="AD250" s="65"/>
      <c r="AE250" s="65"/>
      <c r="AF250" s="65"/>
      <c r="AG250" s="65"/>
      <c r="AH250" s="65"/>
      <c r="AI250" s="65"/>
      <c r="AJ250" s="65"/>
      <c r="AK250" s="65"/>
      <c r="AL250" s="65"/>
      <c r="AM250" s="65"/>
    </row>
    <row r="251">
      <c r="AB251" s="65"/>
      <c r="AC251" s="65"/>
      <c r="AD251" s="65"/>
      <c r="AE251" s="65"/>
      <c r="AF251" s="65"/>
      <c r="AG251" s="65"/>
      <c r="AH251" s="65"/>
      <c r="AI251" s="65"/>
      <c r="AJ251" s="65"/>
      <c r="AK251" s="65"/>
      <c r="AL251" s="65"/>
      <c r="AM251" s="65"/>
    </row>
    <row r="252">
      <c r="AB252" s="65"/>
      <c r="AC252" s="65"/>
      <c r="AD252" s="65"/>
      <c r="AE252" s="65"/>
      <c r="AF252" s="65"/>
      <c r="AG252" s="65"/>
      <c r="AH252" s="65"/>
      <c r="AI252" s="65"/>
      <c r="AJ252" s="65"/>
      <c r="AK252" s="65"/>
      <c r="AL252" s="65"/>
      <c r="AM252" s="65"/>
    </row>
    <row r="253">
      <c r="AB253" s="65"/>
      <c r="AC253" s="65"/>
      <c r="AD253" s="65"/>
      <c r="AE253" s="65"/>
      <c r="AF253" s="65"/>
      <c r="AG253" s="65"/>
      <c r="AH253" s="65"/>
      <c r="AI253" s="65"/>
      <c r="AJ253" s="65"/>
      <c r="AK253" s="65"/>
      <c r="AL253" s="65"/>
      <c r="AM253" s="65"/>
    </row>
    <row r="254">
      <c r="AB254" s="65"/>
      <c r="AC254" s="65"/>
      <c r="AD254" s="65"/>
      <c r="AE254" s="65"/>
      <c r="AF254" s="65"/>
      <c r="AG254" s="65"/>
      <c r="AH254" s="65"/>
      <c r="AI254" s="65"/>
      <c r="AJ254" s="65"/>
      <c r="AK254" s="65"/>
      <c r="AL254" s="65"/>
      <c r="AM254" s="65"/>
    </row>
    <row r="255">
      <c r="AB255" s="65"/>
      <c r="AC255" s="65"/>
      <c r="AD255" s="65"/>
      <c r="AE255" s="65"/>
      <c r="AF255" s="65"/>
      <c r="AG255" s="65"/>
      <c r="AH255" s="65"/>
      <c r="AI255" s="65"/>
      <c r="AJ255" s="65"/>
      <c r="AK255" s="65"/>
      <c r="AL255" s="65"/>
      <c r="AM255" s="65"/>
    </row>
    <row r="256">
      <c r="AB256" s="65"/>
      <c r="AC256" s="65"/>
      <c r="AD256" s="65"/>
      <c r="AE256" s="65"/>
      <c r="AF256" s="65"/>
      <c r="AG256" s="65"/>
      <c r="AH256" s="65"/>
      <c r="AI256" s="65"/>
      <c r="AJ256" s="65"/>
      <c r="AK256" s="65"/>
      <c r="AL256" s="65"/>
      <c r="AM256" s="65"/>
    </row>
    <row r="257">
      <c r="AB257" s="65"/>
      <c r="AC257" s="65"/>
      <c r="AD257" s="65"/>
      <c r="AE257" s="65"/>
      <c r="AF257" s="65"/>
      <c r="AG257" s="65"/>
      <c r="AH257" s="65"/>
      <c r="AI257" s="65"/>
      <c r="AJ257" s="65"/>
      <c r="AK257" s="65"/>
      <c r="AL257" s="65"/>
      <c r="AM257" s="65"/>
    </row>
    <row r="258">
      <c r="AB258" s="65"/>
      <c r="AC258" s="65"/>
      <c r="AD258" s="65"/>
      <c r="AE258" s="65"/>
      <c r="AF258" s="65"/>
      <c r="AG258" s="65"/>
      <c r="AH258" s="65"/>
      <c r="AI258" s="65"/>
      <c r="AJ258" s="65"/>
      <c r="AK258" s="65"/>
      <c r="AL258" s="65"/>
      <c r="AM258" s="65"/>
    </row>
    <row r="259">
      <c r="AB259" s="65"/>
      <c r="AC259" s="65"/>
      <c r="AD259" s="65"/>
      <c r="AE259" s="65"/>
      <c r="AF259" s="65"/>
      <c r="AG259" s="65"/>
      <c r="AH259" s="65"/>
      <c r="AI259" s="65"/>
      <c r="AJ259" s="65"/>
      <c r="AK259" s="65"/>
      <c r="AL259" s="65"/>
      <c r="AM259" s="65"/>
    </row>
    <row r="260">
      <c r="AB260" s="65"/>
      <c r="AC260" s="65"/>
      <c r="AD260" s="65"/>
      <c r="AE260" s="65"/>
      <c r="AF260" s="65"/>
      <c r="AG260" s="65"/>
      <c r="AH260" s="65"/>
      <c r="AI260" s="65"/>
      <c r="AJ260" s="65"/>
      <c r="AK260" s="65"/>
      <c r="AL260" s="65"/>
      <c r="AM260" s="65"/>
    </row>
    <row r="261">
      <c r="AB261" s="65"/>
      <c r="AC261" s="65"/>
      <c r="AD261" s="65"/>
      <c r="AE261" s="65"/>
      <c r="AF261" s="65"/>
      <c r="AG261" s="65"/>
      <c r="AH261" s="65"/>
      <c r="AI261" s="65"/>
      <c r="AJ261" s="65"/>
      <c r="AK261" s="65"/>
      <c r="AL261" s="65"/>
      <c r="AM261" s="65"/>
    </row>
    <row r="262">
      <c r="AB262" s="65"/>
      <c r="AC262" s="65"/>
      <c r="AD262" s="65"/>
      <c r="AE262" s="65"/>
      <c r="AF262" s="65"/>
      <c r="AG262" s="65"/>
      <c r="AH262" s="65"/>
      <c r="AI262" s="65"/>
      <c r="AJ262" s="65"/>
      <c r="AK262" s="65"/>
      <c r="AL262" s="65"/>
      <c r="AM262" s="65"/>
    </row>
    <row r="263">
      <c r="AB263" s="65"/>
      <c r="AC263" s="65"/>
      <c r="AD263" s="65"/>
      <c r="AE263" s="65"/>
      <c r="AF263" s="65"/>
      <c r="AG263" s="65"/>
      <c r="AH263" s="65"/>
      <c r="AI263" s="65"/>
      <c r="AJ263" s="65"/>
      <c r="AK263" s="65"/>
      <c r="AL263" s="65"/>
      <c r="AM263" s="65"/>
    </row>
    <row r="264">
      <c r="AB264" s="65"/>
      <c r="AC264" s="65"/>
      <c r="AD264" s="65"/>
      <c r="AE264" s="65"/>
      <c r="AF264" s="65"/>
      <c r="AG264" s="65"/>
      <c r="AH264" s="65"/>
      <c r="AI264" s="65"/>
      <c r="AJ264" s="65"/>
      <c r="AK264" s="65"/>
      <c r="AL264" s="65"/>
      <c r="AM264" s="65"/>
    </row>
    <row r="265">
      <c r="AB265" s="65"/>
      <c r="AC265" s="65"/>
      <c r="AD265" s="65"/>
      <c r="AE265" s="65"/>
      <c r="AF265" s="65"/>
      <c r="AG265" s="65"/>
      <c r="AH265" s="65"/>
      <c r="AI265" s="65"/>
      <c r="AJ265" s="65"/>
      <c r="AK265" s="65"/>
      <c r="AL265" s="65"/>
      <c r="AM265" s="65"/>
    </row>
    <row r="266">
      <c r="AB266" s="65"/>
      <c r="AC266" s="65"/>
      <c r="AD266" s="65"/>
      <c r="AE266" s="65"/>
      <c r="AF266" s="65"/>
      <c r="AG266" s="65"/>
      <c r="AH266" s="65"/>
      <c r="AI266" s="65"/>
      <c r="AJ266" s="65"/>
      <c r="AK266" s="65"/>
      <c r="AL266" s="65"/>
      <c r="AM266" s="65"/>
    </row>
    <row r="267">
      <c r="AB267" s="65"/>
      <c r="AC267" s="65"/>
      <c r="AD267" s="65"/>
      <c r="AE267" s="65"/>
      <c r="AF267" s="65"/>
      <c r="AG267" s="65"/>
      <c r="AH267" s="65"/>
      <c r="AI267" s="65"/>
      <c r="AJ267" s="65"/>
      <c r="AK267" s="65"/>
      <c r="AL267" s="65"/>
      <c r="AM267" s="65"/>
    </row>
    <row r="268">
      <c r="AB268" s="65"/>
      <c r="AC268" s="65"/>
      <c r="AD268" s="65"/>
      <c r="AE268" s="65"/>
      <c r="AF268" s="65"/>
      <c r="AG268" s="65"/>
      <c r="AH268" s="65"/>
      <c r="AI268" s="65"/>
      <c r="AJ268" s="65"/>
      <c r="AK268" s="65"/>
      <c r="AL268" s="65"/>
      <c r="AM268" s="65"/>
    </row>
    <row r="269">
      <c r="AB269" s="65"/>
      <c r="AC269" s="65"/>
      <c r="AD269" s="65"/>
      <c r="AE269" s="65"/>
      <c r="AF269" s="65"/>
      <c r="AG269" s="65"/>
      <c r="AH269" s="65"/>
      <c r="AI269" s="65"/>
      <c r="AJ269" s="65"/>
      <c r="AK269" s="65"/>
      <c r="AL269" s="65"/>
      <c r="AM269" s="65"/>
    </row>
    <row r="270">
      <c r="AB270" s="65"/>
      <c r="AC270" s="65"/>
      <c r="AD270" s="65"/>
      <c r="AE270" s="65"/>
      <c r="AF270" s="65"/>
      <c r="AG270" s="65"/>
      <c r="AH270" s="65"/>
      <c r="AI270" s="65"/>
      <c r="AJ270" s="65"/>
      <c r="AK270" s="65"/>
      <c r="AL270" s="65"/>
      <c r="AM270" s="65"/>
    </row>
    <row r="271">
      <c r="AB271" s="65"/>
      <c r="AC271" s="65"/>
      <c r="AD271" s="65"/>
      <c r="AE271" s="65"/>
      <c r="AF271" s="65"/>
      <c r="AG271" s="65"/>
      <c r="AH271" s="65"/>
      <c r="AI271" s="65"/>
      <c r="AJ271" s="65"/>
      <c r="AK271" s="65"/>
      <c r="AL271" s="65"/>
      <c r="AM271" s="65"/>
    </row>
    <row r="272">
      <c r="AB272" s="65"/>
      <c r="AC272" s="65"/>
      <c r="AD272" s="65"/>
      <c r="AE272" s="65"/>
      <c r="AF272" s="65"/>
      <c r="AG272" s="65"/>
      <c r="AH272" s="65"/>
      <c r="AI272" s="65"/>
      <c r="AJ272" s="65"/>
      <c r="AK272" s="65"/>
      <c r="AL272" s="65"/>
      <c r="AM272" s="65"/>
    </row>
    <row r="273">
      <c r="AB273" s="65"/>
      <c r="AC273" s="65"/>
      <c r="AD273" s="65"/>
      <c r="AE273" s="65"/>
      <c r="AF273" s="65"/>
      <c r="AG273" s="65"/>
      <c r="AH273" s="65"/>
      <c r="AI273" s="65"/>
      <c r="AJ273" s="65"/>
      <c r="AK273" s="65"/>
      <c r="AL273" s="65"/>
      <c r="AM273" s="65"/>
    </row>
    <row r="274">
      <c r="AB274" s="65"/>
      <c r="AC274" s="65"/>
      <c r="AD274" s="65"/>
      <c r="AE274" s="65"/>
      <c r="AF274" s="65"/>
      <c r="AG274" s="65"/>
      <c r="AH274" s="65"/>
      <c r="AI274" s="65"/>
      <c r="AJ274" s="65"/>
      <c r="AK274" s="65"/>
      <c r="AL274" s="65"/>
      <c r="AM274" s="65"/>
    </row>
    <row r="275">
      <c r="AB275" s="65"/>
      <c r="AC275" s="65"/>
      <c r="AD275" s="65"/>
      <c r="AE275" s="65"/>
      <c r="AF275" s="65"/>
      <c r="AG275" s="65"/>
      <c r="AH275" s="65"/>
      <c r="AI275" s="65"/>
      <c r="AJ275" s="65"/>
      <c r="AK275" s="65"/>
      <c r="AL275" s="65"/>
      <c r="AM275" s="65"/>
    </row>
    <row r="276">
      <c r="AB276" s="65"/>
      <c r="AC276" s="65"/>
      <c r="AD276" s="65"/>
      <c r="AE276" s="65"/>
      <c r="AF276" s="65"/>
      <c r="AG276" s="65"/>
      <c r="AH276" s="65"/>
      <c r="AI276" s="65"/>
      <c r="AJ276" s="65"/>
      <c r="AK276" s="65"/>
      <c r="AL276" s="65"/>
      <c r="AM276" s="65"/>
    </row>
    <row r="277">
      <c r="AB277" s="65"/>
      <c r="AC277" s="65"/>
      <c r="AD277" s="65"/>
      <c r="AE277" s="65"/>
      <c r="AF277" s="65"/>
      <c r="AG277" s="65"/>
      <c r="AH277" s="65"/>
      <c r="AI277" s="65"/>
      <c r="AJ277" s="65"/>
      <c r="AK277" s="65"/>
      <c r="AL277" s="65"/>
      <c r="AM277" s="65"/>
    </row>
    <row r="278">
      <c r="AB278" s="65"/>
      <c r="AC278" s="65"/>
      <c r="AD278" s="65"/>
      <c r="AE278" s="65"/>
      <c r="AF278" s="65"/>
      <c r="AG278" s="65"/>
      <c r="AH278" s="65"/>
      <c r="AI278" s="65"/>
      <c r="AJ278" s="65"/>
      <c r="AK278" s="65"/>
      <c r="AL278" s="65"/>
      <c r="AM278" s="65"/>
    </row>
    <row r="279">
      <c r="AB279" s="65"/>
      <c r="AC279" s="65"/>
      <c r="AD279" s="65"/>
      <c r="AE279" s="65"/>
      <c r="AF279" s="65"/>
      <c r="AG279" s="65"/>
      <c r="AH279" s="65"/>
      <c r="AI279" s="65"/>
      <c r="AJ279" s="65"/>
      <c r="AK279" s="65"/>
      <c r="AL279" s="65"/>
      <c r="AM279" s="65"/>
    </row>
    <row r="280">
      <c r="AB280" s="65"/>
      <c r="AC280" s="65"/>
      <c r="AD280" s="65"/>
      <c r="AE280" s="65"/>
      <c r="AF280" s="65"/>
      <c r="AG280" s="65"/>
      <c r="AH280" s="65"/>
      <c r="AI280" s="65"/>
      <c r="AJ280" s="65"/>
      <c r="AK280" s="65"/>
      <c r="AL280" s="65"/>
      <c r="AM280" s="65"/>
    </row>
    <row r="281">
      <c r="AB281" s="65"/>
      <c r="AC281" s="65"/>
      <c r="AD281" s="65"/>
      <c r="AE281" s="65"/>
      <c r="AF281" s="65"/>
      <c r="AG281" s="65"/>
      <c r="AH281" s="65"/>
      <c r="AI281" s="65"/>
      <c r="AJ281" s="65"/>
      <c r="AK281" s="65"/>
      <c r="AL281" s="65"/>
      <c r="AM281" s="65"/>
    </row>
    <row r="282">
      <c r="AB282" s="65"/>
      <c r="AC282" s="65"/>
      <c r="AD282" s="65"/>
      <c r="AE282" s="65"/>
      <c r="AF282" s="65"/>
      <c r="AG282" s="65"/>
      <c r="AH282" s="65"/>
      <c r="AI282" s="65"/>
      <c r="AJ282" s="65"/>
      <c r="AK282" s="65"/>
      <c r="AL282" s="65"/>
      <c r="AM282" s="65"/>
    </row>
    <row r="283">
      <c r="AB283" s="65"/>
      <c r="AC283" s="65"/>
      <c r="AD283" s="65"/>
      <c r="AE283" s="65"/>
      <c r="AF283" s="65"/>
      <c r="AG283" s="65"/>
      <c r="AH283" s="65"/>
      <c r="AI283" s="65"/>
      <c r="AJ283" s="65"/>
      <c r="AK283" s="65"/>
      <c r="AL283" s="65"/>
      <c r="AM283" s="65"/>
    </row>
    <row r="284">
      <c r="AB284" s="65"/>
      <c r="AC284" s="65"/>
      <c r="AD284" s="65"/>
      <c r="AE284" s="65"/>
      <c r="AF284" s="65"/>
      <c r="AG284" s="65"/>
      <c r="AH284" s="65"/>
      <c r="AI284" s="65"/>
      <c r="AJ284" s="65"/>
      <c r="AK284" s="65"/>
      <c r="AL284" s="65"/>
      <c r="AM284" s="65"/>
    </row>
    <row r="285">
      <c r="AB285" s="65"/>
      <c r="AC285" s="65"/>
      <c r="AD285" s="65"/>
      <c r="AE285" s="65"/>
      <c r="AF285" s="65"/>
      <c r="AG285" s="65"/>
      <c r="AH285" s="65"/>
      <c r="AI285" s="65"/>
      <c r="AJ285" s="65"/>
      <c r="AK285" s="65"/>
      <c r="AL285" s="65"/>
      <c r="AM285" s="65"/>
    </row>
    <row r="286">
      <c r="AB286" s="65"/>
      <c r="AC286" s="65"/>
      <c r="AD286" s="65"/>
      <c r="AE286" s="65"/>
      <c r="AF286" s="65"/>
      <c r="AG286" s="65"/>
      <c r="AH286" s="65"/>
      <c r="AI286" s="65"/>
      <c r="AJ286" s="65"/>
      <c r="AK286" s="65"/>
      <c r="AL286" s="65"/>
      <c r="AM286" s="65"/>
    </row>
    <row r="287">
      <c r="AB287" s="65"/>
      <c r="AC287" s="65"/>
      <c r="AD287" s="65"/>
      <c r="AE287" s="65"/>
      <c r="AF287" s="65"/>
      <c r="AG287" s="65"/>
      <c r="AH287" s="65"/>
      <c r="AI287" s="65"/>
      <c r="AJ287" s="65"/>
      <c r="AK287" s="65"/>
      <c r="AL287" s="65"/>
      <c r="AM287" s="65"/>
    </row>
    <row r="288">
      <c r="AB288" s="65"/>
      <c r="AC288" s="65"/>
      <c r="AD288" s="65"/>
      <c r="AE288" s="65"/>
      <c r="AF288" s="65"/>
      <c r="AG288" s="65"/>
      <c r="AH288" s="65"/>
      <c r="AI288" s="65"/>
      <c r="AJ288" s="65"/>
      <c r="AK288" s="65"/>
      <c r="AL288" s="65"/>
      <c r="AM288" s="65"/>
    </row>
    <row r="289">
      <c r="AB289" s="65"/>
      <c r="AC289" s="65"/>
      <c r="AD289" s="65"/>
      <c r="AE289" s="65"/>
      <c r="AF289" s="65"/>
      <c r="AG289" s="65"/>
      <c r="AH289" s="65"/>
      <c r="AI289" s="65"/>
      <c r="AJ289" s="65"/>
      <c r="AK289" s="65"/>
      <c r="AL289" s="65"/>
      <c r="AM289" s="65"/>
    </row>
    <row r="290">
      <c r="AB290" s="65"/>
      <c r="AC290" s="65"/>
      <c r="AD290" s="65"/>
      <c r="AE290" s="65"/>
      <c r="AF290" s="65"/>
      <c r="AG290" s="65"/>
      <c r="AH290" s="65"/>
      <c r="AI290" s="65"/>
      <c r="AJ290" s="65"/>
      <c r="AK290" s="65"/>
      <c r="AL290" s="65"/>
      <c r="AM290" s="65"/>
    </row>
    <row r="291">
      <c r="AB291" s="65"/>
      <c r="AC291" s="65"/>
      <c r="AD291" s="65"/>
      <c r="AE291" s="65"/>
      <c r="AF291" s="65"/>
      <c r="AG291" s="65"/>
      <c r="AH291" s="65"/>
      <c r="AI291" s="65"/>
      <c r="AJ291" s="65"/>
      <c r="AK291" s="65"/>
      <c r="AL291" s="65"/>
      <c r="AM291" s="65"/>
    </row>
    <row r="292">
      <c r="AB292" s="65"/>
      <c r="AC292" s="65"/>
      <c r="AD292" s="65"/>
      <c r="AE292" s="65"/>
      <c r="AF292" s="65"/>
      <c r="AG292" s="65"/>
      <c r="AH292" s="65"/>
      <c r="AI292" s="65"/>
      <c r="AJ292" s="65"/>
      <c r="AK292" s="65"/>
      <c r="AL292" s="65"/>
      <c r="AM292" s="65"/>
    </row>
    <row r="293">
      <c r="AB293" s="65"/>
      <c r="AC293" s="65"/>
      <c r="AD293" s="65"/>
      <c r="AE293" s="65"/>
      <c r="AF293" s="65"/>
      <c r="AG293" s="65"/>
      <c r="AH293" s="65"/>
      <c r="AI293" s="65"/>
      <c r="AJ293" s="65"/>
      <c r="AK293" s="65"/>
      <c r="AL293" s="65"/>
      <c r="AM293" s="65"/>
    </row>
    <row r="294">
      <c r="AB294" s="65"/>
      <c r="AC294" s="65"/>
      <c r="AD294" s="65"/>
      <c r="AE294" s="65"/>
      <c r="AF294" s="65"/>
      <c r="AG294" s="65"/>
      <c r="AH294" s="65"/>
      <c r="AI294" s="65"/>
      <c r="AJ294" s="65"/>
      <c r="AK294" s="65"/>
      <c r="AL294" s="65"/>
      <c r="AM294" s="65"/>
    </row>
    <row r="295">
      <c r="AB295" s="65"/>
      <c r="AC295" s="65"/>
      <c r="AD295" s="65"/>
      <c r="AE295" s="65"/>
      <c r="AF295" s="65"/>
      <c r="AG295" s="65"/>
      <c r="AH295" s="65"/>
      <c r="AI295" s="65"/>
      <c r="AJ295" s="65"/>
      <c r="AK295" s="65"/>
      <c r="AL295" s="65"/>
      <c r="AM295" s="65"/>
    </row>
    <row r="296">
      <c r="AB296" s="65"/>
      <c r="AC296" s="65"/>
      <c r="AD296" s="65"/>
      <c r="AE296" s="65"/>
      <c r="AF296" s="65"/>
      <c r="AG296" s="65"/>
      <c r="AH296" s="65"/>
      <c r="AI296" s="65"/>
      <c r="AJ296" s="65"/>
      <c r="AK296" s="65"/>
      <c r="AL296" s="65"/>
      <c r="AM296" s="65"/>
    </row>
    <row r="297">
      <c r="AB297" s="65"/>
      <c r="AC297" s="65"/>
      <c r="AD297" s="65"/>
      <c r="AE297" s="65"/>
      <c r="AF297" s="65"/>
      <c r="AG297" s="65"/>
      <c r="AH297" s="65"/>
      <c r="AI297" s="65"/>
      <c r="AJ297" s="65"/>
      <c r="AK297" s="65"/>
      <c r="AL297" s="65"/>
      <c r="AM297" s="65"/>
    </row>
    <row r="298">
      <c r="AB298" s="65"/>
      <c r="AC298" s="65"/>
      <c r="AD298" s="65"/>
      <c r="AE298" s="65"/>
      <c r="AF298" s="65"/>
      <c r="AG298" s="65"/>
      <c r="AH298" s="65"/>
      <c r="AI298" s="65"/>
      <c r="AJ298" s="65"/>
      <c r="AK298" s="65"/>
      <c r="AL298" s="65"/>
      <c r="AM298" s="65"/>
    </row>
    <row r="299">
      <c r="AB299" s="65"/>
      <c r="AC299" s="65"/>
      <c r="AD299" s="65"/>
      <c r="AE299" s="65"/>
      <c r="AF299" s="65"/>
      <c r="AG299" s="65"/>
      <c r="AH299" s="65"/>
      <c r="AI299" s="65"/>
      <c r="AJ299" s="65"/>
      <c r="AK299" s="65"/>
      <c r="AL299" s="65"/>
      <c r="AM299" s="65"/>
    </row>
    <row r="300">
      <c r="AB300" s="65"/>
      <c r="AC300" s="65"/>
      <c r="AD300" s="65"/>
      <c r="AE300" s="65"/>
      <c r="AF300" s="65"/>
      <c r="AG300" s="65"/>
      <c r="AH300" s="65"/>
      <c r="AI300" s="65"/>
      <c r="AJ300" s="65"/>
      <c r="AK300" s="65"/>
      <c r="AL300" s="65"/>
      <c r="AM300" s="65"/>
    </row>
    <row r="301">
      <c r="AB301" s="65"/>
      <c r="AC301" s="65"/>
      <c r="AD301" s="65"/>
      <c r="AE301" s="65"/>
      <c r="AF301" s="65"/>
      <c r="AG301" s="65"/>
      <c r="AH301" s="65"/>
      <c r="AI301" s="65"/>
      <c r="AJ301" s="65"/>
      <c r="AK301" s="65"/>
      <c r="AL301" s="65"/>
      <c r="AM301" s="65"/>
    </row>
    <row r="302">
      <c r="AB302" s="65"/>
      <c r="AC302" s="65"/>
      <c r="AD302" s="65"/>
      <c r="AE302" s="65"/>
      <c r="AF302" s="65"/>
      <c r="AG302" s="65"/>
      <c r="AH302" s="65"/>
      <c r="AI302" s="65"/>
      <c r="AJ302" s="65"/>
      <c r="AK302" s="65"/>
      <c r="AL302" s="65"/>
      <c r="AM302" s="65"/>
    </row>
    <row r="303">
      <c r="AB303" s="65"/>
      <c r="AC303" s="65"/>
      <c r="AD303" s="65"/>
      <c r="AE303" s="65"/>
      <c r="AF303" s="65"/>
      <c r="AG303" s="65"/>
      <c r="AH303" s="65"/>
      <c r="AI303" s="65"/>
      <c r="AJ303" s="65"/>
      <c r="AK303" s="65"/>
      <c r="AL303" s="65"/>
      <c r="AM303" s="65"/>
    </row>
    <row r="304">
      <c r="AB304" s="65"/>
      <c r="AC304" s="65"/>
      <c r="AD304" s="65"/>
      <c r="AE304" s="65"/>
      <c r="AF304" s="65"/>
      <c r="AG304" s="65"/>
      <c r="AH304" s="65"/>
      <c r="AI304" s="65"/>
      <c r="AJ304" s="65"/>
      <c r="AK304" s="65"/>
      <c r="AL304" s="65"/>
      <c r="AM304" s="65"/>
    </row>
    <row r="305">
      <c r="AB305" s="65"/>
      <c r="AC305" s="65"/>
      <c r="AD305" s="65"/>
      <c r="AE305" s="65"/>
      <c r="AF305" s="65"/>
      <c r="AG305" s="65"/>
      <c r="AH305" s="65"/>
      <c r="AI305" s="65"/>
      <c r="AJ305" s="65"/>
      <c r="AK305" s="65"/>
      <c r="AL305" s="65"/>
      <c r="AM305" s="65"/>
    </row>
    <row r="306">
      <c r="AB306" s="65"/>
      <c r="AC306" s="65"/>
      <c r="AD306" s="65"/>
      <c r="AE306" s="65"/>
      <c r="AF306" s="65"/>
      <c r="AG306" s="65"/>
      <c r="AH306" s="65"/>
      <c r="AI306" s="65"/>
      <c r="AJ306" s="65"/>
      <c r="AK306" s="65"/>
      <c r="AL306" s="65"/>
      <c r="AM306" s="65"/>
    </row>
    <row r="307">
      <c r="AB307" s="65"/>
      <c r="AC307" s="65"/>
      <c r="AD307" s="65"/>
      <c r="AE307" s="65"/>
      <c r="AF307" s="65"/>
      <c r="AG307" s="65"/>
      <c r="AH307" s="65"/>
      <c r="AI307" s="65"/>
      <c r="AJ307" s="65"/>
      <c r="AK307" s="65"/>
      <c r="AL307" s="65"/>
      <c r="AM307" s="65"/>
    </row>
    <row r="308">
      <c r="AB308" s="65"/>
      <c r="AC308" s="65"/>
      <c r="AD308" s="65"/>
      <c r="AE308" s="65"/>
      <c r="AF308" s="65"/>
      <c r="AG308" s="65"/>
      <c r="AH308" s="65"/>
      <c r="AI308" s="65"/>
      <c r="AJ308" s="65"/>
      <c r="AK308" s="65"/>
      <c r="AL308" s="65"/>
      <c r="AM308" s="65"/>
    </row>
    <row r="309">
      <c r="AB309" s="65"/>
      <c r="AC309" s="65"/>
      <c r="AD309" s="65"/>
      <c r="AE309" s="65"/>
      <c r="AF309" s="65"/>
      <c r="AG309" s="65"/>
      <c r="AH309" s="65"/>
      <c r="AI309" s="65"/>
      <c r="AJ309" s="65"/>
      <c r="AK309" s="65"/>
      <c r="AL309" s="65"/>
      <c r="AM309" s="65"/>
    </row>
    <row r="310">
      <c r="AB310" s="65"/>
      <c r="AC310" s="65"/>
      <c r="AD310" s="65"/>
      <c r="AE310" s="65"/>
      <c r="AF310" s="65"/>
      <c r="AG310" s="65"/>
      <c r="AH310" s="65"/>
      <c r="AI310" s="65"/>
      <c r="AJ310" s="65"/>
      <c r="AK310" s="65"/>
      <c r="AL310" s="65"/>
      <c r="AM310" s="65"/>
    </row>
    <row r="311">
      <c r="AB311" s="65"/>
      <c r="AC311" s="65"/>
      <c r="AD311" s="65"/>
      <c r="AE311" s="65"/>
      <c r="AF311" s="65"/>
      <c r="AG311" s="65"/>
      <c r="AH311" s="65"/>
      <c r="AI311" s="65"/>
      <c r="AJ311" s="65"/>
      <c r="AK311" s="65"/>
      <c r="AL311" s="65"/>
      <c r="AM311" s="65"/>
    </row>
    <row r="312">
      <c r="AB312" s="65"/>
      <c r="AC312" s="65"/>
      <c r="AD312" s="65"/>
      <c r="AE312" s="65"/>
      <c r="AF312" s="65"/>
      <c r="AG312" s="65"/>
      <c r="AH312" s="65"/>
      <c r="AI312" s="65"/>
      <c r="AJ312" s="65"/>
      <c r="AK312" s="65"/>
      <c r="AL312" s="65"/>
      <c r="AM312" s="65"/>
    </row>
    <row r="313">
      <c r="AB313" s="65"/>
      <c r="AC313" s="65"/>
      <c r="AD313" s="65"/>
      <c r="AE313" s="65"/>
      <c r="AF313" s="65"/>
      <c r="AG313" s="65"/>
      <c r="AH313" s="65"/>
      <c r="AI313" s="65"/>
      <c r="AJ313" s="65"/>
      <c r="AK313" s="65"/>
      <c r="AL313" s="65"/>
      <c r="AM313" s="65"/>
    </row>
    <row r="314">
      <c r="AB314" s="65"/>
      <c r="AC314" s="65"/>
      <c r="AD314" s="65"/>
      <c r="AE314" s="65"/>
      <c r="AF314" s="65"/>
      <c r="AG314" s="65"/>
      <c r="AH314" s="65"/>
      <c r="AI314" s="65"/>
      <c r="AJ314" s="65"/>
      <c r="AK314" s="65"/>
      <c r="AL314" s="65"/>
      <c r="AM314" s="65"/>
    </row>
    <row r="315">
      <c r="AB315" s="65"/>
      <c r="AC315" s="65"/>
      <c r="AD315" s="65"/>
      <c r="AE315" s="65"/>
      <c r="AF315" s="65"/>
      <c r="AG315" s="65"/>
      <c r="AH315" s="65"/>
      <c r="AI315" s="65"/>
      <c r="AJ315" s="65"/>
      <c r="AK315" s="65"/>
      <c r="AL315" s="65"/>
      <c r="AM315" s="65"/>
    </row>
    <row r="316">
      <c r="AB316" s="65"/>
      <c r="AC316" s="65"/>
      <c r="AD316" s="65"/>
      <c r="AE316" s="65"/>
      <c r="AF316" s="65"/>
      <c r="AG316" s="65"/>
      <c r="AH316" s="65"/>
      <c r="AI316" s="65"/>
      <c r="AJ316" s="65"/>
      <c r="AK316" s="65"/>
      <c r="AL316" s="65"/>
      <c r="AM316" s="65"/>
    </row>
    <row r="317">
      <c r="AB317" s="65"/>
      <c r="AC317" s="65"/>
      <c r="AD317" s="65"/>
      <c r="AE317" s="65"/>
      <c r="AF317" s="65"/>
      <c r="AG317" s="65"/>
      <c r="AH317" s="65"/>
      <c r="AI317" s="65"/>
      <c r="AJ317" s="65"/>
      <c r="AK317" s="65"/>
      <c r="AL317" s="65"/>
      <c r="AM317" s="65"/>
    </row>
    <row r="318">
      <c r="AB318" s="65"/>
      <c r="AC318" s="65"/>
      <c r="AD318" s="65"/>
      <c r="AE318" s="65"/>
      <c r="AF318" s="65"/>
      <c r="AG318" s="65"/>
      <c r="AH318" s="65"/>
      <c r="AI318" s="65"/>
      <c r="AJ318" s="65"/>
      <c r="AK318" s="65"/>
      <c r="AL318" s="65"/>
      <c r="AM318" s="65"/>
    </row>
    <row r="319">
      <c r="AB319" s="65"/>
      <c r="AC319" s="65"/>
      <c r="AD319" s="65"/>
      <c r="AE319" s="65"/>
      <c r="AF319" s="65"/>
      <c r="AG319" s="65"/>
      <c r="AH319" s="65"/>
      <c r="AI319" s="65"/>
      <c r="AJ319" s="65"/>
      <c r="AK319" s="65"/>
      <c r="AL319" s="65"/>
      <c r="AM319" s="65"/>
    </row>
    <row r="320">
      <c r="AB320" s="65"/>
      <c r="AC320" s="65"/>
      <c r="AD320" s="65"/>
      <c r="AE320" s="65"/>
      <c r="AF320" s="65"/>
      <c r="AG320" s="65"/>
      <c r="AH320" s="65"/>
      <c r="AI320" s="65"/>
      <c r="AJ320" s="65"/>
      <c r="AK320" s="65"/>
      <c r="AL320" s="65"/>
      <c r="AM320" s="65"/>
    </row>
    <row r="321">
      <c r="AB321" s="65"/>
      <c r="AC321" s="65"/>
      <c r="AD321" s="65"/>
      <c r="AE321" s="65"/>
      <c r="AF321" s="65"/>
      <c r="AG321" s="65"/>
      <c r="AH321" s="65"/>
      <c r="AI321" s="65"/>
      <c r="AJ321" s="65"/>
      <c r="AK321" s="65"/>
      <c r="AL321" s="65"/>
      <c r="AM321" s="65"/>
    </row>
    <row r="322">
      <c r="AB322" s="65"/>
      <c r="AC322" s="65"/>
      <c r="AD322" s="65"/>
      <c r="AE322" s="65"/>
      <c r="AF322" s="65"/>
      <c r="AG322" s="65"/>
      <c r="AH322" s="65"/>
      <c r="AI322" s="65"/>
      <c r="AJ322" s="65"/>
      <c r="AK322" s="65"/>
      <c r="AL322" s="65"/>
      <c r="AM322" s="65"/>
    </row>
    <row r="323">
      <c r="AB323" s="65"/>
      <c r="AC323" s="65"/>
      <c r="AD323" s="65"/>
      <c r="AE323" s="65"/>
      <c r="AF323" s="65"/>
      <c r="AG323" s="65"/>
      <c r="AH323" s="65"/>
      <c r="AI323" s="65"/>
      <c r="AJ323" s="65"/>
      <c r="AK323" s="65"/>
      <c r="AL323" s="65"/>
      <c r="AM323" s="65"/>
    </row>
    <row r="324">
      <c r="AB324" s="65"/>
      <c r="AC324" s="65"/>
      <c r="AD324" s="65"/>
      <c r="AE324" s="65"/>
      <c r="AF324" s="65"/>
      <c r="AG324" s="65"/>
      <c r="AH324" s="65"/>
      <c r="AI324" s="65"/>
      <c r="AJ324" s="65"/>
      <c r="AK324" s="65"/>
      <c r="AL324" s="65"/>
      <c r="AM324" s="65"/>
    </row>
    <row r="325">
      <c r="AB325" s="65"/>
      <c r="AC325" s="65"/>
      <c r="AD325" s="65"/>
      <c r="AE325" s="65"/>
      <c r="AF325" s="65"/>
      <c r="AG325" s="65"/>
      <c r="AH325" s="65"/>
      <c r="AI325" s="65"/>
      <c r="AJ325" s="65"/>
      <c r="AK325" s="65"/>
      <c r="AL325" s="65"/>
      <c r="AM325" s="65"/>
    </row>
    <row r="326">
      <c r="AB326" s="65"/>
      <c r="AC326" s="65"/>
      <c r="AD326" s="65"/>
      <c r="AE326" s="65"/>
      <c r="AF326" s="65"/>
      <c r="AG326" s="65"/>
      <c r="AH326" s="65"/>
      <c r="AI326" s="65"/>
      <c r="AJ326" s="65"/>
      <c r="AK326" s="65"/>
      <c r="AL326" s="65"/>
      <c r="AM326" s="65"/>
    </row>
    <row r="327">
      <c r="AB327" s="65"/>
      <c r="AC327" s="65"/>
      <c r="AD327" s="65"/>
      <c r="AE327" s="65"/>
      <c r="AF327" s="65"/>
      <c r="AG327" s="65"/>
      <c r="AH327" s="65"/>
      <c r="AI327" s="65"/>
      <c r="AJ327" s="65"/>
      <c r="AK327" s="65"/>
      <c r="AL327" s="65"/>
      <c r="AM327" s="65"/>
    </row>
    <row r="328">
      <c r="AB328" s="65"/>
      <c r="AC328" s="65"/>
      <c r="AD328" s="65"/>
      <c r="AE328" s="65"/>
      <c r="AF328" s="65"/>
      <c r="AG328" s="65"/>
      <c r="AH328" s="65"/>
      <c r="AI328" s="65"/>
      <c r="AJ328" s="65"/>
      <c r="AK328" s="65"/>
      <c r="AL328" s="65"/>
      <c r="AM328" s="65"/>
    </row>
    <row r="329">
      <c r="AB329" s="65"/>
      <c r="AC329" s="65"/>
      <c r="AD329" s="65"/>
      <c r="AE329" s="65"/>
      <c r="AF329" s="65"/>
      <c r="AG329" s="65"/>
      <c r="AH329" s="65"/>
      <c r="AI329" s="65"/>
      <c r="AJ329" s="65"/>
      <c r="AK329" s="65"/>
      <c r="AL329" s="65"/>
      <c r="AM329" s="65"/>
    </row>
    <row r="330">
      <c r="AB330" s="65"/>
      <c r="AC330" s="65"/>
      <c r="AD330" s="65"/>
      <c r="AE330" s="65"/>
      <c r="AF330" s="65"/>
      <c r="AG330" s="65"/>
      <c r="AH330" s="65"/>
      <c r="AI330" s="65"/>
      <c r="AJ330" s="65"/>
      <c r="AK330" s="65"/>
      <c r="AL330" s="65"/>
      <c r="AM330" s="65"/>
    </row>
    <row r="331">
      <c r="AB331" s="65"/>
      <c r="AC331" s="65"/>
      <c r="AD331" s="65"/>
      <c r="AE331" s="65"/>
      <c r="AF331" s="65"/>
      <c r="AG331" s="65"/>
      <c r="AH331" s="65"/>
      <c r="AI331" s="65"/>
      <c r="AJ331" s="65"/>
      <c r="AK331" s="65"/>
      <c r="AL331" s="65"/>
      <c r="AM331" s="65"/>
    </row>
    <row r="332">
      <c r="AB332" s="65"/>
      <c r="AC332" s="65"/>
      <c r="AD332" s="65"/>
      <c r="AE332" s="65"/>
      <c r="AF332" s="65"/>
      <c r="AG332" s="65"/>
      <c r="AH332" s="65"/>
      <c r="AI332" s="65"/>
      <c r="AJ332" s="65"/>
      <c r="AK332" s="65"/>
      <c r="AL332" s="65"/>
      <c r="AM332" s="65"/>
    </row>
    <row r="333">
      <c r="AB333" s="65"/>
      <c r="AC333" s="65"/>
      <c r="AD333" s="65"/>
      <c r="AE333" s="65"/>
      <c r="AF333" s="65"/>
      <c r="AG333" s="65"/>
      <c r="AH333" s="65"/>
      <c r="AI333" s="65"/>
      <c r="AJ333" s="65"/>
      <c r="AK333" s="65"/>
      <c r="AL333" s="65"/>
      <c r="AM333" s="65"/>
    </row>
    <row r="334">
      <c r="AB334" s="65"/>
      <c r="AC334" s="65"/>
      <c r="AD334" s="65"/>
      <c r="AE334" s="65"/>
      <c r="AF334" s="65"/>
      <c r="AG334" s="65"/>
      <c r="AH334" s="65"/>
      <c r="AI334" s="65"/>
      <c r="AJ334" s="65"/>
      <c r="AK334" s="65"/>
      <c r="AL334" s="65"/>
      <c r="AM334" s="65"/>
    </row>
    <row r="335">
      <c r="AB335" s="65"/>
      <c r="AC335" s="65"/>
      <c r="AD335" s="65"/>
      <c r="AE335" s="65"/>
      <c r="AF335" s="65"/>
      <c r="AG335" s="65"/>
      <c r="AH335" s="65"/>
      <c r="AI335" s="65"/>
      <c r="AJ335" s="65"/>
      <c r="AK335" s="65"/>
      <c r="AL335" s="65"/>
      <c r="AM335" s="65"/>
    </row>
    <row r="336">
      <c r="AB336" s="65"/>
      <c r="AC336" s="65"/>
      <c r="AD336" s="65"/>
      <c r="AE336" s="65"/>
      <c r="AF336" s="65"/>
      <c r="AG336" s="65"/>
      <c r="AH336" s="65"/>
      <c r="AI336" s="65"/>
      <c r="AJ336" s="65"/>
      <c r="AK336" s="65"/>
      <c r="AL336" s="65"/>
      <c r="AM336" s="65"/>
    </row>
    <row r="337">
      <c r="AB337" s="65"/>
      <c r="AC337" s="65"/>
      <c r="AD337" s="65"/>
      <c r="AE337" s="65"/>
      <c r="AF337" s="65"/>
      <c r="AG337" s="65"/>
      <c r="AH337" s="65"/>
      <c r="AI337" s="65"/>
      <c r="AJ337" s="65"/>
      <c r="AK337" s="65"/>
      <c r="AL337" s="65"/>
      <c r="AM337" s="65"/>
    </row>
    <row r="338">
      <c r="AB338" s="65"/>
      <c r="AC338" s="65"/>
      <c r="AD338" s="65"/>
      <c r="AE338" s="65"/>
      <c r="AF338" s="65"/>
      <c r="AG338" s="65"/>
      <c r="AH338" s="65"/>
      <c r="AI338" s="65"/>
      <c r="AJ338" s="65"/>
      <c r="AK338" s="65"/>
      <c r="AL338" s="65"/>
      <c r="AM338" s="65"/>
    </row>
    <row r="339">
      <c r="AB339" s="65"/>
      <c r="AC339" s="65"/>
      <c r="AD339" s="65"/>
      <c r="AE339" s="65"/>
      <c r="AF339" s="65"/>
      <c r="AG339" s="65"/>
      <c r="AH339" s="65"/>
      <c r="AI339" s="65"/>
      <c r="AJ339" s="65"/>
      <c r="AK339" s="65"/>
      <c r="AL339" s="65"/>
      <c r="AM339" s="65"/>
    </row>
    <row r="340">
      <c r="AB340" s="65"/>
      <c r="AC340" s="65"/>
      <c r="AD340" s="65"/>
      <c r="AE340" s="65"/>
      <c r="AF340" s="65"/>
      <c r="AG340" s="65"/>
      <c r="AH340" s="65"/>
      <c r="AI340" s="65"/>
      <c r="AJ340" s="65"/>
      <c r="AK340" s="65"/>
      <c r="AL340" s="65"/>
      <c r="AM340" s="65"/>
    </row>
    <row r="341">
      <c r="AB341" s="65"/>
      <c r="AC341" s="65"/>
      <c r="AD341" s="65"/>
      <c r="AE341" s="65"/>
      <c r="AF341" s="65"/>
      <c r="AG341" s="65"/>
      <c r="AH341" s="65"/>
      <c r="AI341" s="65"/>
      <c r="AJ341" s="65"/>
      <c r="AK341" s="65"/>
      <c r="AL341" s="65"/>
      <c r="AM341" s="65"/>
    </row>
    <row r="342">
      <c r="AB342" s="65"/>
      <c r="AC342" s="65"/>
      <c r="AD342" s="65"/>
      <c r="AE342" s="65"/>
      <c r="AF342" s="65"/>
      <c r="AG342" s="65"/>
      <c r="AH342" s="65"/>
      <c r="AI342" s="65"/>
      <c r="AJ342" s="65"/>
      <c r="AK342" s="65"/>
      <c r="AL342" s="65"/>
      <c r="AM342" s="65"/>
    </row>
    <row r="343">
      <c r="AB343" s="65"/>
      <c r="AC343" s="65"/>
      <c r="AD343" s="65"/>
      <c r="AE343" s="65"/>
      <c r="AF343" s="65"/>
      <c r="AG343" s="65"/>
      <c r="AH343" s="65"/>
      <c r="AI343" s="65"/>
      <c r="AJ343" s="65"/>
      <c r="AK343" s="65"/>
      <c r="AL343" s="65"/>
      <c r="AM343" s="65"/>
    </row>
    <row r="344">
      <c r="AB344" s="65"/>
      <c r="AC344" s="65"/>
      <c r="AD344" s="65"/>
      <c r="AE344" s="65"/>
      <c r="AF344" s="65"/>
      <c r="AG344" s="65"/>
      <c r="AH344" s="65"/>
      <c r="AI344" s="65"/>
      <c r="AJ344" s="65"/>
      <c r="AK344" s="65"/>
      <c r="AL344" s="65"/>
      <c r="AM344" s="65"/>
    </row>
    <row r="345">
      <c r="AB345" s="65"/>
      <c r="AC345" s="65"/>
      <c r="AD345" s="65"/>
      <c r="AE345" s="65"/>
      <c r="AF345" s="65"/>
      <c r="AG345" s="65"/>
      <c r="AH345" s="65"/>
      <c r="AI345" s="65"/>
      <c r="AJ345" s="65"/>
      <c r="AK345" s="65"/>
      <c r="AL345" s="65"/>
      <c r="AM345" s="65"/>
    </row>
    <row r="346">
      <c r="AB346" s="65"/>
      <c r="AC346" s="65"/>
      <c r="AD346" s="65"/>
      <c r="AE346" s="65"/>
      <c r="AF346" s="65"/>
      <c r="AG346" s="65"/>
      <c r="AH346" s="65"/>
      <c r="AI346" s="65"/>
      <c r="AJ346" s="65"/>
      <c r="AK346" s="65"/>
      <c r="AL346" s="65"/>
      <c r="AM346" s="65"/>
    </row>
    <row r="347">
      <c r="AB347" s="65"/>
      <c r="AC347" s="65"/>
      <c r="AD347" s="65"/>
      <c r="AE347" s="65"/>
      <c r="AF347" s="65"/>
      <c r="AG347" s="65"/>
      <c r="AH347" s="65"/>
      <c r="AI347" s="65"/>
      <c r="AJ347" s="65"/>
      <c r="AK347" s="65"/>
      <c r="AL347" s="65"/>
      <c r="AM347" s="65"/>
    </row>
    <row r="348">
      <c r="AB348" s="65"/>
      <c r="AC348" s="65"/>
      <c r="AD348" s="65"/>
      <c r="AE348" s="65"/>
      <c r="AF348" s="65"/>
      <c r="AG348" s="65"/>
      <c r="AH348" s="65"/>
      <c r="AI348" s="65"/>
      <c r="AJ348" s="65"/>
      <c r="AK348" s="65"/>
      <c r="AL348" s="65"/>
      <c r="AM348" s="65"/>
    </row>
    <row r="349">
      <c r="AB349" s="65"/>
      <c r="AC349" s="65"/>
      <c r="AD349" s="65"/>
      <c r="AE349" s="65"/>
      <c r="AF349" s="65"/>
      <c r="AG349" s="65"/>
      <c r="AH349" s="65"/>
      <c r="AI349" s="65"/>
      <c r="AJ349" s="65"/>
      <c r="AK349" s="65"/>
      <c r="AL349" s="65"/>
      <c r="AM349" s="65"/>
    </row>
    <row r="350">
      <c r="AB350" s="65"/>
      <c r="AC350" s="65"/>
      <c r="AD350" s="65"/>
      <c r="AE350" s="65"/>
      <c r="AF350" s="65"/>
      <c r="AG350" s="65"/>
      <c r="AH350" s="65"/>
      <c r="AI350" s="65"/>
      <c r="AJ350" s="65"/>
      <c r="AK350" s="65"/>
      <c r="AL350" s="65"/>
      <c r="AM350" s="65"/>
    </row>
    <row r="351">
      <c r="AB351" s="65"/>
      <c r="AC351" s="65"/>
      <c r="AD351" s="65"/>
      <c r="AE351" s="65"/>
      <c r="AF351" s="65"/>
      <c r="AG351" s="65"/>
      <c r="AH351" s="65"/>
      <c r="AI351" s="65"/>
      <c r="AJ351" s="65"/>
      <c r="AK351" s="65"/>
      <c r="AL351" s="65"/>
      <c r="AM351" s="65"/>
    </row>
    <row r="352">
      <c r="AB352" s="65"/>
      <c r="AC352" s="65"/>
      <c r="AD352" s="65"/>
      <c r="AE352" s="65"/>
      <c r="AF352" s="65"/>
      <c r="AG352" s="65"/>
      <c r="AH352" s="65"/>
      <c r="AI352" s="65"/>
      <c r="AJ352" s="65"/>
      <c r="AK352" s="65"/>
      <c r="AL352" s="65"/>
      <c r="AM352" s="65"/>
    </row>
    <row r="353">
      <c r="AB353" s="65"/>
      <c r="AC353" s="65"/>
      <c r="AD353" s="65"/>
      <c r="AE353" s="65"/>
      <c r="AF353" s="65"/>
      <c r="AG353" s="65"/>
      <c r="AH353" s="65"/>
      <c r="AI353" s="65"/>
      <c r="AJ353" s="65"/>
      <c r="AK353" s="65"/>
      <c r="AL353" s="65"/>
      <c r="AM353" s="65"/>
    </row>
    <row r="354">
      <c r="AB354" s="65"/>
      <c r="AC354" s="65"/>
      <c r="AD354" s="65"/>
      <c r="AE354" s="65"/>
      <c r="AF354" s="65"/>
      <c r="AG354" s="65"/>
      <c r="AH354" s="65"/>
      <c r="AI354" s="65"/>
      <c r="AJ354" s="65"/>
      <c r="AK354" s="65"/>
      <c r="AL354" s="65"/>
      <c r="AM354" s="65"/>
    </row>
    <row r="355">
      <c r="AB355" s="65"/>
      <c r="AC355" s="65"/>
      <c r="AD355" s="65"/>
      <c r="AE355" s="65"/>
      <c r="AF355" s="65"/>
      <c r="AG355" s="65"/>
      <c r="AH355" s="65"/>
      <c r="AI355" s="65"/>
      <c r="AJ355" s="65"/>
      <c r="AK355" s="65"/>
      <c r="AL355" s="65"/>
      <c r="AM355" s="65"/>
    </row>
    <row r="356">
      <c r="AB356" s="65"/>
      <c r="AC356" s="65"/>
      <c r="AD356" s="65"/>
      <c r="AE356" s="65"/>
      <c r="AF356" s="65"/>
      <c r="AG356" s="65"/>
      <c r="AH356" s="65"/>
      <c r="AI356" s="65"/>
      <c r="AJ356" s="65"/>
      <c r="AK356" s="65"/>
      <c r="AL356" s="65"/>
      <c r="AM356" s="65"/>
    </row>
    <row r="357">
      <c r="AB357" s="65"/>
      <c r="AC357" s="65"/>
      <c r="AD357" s="65"/>
      <c r="AE357" s="65"/>
      <c r="AF357" s="65"/>
      <c r="AG357" s="65"/>
      <c r="AH357" s="65"/>
      <c r="AI357" s="65"/>
      <c r="AJ357" s="65"/>
      <c r="AK357" s="65"/>
      <c r="AL357" s="65"/>
      <c r="AM357" s="65"/>
    </row>
    <row r="358">
      <c r="AB358" s="65"/>
      <c r="AC358" s="65"/>
      <c r="AD358" s="65"/>
      <c r="AE358" s="65"/>
      <c r="AF358" s="65"/>
      <c r="AG358" s="65"/>
      <c r="AH358" s="65"/>
      <c r="AI358" s="65"/>
      <c r="AJ358" s="65"/>
      <c r="AK358" s="65"/>
      <c r="AL358" s="65"/>
      <c r="AM358" s="65"/>
    </row>
    <row r="359">
      <c r="AB359" s="65"/>
      <c r="AC359" s="65"/>
      <c r="AD359" s="65"/>
      <c r="AE359" s="65"/>
      <c r="AF359" s="65"/>
      <c r="AG359" s="65"/>
      <c r="AH359" s="65"/>
      <c r="AI359" s="65"/>
      <c r="AJ359" s="65"/>
      <c r="AK359" s="65"/>
      <c r="AL359" s="65"/>
      <c r="AM359" s="65"/>
    </row>
    <row r="360">
      <c r="AB360" s="65"/>
      <c r="AC360" s="65"/>
      <c r="AD360" s="65"/>
      <c r="AE360" s="65"/>
      <c r="AF360" s="65"/>
      <c r="AG360" s="65"/>
      <c r="AH360" s="65"/>
      <c r="AI360" s="65"/>
      <c r="AJ360" s="65"/>
      <c r="AK360" s="65"/>
      <c r="AL360" s="65"/>
      <c r="AM360" s="65"/>
    </row>
    <row r="361">
      <c r="AB361" s="65"/>
      <c r="AC361" s="65"/>
      <c r="AD361" s="65"/>
      <c r="AE361" s="65"/>
      <c r="AF361" s="65"/>
      <c r="AG361" s="65"/>
      <c r="AH361" s="65"/>
      <c r="AI361" s="65"/>
      <c r="AJ361" s="65"/>
      <c r="AK361" s="65"/>
      <c r="AL361" s="65"/>
      <c r="AM361" s="65"/>
    </row>
    <row r="362">
      <c r="AB362" s="65"/>
      <c r="AC362" s="65"/>
      <c r="AD362" s="65"/>
      <c r="AE362" s="65"/>
      <c r="AF362" s="65"/>
      <c r="AG362" s="65"/>
      <c r="AH362" s="65"/>
      <c r="AI362" s="65"/>
      <c r="AJ362" s="65"/>
      <c r="AK362" s="65"/>
      <c r="AL362" s="65"/>
      <c r="AM362" s="65"/>
    </row>
    <row r="363">
      <c r="AB363" s="65"/>
      <c r="AC363" s="65"/>
      <c r="AD363" s="65"/>
      <c r="AE363" s="65"/>
      <c r="AF363" s="65"/>
      <c r="AG363" s="65"/>
      <c r="AH363" s="65"/>
      <c r="AI363" s="65"/>
      <c r="AJ363" s="65"/>
      <c r="AK363" s="65"/>
      <c r="AL363" s="65"/>
      <c r="AM363" s="65"/>
    </row>
    <row r="364">
      <c r="AB364" s="65"/>
      <c r="AC364" s="65"/>
      <c r="AD364" s="65"/>
      <c r="AE364" s="65"/>
      <c r="AF364" s="65"/>
      <c r="AG364" s="65"/>
      <c r="AH364" s="65"/>
      <c r="AI364" s="65"/>
      <c r="AJ364" s="65"/>
      <c r="AK364" s="65"/>
      <c r="AL364" s="65"/>
      <c r="AM364" s="65"/>
    </row>
    <row r="365">
      <c r="AB365" s="65"/>
      <c r="AC365" s="65"/>
      <c r="AD365" s="65"/>
      <c r="AE365" s="65"/>
      <c r="AF365" s="65"/>
      <c r="AG365" s="65"/>
      <c r="AH365" s="65"/>
      <c r="AI365" s="65"/>
      <c r="AJ365" s="65"/>
      <c r="AK365" s="65"/>
      <c r="AL365" s="65"/>
      <c r="AM365" s="65"/>
    </row>
    <row r="366">
      <c r="AB366" s="65"/>
      <c r="AC366" s="65"/>
      <c r="AD366" s="65"/>
      <c r="AE366" s="65"/>
      <c r="AF366" s="65"/>
      <c r="AG366" s="65"/>
      <c r="AH366" s="65"/>
      <c r="AI366" s="65"/>
      <c r="AJ366" s="65"/>
      <c r="AK366" s="65"/>
      <c r="AL366" s="65"/>
      <c r="AM366" s="65"/>
    </row>
    <row r="367">
      <c r="AB367" s="65"/>
      <c r="AC367" s="65"/>
      <c r="AD367" s="65"/>
      <c r="AE367" s="65"/>
      <c r="AF367" s="65"/>
      <c r="AG367" s="65"/>
      <c r="AH367" s="65"/>
      <c r="AI367" s="65"/>
      <c r="AJ367" s="65"/>
      <c r="AK367" s="65"/>
      <c r="AL367" s="65"/>
      <c r="AM367" s="65"/>
    </row>
    <row r="368">
      <c r="AB368" s="65"/>
      <c r="AC368" s="65"/>
      <c r="AD368" s="65"/>
      <c r="AE368" s="65"/>
      <c r="AF368" s="65"/>
      <c r="AG368" s="65"/>
      <c r="AH368" s="65"/>
      <c r="AI368" s="65"/>
      <c r="AJ368" s="65"/>
      <c r="AK368" s="65"/>
      <c r="AL368" s="65"/>
      <c r="AM368" s="65"/>
    </row>
    <row r="369">
      <c r="AB369" s="65"/>
      <c r="AC369" s="65"/>
      <c r="AD369" s="65"/>
      <c r="AE369" s="65"/>
      <c r="AF369" s="65"/>
      <c r="AG369" s="65"/>
      <c r="AH369" s="65"/>
      <c r="AI369" s="65"/>
      <c r="AJ369" s="65"/>
      <c r="AK369" s="65"/>
      <c r="AL369" s="65"/>
      <c r="AM369" s="65"/>
    </row>
    <row r="370">
      <c r="AB370" s="65"/>
      <c r="AC370" s="65"/>
      <c r="AD370" s="65"/>
      <c r="AE370" s="65"/>
      <c r="AF370" s="65"/>
      <c r="AG370" s="65"/>
      <c r="AH370" s="65"/>
      <c r="AI370" s="65"/>
      <c r="AJ370" s="65"/>
      <c r="AK370" s="65"/>
      <c r="AL370" s="65"/>
      <c r="AM370" s="65"/>
    </row>
    <row r="371">
      <c r="AB371" s="65"/>
      <c r="AC371" s="65"/>
      <c r="AD371" s="65"/>
      <c r="AE371" s="65"/>
      <c r="AF371" s="65"/>
      <c r="AG371" s="65"/>
      <c r="AH371" s="65"/>
      <c r="AI371" s="65"/>
      <c r="AJ371" s="65"/>
      <c r="AK371" s="65"/>
      <c r="AL371" s="65"/>
      <c r="AM371" s="65"/>
    </row>
    <row r="372">
      <c r="AB372" s="65"/>
      <c r="AC372" s="65"/>
      <c r="AD372" s="65"/>
      <c r="AE372" s="65"/>
      <c r="AF372" s="65"/>
      <c r="AG372" s="65"/>
      <c r="AH372" s="65"/>
      <c r="AI372" s="65"/>
      <c r="AJ372" s="65"/>
      <c r="AK372" s="65"/>
      <c r="AL372" s="65"/>
      <c r="AM372" s="65"/>
    </row>
    <row r="373">
      <c r="AB373" s="65"/>
      <c r="AC373" s="65"/>
      <c r="AD373" s="65"/>
      <c r="AE373" s="65"/>
      <c r="AF373" s="65"/>
      <c r="AG373" s="65"/>
      <c r="AH373" s="65"/>
      <c r="AI373" s="65"/>
      <c r="AJ373" s="65"/>
      <c r="AK373" s="65"/>
      <c r="AL373" s="65"/>
      <c r="AM373" s="65"/>
    </row>
    <row r="374">
      <c r="AB374" s="65"/>
      <c r="AC374" s="65"/>
      <c r="AD374" s="65"/>
      <c r="AE374" s="65"/>
      <c r="AF374" s="65"/>
      <c r="AG374" s="65"/>
      <c r="AH374" s="65"/>
      <c r="AI374" s="65"/>
      <c r="AJ374" s="65"/>
      <c r="AK374" s="65"/>
      <c r="AL374" s="65"/>
      <c r="AM374" s="65"/>
    </row>
    <row r="375">
      <c r="AB375" s="65"/>
      <c r="AC375" s="65"/>
      <c r="AD375" s="65"/>
      <c r="AE375" s="65"/>
      <c r="AF375" s="65"/>
      <c r="AG375" s="65"/>
      <c r="AH375" s="65"/>
      <c r="AI375" s="65"/>
      <c r="AJ375" s="65"/>
      <c r="AK375" s="65"/>
      <c r="AL375" s="65"/>
      <c r="AM375" s="65"/>
    </row>
    <row r="376">
      <c r="AB376" s="65"/>
      <c r="AC376" s="65"/>
      <c r="AD376" s="65"/>
      <c r="AE376" s="65"/>
      <c r="AF376" s="65"/>
      <c r="AG376" s="65"/>
      <c r="AH376" s="65"/>
      <c r="AI376" s="65"/>
      <c r="AJ376" s="65"/>
      <c r="AK376" s="65"/>
      <c r="AL376" s="65"/>
      <c r="AM376" s="65"/>
    </row>
    <row r="377">
      <c r="AB377" s="65"/>
      <c r="AC377" s="65"/>
      <c r="AD377" s="65"/>
      <c r="AE377" s="65"/>
      <c r="AF377" s="65"/>
      <c r="AG377" s="65"/>
      <c r="AH377" s="65"/>
      <c r="AI377" s="65"/>
      <c r="AJ377" s="65"/>
      <c r="AK377" s="65"/>
      <c r="AL377" s="65"/>
      <c r="AM377" s="65"/>
    </row>
    <row r="378">
      <c r="AB378" s="65"/>
      <c r="AC378" s="65"/>
      <c r="AD378" s="65"/>
      <c r="AE378" s="65"/>
      <c r="AF378" s="65"/>
      <c r="AG378" s="65"/>
      <c r="AH378" s="65"/>
      <c r="AI378" s="65"/>
      <c r="AJ378" s="65"/>
      <c r="AK378" s="65"/>
      <c r="AL378" s="65"/>
      <c r="AM378" s="65"/>
    </row>
    <row r="379">
      <c r="AB379" s="65"/>
      <c r="AC379" s="65"/>
      <c r="AD379" s="65"/>
      <c r="AE379" s="65"/>
      <c r="AF379" s="65"/>
      <c r="AG379" s="65"/>
      <c r="AH379" s="65"/>
      <c r="AI379" s="65"/>
      <c r="AJ379" s="65"/>
      <c r="AK379" s="65"/>
      <c r="AL379" s="65"/>
      <c r="AM379" s="65"/>
    </row>
    <row r="380">
      <c r="AB380" s="65"/>
      <c r="AC380" s="65"/>
      <c r="AD380" s="65"/>
      <c r="AE380" s="65"/>
      <c r="AF380" s="65"/>
      <c r="AG380" s="65"/>
      <c r="AH380" s="65"/>
      <c r="AI380" s="65"/>
      <c r="AJ380" s="65"/>
      <c r="AK380" s="65"/>
      <c r="AL380" s="65"/>
      <c r="AM380" s="65"/>
    </row>
    <row r="381">
      <c r="AB381" s="65"/>
      <c r="AC381" s="65"/>
      <c r="AD381" s="65"/>
      <c r="AE381" s="65"/>
      <c r="AF381" s="65"/>
      <c r="AG381" s="65"/>
      <c r="AH381" s="65"/>
      <c r="AI381" s="65"/>
      <c r="AJ381" s="65"/>
      <c r="AK381" s="65"/>
      <c r="AL381" s="65"/>
      <c r="AM381" s="65"/>
    </row>
    <row r="382">
      <c r="AB382" s="65"/>
      <c r="AC382" s="65"/>
      <c r="AD382" s="65"/>
      <c r="AE382" s="65"/>
      <c r="AF382" s="65"/>
      <c r="AG382" s="65"/>
      <c r="AH382" s="65"/>
      <c r="AI382" s="65"/>
      <c r="AJ382" s="65"/>
      <c r="AK382" s="65"/>
      <c r="AL382" s="65"/>
      <c r="AM382" s="65"/>
    </row>
    <row r="383">
      <c r="AB383" s="65"/>
      <c r="AC383" s="65"/>
      <c r="AD383" s="65"/>
      <c r="AE383" s="65"/>
      <c r="AF383" s="65"/>
      <c r="AG383" s="65"/>
      <c r="AH383" s="65"/>
      <c r="AI383" s="65"/>
      <c r="AJ383" s="65"/>
      <c r="AK383" s="65"/>
      <c r="AL383" s="65"/>
      <c r="AM383" s="65"/>
    </row>
    <row r="384">
      <c r="AB384" s="65"/>
      <c r="AC384" s="65"/>
      <c r="AD384" s="65"/>
      <c r="AE384" s="65"/>
      <c r="AF384" s="65"/>
      <c r="AG384" s="65"/>
      <c r="AH384" s="65"/>
      <c r="AI384" s="65"/>
      <c r="AJ384" s="65"/>
      <c r="AK384" s="65"/>
      <c r="AL384" s="65"/>
      <c r="AM384" s="65"/>
    </row>
    <row r="385">
      <c r="AB385" s="65"/>
      <c r="AC385" s="65"/>
      <c r="AD385" s="65"/>
      <c r="AE385" s="65"/>
      <c r="AF385" s="65"/>
      <c r="AG385" s="65"/>
      <c r="AH385" s="65"/>
      <c r="AI385" s="65"/>
      <c r="AJ385" s="65"/>
      <c r="AK385" s="65"/>
      <c r="AL385" s="65"/>
      <c r="AM385" s="65"/>
    </row>
    <row r="386">
      <c r="AB386" s="65"/>
      <c r="AC386" s="65"/>
      <c r="AD386" s="65"/>
      <c r="AE386" s="65"/>
      <c r="AF386" s="65"/>
      <c r="AG386" s="65"/>
      <c r="AH386" s="65"/>
      <c r="AI386" s="65"/>
      <c r="AJ386" s="65"/>
      <c r="AK386" s="65"/>
      <c r="AL386" s="65"/>
      <c r="AM386" s="65"/>
    </row>
    <row r="387">
      <c r="AB387" s="65"/>
      <c r="AC387" s="65"/>
      <c r="AD387" s="65"/>
      <c r="AE387" s="65"/>
      <c r="AF387" s="65"/>
      <c r="AG387" s="65"/>
      <c r="AH387" s="65"/>
      <c r="AI387" s="65"/>
      <c r="AJ387" s="65"/>
      <c r="AK387" s="65"/>
      <c r="AL387" s="65"/>
      <c r="AM387" s="65"/>
    </row>
    <row r="388">
      <c r="AB388" s="65"/>
      <c r="AC388" s="65"/>
      <c r="AD388" s="65"/>
      <c r="AE388" s="65"/>
      <c r="AF388" s="65"/>
      <c r="AG388" s="65"/>
      <c r="AH388" s="65"/>
      <c r="AI388" s="65"/>
      <c r="AJ388" s="65"/>
      <c r="AK388" s="65"/>
      <c r="AL388" s="65"/>
      <c r="AM388" s="65"/>
    </row>
    <row r="389">
      <c r="AB389" s="65"/>
      <c r="AC389" s="65"/>
      <c r="AD389" s="65"/>
      <c r="AE389" s="65"/>
      <c r="AF389" s="65"/>
      <c r="AG389" s="65"/>
      <c r="AH389" s="65"/>
      <c r="AI389" s="65"/>
      <c r="AJ389" s="65"/>
      <c r="AK389" s="65"/>
      <c r="AL389" s="65"/>
      <c r="AM389" s="65"/>
    </row>
    <row r="390">
      <c r="AB390" s="65"/>
      <c r="AC390" s="65"/>
      <c r="AD390" s="65"/>
      <c r="AE390" s="65"/>
      <c r="AF390" s="65"/>
      <c r="AG390" s="65"/>
      <c r="AH390" s="65"/>
      <c r="AI390" s="65"/>
      <c r="AJ390" s="65"/>
      <c r="AK390" s="65"/>
      <c r="AL390" s="65"/>
      <c r="AM390" s="65"/>
    </row>
    <row r="391">
      <c r="AB391" s="65"/>
      <c r="AC391" s="65"/>
      <c r="AD391" s="65"/>
      <c r="AE391" s="65"/>
      <c r="AF391" s="65"/>
      <c r="AG391" s="65"/>
      <c r="AH391" s="65"/>
      <c r="AI391" s="65"/>
      <c r="AJ391" s="65"/>
      <c r="AK391" s="65"/>
      <c r="AL391" s="65"/>
      <c r="AM391" s="65"/>
    </row>
    <row r="392">
      <c r="AB392" s="65"/>
      <c r="AC392" s="65"/>
      <c r="AD392" s="65"/>
      <c r="AE392" s="65"/>
      <c r="AF392" s="65"/>
      <c r="AG392" s="65"/>
      <c r="AH392" s="65"/>
      <c r="AI392" s="65"/>
      <c r="AJ392" s="65"/>
      <c r="AK392" s="65"/>
      <c r="AL392" s="65"/>
      <c r="AM392" s="65"/>
    </row>
    <row r="393">
      <c r="AB393" s="65"/>
      <c r="AC393" s="65"/>
      <c r="AD393" s="65"/>
      <c r="AE393" s="65"/>
      <c r="AF393" s="65"/>
      <c r="AG393" s="65"/>
      <c r="AH393" s="65"/>
      <c r="AI393" s="65"/>
      <c r="AJ393" s="65"/>
      <c r="AK393" s="65"/>
      <c r="AL393" s="65"/>
      <c r="AM393" s="65"/>
    </row>
    <row r="394">
      <c r="AB394" s="65"/>
      <c r="AC394" s="65"/>
      <c r="AD394" s="65"/>
      <c r="AE394" s="65"/>
      <c r="AF394" s="65"/>
      <c r="AG394" s="65"/>
      <c r="AH394" s="65"/>
      <c r="AI394" s="65"/>
      <c r="AJ394" s="65"/>
      <c r="AK394" s="65"/>
      <c r="AL394" s="65"/>
      <c r="AM394" s="65"/>
    </row>
    <row r="395">
      <c r="AB395" s="65"/>
      <c r="AC395" s="65"/>
      <c r="AD395" s="65"/>
      <c r="AE395" s="65"/>
      <c r="AF395" s="65"/>
      <c r="AG395" s="65"/>
      <c r="AH395" s="65"/>
      <c r="AI395" s="65"/>
      <c r="AJ395" s="65"/>
      <c r="AK395" s="65"/>
      <c r="AL395" s="65"/>
      <c r="AM395" s="65"/>
    </row>
    <row r="396">
      <c r="AB396" s="65"/>
      <c r="AC396" s="65"/>
      <c r="AD396" s="65"/>
      <c r="AE396" s="65"/>
      <c r="AF396" s="65"/>
      <c r="AG396" s="65"/>
      <c r="AH396" s="65"/>
      <c r="AI396" s="65"/>
      <c r="AJ396" s="65"/>
      <c r="AK396" s="65"/>
      <c r="AL396" s="65"/>
      <c r="AM396" s="65"/>
    </row>
    <row r="397">
      <c r="AB397" s="65"/>
      <c r="AC397" s="65"/>
      <c r="AD397" s="65"/>
      <c r="AE397" s="65"/>
      <c r="AF397" s="65"/>
      <c r="AG397" s="65"/>
      <c r="AH397" s="65"/>
      <c r="AI397" s="65"/>
      <c r="AJ397" s="65"/>
      <c r="AK397" s="65"/>
      <c r="AL397" s="65"/>
      <c r="AM397" s="65"/>
    </row>
    <row r="398">
      <c r="AB398" s="65"/>
      <c r="AC398" s="65"/>
      <c r="AD398" s="65"/>
      <c r="AE398" s="65"/>
      <c r="AF398" s="65"/>
      <c r="AG398" s="65"/>
      <c r="AH398" s="65"/>
      <c r="AI398" s="65"/>
      <c r="AJ398" s="65"/>
      <c r="AK398" s="65"/>
      <c r="AL398" s="65"/>
      <c r="AM398" s="65"/>
    </row>
    <row r="399">
      <c r="AB399" s="65"/>
      <c r="AC399" s="65"/>
      <c r="AD399" s="65"/>
      <c r="AE399" s="65"/>
      <c r="AF399" s="65"/>
      <c r="AG399" s="65"/>
      <c r="AH399" s="65"/>
      <c r="AI399" s="65"/>
      <c r="AJ399" s="65"/>
      <c r="AK399" s="65"/>
      <c r="AL399" s="65"/>
      <c r="AM399" s="65"/>
    </row>
    <row r="400">
      <c r="AB400" s="65"/>
      <c r="AC400" s="65"/>
      <c r="AD400" s="65"/>
      <c r="AE400" s="65"/>
      <c r="AF400" s="65"/>
      <c r="AG400" s="65"/>
      <c r="AH400" s="65"/>
      <c r="AI400" s="65"/>
      <c r="AJ400" s="65"/>
      <c r="AK400" s="65"/>
      <c r="AL400" s="65"/>
      <c r="AM400" s="65"/>
    </row>
    <row r="401">
      <c r="AB401" s="65"/>
      <c r="AC401" s="65"/>
      <c r="AD401" s="65"/>
      <c r="AE401" s="65"/>
      <c r="AF401" s="65"/>
      <c r="AG401" s="65"/>
      <c r="AH401" s="65"/>
      <c r="AI401" s="65"/>
      <c r="AJ401" s="65"/>
      <c r="AK401" s="65"/>
      <c r="AL401" s="65"/>
      <c r="AM401" s="65"/>
    </row>
    <row r="402">
      <c r="AB402" s="65"/>
      <c r="AC402" s="65"/>
      <c r="AD402" s="65"/>
      <c r="AE402" s="65"/>
      <c r="AF402" s="65"/>
      <c r="AG402" s="65"/>
      <c r="AH402" s="65"/>
      <c r="AI402" s="65"/>
      <c r="AJ402" s="65"/>
      <c r="AK402" s="65"/>
      <c r="AL402" s="65"/>
      <c r="AM402" s="65"/>
    </row>
    <row r="403">
      <c r="AB403" s="65"/>
      <c r="AC403" s="65"/>
      <c r="AD403" s="65"/>
      <c r="AE403" s="65"/>
      <c r="AF403" s="65"/>
      <c r="AG403" s="65"/>
      <c r="AH403" s="65"/>
      <c r="AI403" s="65"/>
      <c r="AJ403" s="65"/>
      <c r="AK403" s="65"/>
      <c r="AL403" s="65"/>
      <c r="AM403" s="65"/>
    </row>
    <row r="404">
      <c r="AB404" s="65"/>
      <c r="AC404" s="65"/>
      <c r="AD404" s="65"/>
      <c r="AE404" s="65"/>
      <c r="AF404" s="65"/>
      <c r="AG404" s="65"/>
      <c r="AH404" s="65"/>
      <c r="AI404" s="65"/>
      <c r="AJ404" s="65"/>
      <c r="AK404" s="65"/>
      <c r="AL404" s="65"/>
      <c r="AM404" s="65"/>
    </row>
    <row r="405">
      <c r="AB405" s="65"/>
      <c r="AC405" s="65"/>
      <c r="AD405" s="65"/>
      <c r="AE405" s="65"/>
      <c r="AF405" s="65"/>
      <c r="AG405" s="65"/>
      <c r="AH405" s="65"/>
      <c r="AI405" s="65"/>
      <c r="AJ405" s="65"/>
      <c r="AK405" s="65"/>
      <c r="AL405" s="65"/>
      <c r="AM405" s="65"/>
    </row>
    <row r="406">
      <c r="AB406" s="65"/>
      <c r="AC406" s="65"/>
      <c r="AD406" s="65"/>
      <c r="AE406" s="65"/>
      <c r="AF406" s="65"/>
      <c r="AG406" s="65"/>
      <c r="AH406" s="65"/>
      <c r="AI406" s="65"/>
      <c r="AJ406" s="65"/>
      <c r="AK406" s="65"/>
      <c r="AL406" s="65"/>
      <c r="AM406" s="65"/>
    </row>
    <row r="407">
      <c r="AB407" s="65"/>
      <c r="AC407" s="65"/>
      <c r="AD407" s="65"/>
      <c r="AE407" s="65"/>
      <c r="AF407" s="65"/>
      <c r="AG407" s="65"/>
      <c r="AH407" s="65"/>
      <c r="AI407" s="65"/>
      <c r="AJ407" s="65"/>
      <c r="AK407" s="65"/>
      <c r="AL407" s="65"/>
      <c r="AM407" s="65"/>
    </row>
    <row r="408">
      <c r="AB408" s="65"/>
      <c r="AC408" s="65"/>
      <c r="AD408" s="65"/>
      <c r="AE408" s="65"/>
      <c r="AF408" s="65"/>
      <c r="AG408" s="65"/>
      <c r="AH408" s="65"/>
      <c r="AI408" s="65"/>
      <c r="AJ408" s="65"/>
      <c r="AK408" s="65"/>
      <c r="AL408" s="65"/>
      <c r="AM408" s="65"/>
    </row>
    <row r="409">
      <c r="AB409" s="65"/>
      <c r="AC409" s="65"/>
      <c r="AD409" s="65"/>
      <c r="AE409" s="65"/>
      <c r="AF409" s="65"/>
      <c r="AG409" s="65"/>
      <c r="AH409" s="65"/>
      <c r="AI409" s="65"/>
      <c r="AJ409" s="65"/>
      <c r="AK409" s="65"/>
      <c r="AL409" s="65"/>
      <c r="AM409" s="65"/>
    </row>
    <row r="410">
      <c r="AB410" s="65"/>
      <c r="AC410" s="65"/>
      <c r="AD410" s="65"/>
      <c r="AE410" s="65"/>
      <c r="AF410" s="65"/>
      <c r="AG410" s="65"/>
      <c r="AH410" s="65"/>
      <c r="AI410" s="65"/>
      <c r="AJ410" s="65"/>
      <c r="AK410" s="65"/>
      <c r="AL410" s="65"/>
      <c r="AM410" s="65"/>
    </row>
    <row r="411">
      <c r="AB411" s="65"/>
      <c r="AC411" s="65"/>
      <c r="AD411" s="65"/>
      <c r="AE411" s="65"/>
      <c r="AF411" s="65"/>
      <c r="AG411" s="65"/>
      <c r="AH411" s="65"/>
      <c r="AI411" s="65"/>
      <c r="AJ411" s="65"/>
      <c r="AK411" s="65"/>
      <c r="AL411" s="65"/>
      <c r="AM411" s="65"/>
    </row>
    <row r="412">
      <c r="AB412" s="65"/>
      <c r="AC412" s="65"/>
      <c r="AD412" s="65"/>
      <c r="AE412" s="65"/>
      <c r="AF412" s="65"/>
      <c r="AG412" s="65"/>
      <c r="AH412" s="65"/>
      <c r="AI412" s="65"/>
      <c r="AJ412" s="65"/>
      <c r="AK412" s="65"/>
      <c r="AL412" s="65"/>
      <c r="AM412" s="65"/>
    </row>
    <row r="413">
      <c r="AB413" s="65"/>
      <c r="AC413" s="65"/>
      <c r="AD413" s="65"/>
      <c r="AE413" s="65"/>
      <c r="AF413" s="65"/>
      <c r="AG413" s="65"/>
      <c r="AH413" s="65"/>
      <c r="AI413" s="65"/>
      <c r="AJ413" s="65"/>
      <c r="AK413" s="65"/>
      <c r="AL413" s="65"/>
      <c r="AM413" s="65"/>
    </row>
    <row r="414">
      <c r="AB414" s="65"/>
      <c r="AC414" s="65"/>
      <c r="AD414" s="65"/>
      <c r="AE414" s="65"/>
      <c r="AF414" s="65"/>
      <c r="AG414" s="65"/>
      <c r="AH414" s="65"/>
      <c r="AI414" s="65"/>
      <c r="AJ414" s="65"/>
      <c r="AK414" s="65"/>
      <c r="AL414" s="65"/>
      <c r="AM414" s="65"/>
    </row>
    <row r="415">
      <c r="AB415" s="65"/>
      <c r="AC415" s="65"/>
      <c r="AD415" s="65"/>
      <c r="AE415" s="65"/>
      <c r="AF415" s="65"/>
      <c r="AG415" s="65"/>
      <c r="AH415" s="65"/>
      <c r="AI415" s="65"/>
      <c r="AJ415" s="65"/>
      <c r="AK415" s="65"/>
      <c r="AL415" s="65"/>
      <c r="AM415" s="65"/>
    </row>
    <row r="416">
      <c r="AB416" s="65"/>
      <c r="AC416" s="65"/>
      <c r="AD416" s="65"/>
      <c r="AE416" s="65"/>
      <c r="AF416" s="65"/>
      <c r="AG416" s="65"/>
      <c r="AH416" s="65"/>
      <c r="AI416" s="65"/>
      <c r="AJ416" s="65"/>
      <c r="AK416" s="65"/>
      <c r="AL416" s="65"/>
      <c r="AM416" s="65"/>
    </row>
    <row r="417">
      <c r="AB417" s="65"/>
      <c r="AC417" s="65"/>
      <c r="AD417" s="65"/>
      <c r="AE417" s="65"/>
      <c r="AF417" s="65"/>
      <c r="AG417" s="65"/>
      <c r="AH417" s="65"/>
      <c r="AI417" s="65"/>
      <c r="AJ417" s="65"/>
      <c r="AK417" s="65"/>
      <c r="AL417" s="65"/>
      <c r="AM417" s="65"/>
    </row>
    <row r="418">
      <c r="AB418" s="65"/>
      <c r="AC418" s="65"/>
      <c r="AD418" s="65"/>
      <c r="AE418" s="65"/>
      <c r="AF418" s="65"/>
      <c r="AG418" s="65"/>
      <c r="AH418" s="65"/>
      <c r="AI418" s="65"/>
      <c r="AJ418" s="65"/>
      <c r="AK418" s="65"/>
      <c r="AL418" s="65"/>
      <c r="AM418" s="65"/>
    </row>
    <row r="419">
      <c r="AB419" s="65"/>
      <c r="AC419" s="65"/>
      <c r="AD419" s="65"/>
      <c r="AE419" s="65"/>
      <c r="AF419" s="65"/>
      <c r="AG419" s="65"/>
      <c r="AH419" s="65"/>
      <c r="AI419" s="65"/>
      <c r="AJ419" s="65"/>
      <c r="AK419" s="65"/>
      <c r="AL419" s="65"/>
      <c r="AM419" s="65"/>
    </row>
    <row r="420">
      <c r="AB420" s="65"/>
      <c r="AC420" s="65"/>
      <c r="AD420" s="65"/>
      <c r="AE420" s="65"/>
      <c r="AF420" s="65"/>
      <c r="AG420" s="65"/>
      <c r="AH420" s="65"/>
      <c r="AI420" s="65"/>
      <c r="AJ420" s="65"/>
      <c r="AK420" s="65"/>
      <c r="AL420" s="65"/>
      <c r="AM420" s="65"/>
    </row>
    <row r="421">
      <c r="AB421" s="65"/>
      <c r="AC421" s="65"/>
      <c r="AD421" s="65"/>
      <c r="AE421" s="65"/>
      <c r="AF421" s="65"/>
      <c r="AG421" s="65"/>
      <c r="AH421" s="65"/>
      <c r="AI421" s="65"/>
      <c r="AJ421" s="65"/>
      <c r="AK421" s="65"/>
      <c r="AL421" s="65"/>
      <c r="AM421" s="65"/>
    </row>
    <row r="422">
      <c r="AB422" s="65"/>
      <c r="AC422" s="65"/>
      <c r="AD422" s="65"/>
      <c r="AE422" s="65"/>
      <c r="AF422" s="65"/>
      <c r="AG422" s="65"/>
      <c r="AH422" s="65"/>
      <c r="AI422" s="65"/>
      <c r="AJ422" s="65"/>
      <c r="AK422" s="65"/>
      <c r="AL422" s="65"/>
      <c r="AM422" s="65"/>
    </row>
    <row r="423">
      <c r="AB423" s="65"/>
      <c r="AC423" s="65"/>
      <c r="AD423" s="65"/>
      <c r="AE423" s="65"/>
      <c r="AF423" s="65"/>
      <c r="AG423" s="65"/>
      <c r="AH423" s="65"/>
      <c r="AI423" s="65"/>
      <c r="AJ423" s="65"/>
      <c r="AK423" s="65"/>
      <c r="AL423" s="65"/>
      <c r="AM423" s="65"/>
    </row>
    <row r="424">
      <c r="AB424" s="65"/>
      <c r="AC424" s="65"/>
      <c r="AD424" s="65"/>
      <c r="AE424" s="65"/>
      <c r="AF424" s="65"/>
      <c r="AG424" s="65"/>
      <c r="AH424" s="65"/>
      <c r="AI424" s="65"/>
      <c r="AJ424" s="65"/>
      <c r="AK424" s="65"/>
      <c r="AL424" s="65"/>
      <c r="AM424" s="65"/>
    </row>
    <row r="425">
      <c r="AB425" s="65"/>
      <c r="AC425" s="65"/>
      <c r="AD425" s="65"/>
      <c r="AE425" s="65"/>
      <c r="AF425" s="65"/>
      <c r="AG425" s="65"/>
      <c r="AH425" s="65"/>
      <c r="AI425" s="65"/>
      <c r="AJ425" s="65"/>
      <c r="AK425" s="65"/>
      <c r="AL425" s="65"/>
      <c r="AM425" s="65"/>
    </row>
    <row r="426">
      <c r="AB426" s="65"/>
      <c r="AC426" s="65"/>
      <c r="AD426" s="65"/>
      <c r="AE426" s="65"/>
      <c r="AF426" s="65"/>
      <c r="AG426" s="65"/>
      <c r="AH426" s="65"/>
      <c r="AI426" s="65"/>
      <c r="AJ426" s="65"/>
      <c r="AK426" s="65"/>
      <c r="AL426" s="65"/>
      <c r="AM426" s="65"/>
    </row>
    <row r="427">
      <c r="AB427" s="65"/>
      <c r="AC427" s="65"/>
      <c r="AD427" s="65"/>
      <c r="AE427" s="65"/>
      <c r="AF427" s="65"/>
      <c r="AG427" s="65"/>
      <c r="AH427" s="65"/>
      <c r="AI427" s="65"/>
      <c r="AJ427" s="65"/>
      <c r="AK427" s="65"/>
      <c r="AL427" s="65"/>
      <c r="AM427" s="65"/>
    </row>
    <row r="428">
      <c r="AB428" s="65"/>
      <c r="AC428" s="65"/>
      <c r="AD428" s="65"/>
      <c r="AE428" s="65"/>
      <c r="AF428" s="65"/>
      <c r="AG428" s="65"/>
      <c r="AH428" s="65"/>
      <c r="AI428" s="65"/>
      <c r="AJ428" s="65"/>
      <c r="AK428" s="65"/>
      <c r="AL428" s="65"/>
      <c r="AM428" s="65"/>
    </row>
    <row r="429">
      <c r="AB429" s="65"/>
      <c r="AC429" s="65"/>
      <c r="AD429" s="65"/>
      <c r="AE429" s="65"/>
      <c r="AF429" s="65"/>
      <c r="AG429" s="65"/>
      <c r="AH429" s="65"/>
      <c r="AI429" s="65"/>
      <c r="AJ429" s="65"/>
      <c r="AK429" s="65"/>
      <c r="AL429" s="65"/>
      <c r="AM429" s="65"/>
    </row>
    <row r="430">
      <c r="AB430" s="65"/>
      <c r="AC430" s="65"/>
      <c r="AD430" s="65"/>
      <c r="AE430" s="65"/>
      <c r="AF430" s="65"/>
      <c r="AG430" s="65"/>
      <c r="AH430" s="65"/>
      <c r="AI430" s="65"/>
      <c r="AJ430" s="65"/>
      <c r="AK430" s="65"/>
      <c r="AL430" s="65"/>
      <c r="AM430" s="65"/>
    </row>
    <row r="431">
      <c r="AB431" s="65"/>
      <c r="AC431" s="65"/>
      <c r="AD431" s="65"/>
      <c r="AE431" s="65"/>
      <c r="AF431" s="65"/>
      <c r="AG431" s="65"/>
      <c r="AH431" s="65"/>
      <c r="AI431" s="65"/>
      <c r="AJ431" s="65"/>
      <c r="AK431" s="65"/>
      <c r="AL431" s="65"/>
      <c r="AM431" s="65"/>
    </row>
    <row r="432">
      <c r="AB432" s="65"/>
      <c r="AC432" s="65"/>
      <c r="AD432" s="65"/>
      <c r="AE432" s="65"/>
      <c r="AF432" s="65"/>
      <c r="AG432" s="65"/>
      <c r="AH432" s="65"/>
      <c r="AI432" s="65"/>
      <c r="AJ432" s="65"/>
      <c r="AK432" s="65"/>
      <c r="AL432" s="65"/>
      <c r="AM432" s="65"/>
    </row>
    <row r="433">
      <c r="AB433" s="65"/>
      <c r="AC433" s="65"/>
      <c r="AD433" s="65"/>
      <c r="AE433" s="65"/>
      <c r="AF433" s="65"/>
      <c r="AG433" s="65"/>
      <c r="AH433" s="65"/>
      <c r="AI433" s="65"/>
      <c r="AJ433" s="65"/>
      <c r="AK433" s="65"/>
      <c r="AL433" s="65"/>
      <c r="AM433" s="65"/>
    </row>
    <row r="434">
      <c r="AB434" s="65"/>
      <c r="AC434" s="65"/>
      <c r="AD434" s="65"/>
      <c r="AE434" s="65"/>
      <c r="AF434" s="65"/>
      <c r="AG434" s="65"/>
      <c r="AH434" s="65"/>
      <c r="AI434" s="65"/>
      <c r="AJ434" s="65"/>
      <c r="AK434" s="65"/>
      <c r="AL434" s="65"/>
      <c r="AM434" s="65"/>
    </row>
    <row r="435">
      <c r="AB435" s="65"/>
      <c r="AC435" s="65"/>
      <c r="AD435" s="65"/>
      <c r="AE435" s="65"/>
      <c r="AF435" s="65"/>
      <c r="AG435" s="65"/>
      <c r="AH435" s="65"/>
      <c r="AI435" s="65"/>
      <c r="AJ435" s="65"/>
      <c r="AK435" s="65"/>
      <c r="AL435" s="65"/>
      <c r="AM435" s="65"/>
    </row>
    <row r="436">
      <c r="AB436" s="65"/>
      <c r="AC436" s="65"/>
      <c r="AD436" s="65"/>
      <c r="AE436" s="65"/>
      <c r="AF436" s="65"/>
      <c r="AG436" s="65"/>
      <c r="AH436" s="65"/>
      <c r="AI436" s="65"/>
      <c r="AJ436" s="65"/>
      <c r="AK436" s="65"/>
      <c r="AL436" s="65"/>
      <c r="AM436" s="65"/>
    </row>
    <row r="437">
      <c r="AB437" s="65"/>
      <c r="AC437" s="65"/>
      <c r="AD437" s="65"/>
      <c r="AE437" s="65"/>
      <c r="AF437" s="65"/>
      <c r="AG437" s="65"/>
      <c r="AH437" s="65"/>
      <c r="AI437" s="65"/>
      <c r="AJ437" s="65"/>
      <c r="AK437" s="65"/>
      <c r="AL437" s="65"/>
      <c r="AM437" s="65"/>
    </row>
    <row r="438">
      <c r="AB438" s="65"/>
      <c r="AC438" s="65"/>
      <c r="AD438" s="65"/>
      <c r="AE438" s="65"/>
      <c r="AF438" s="65"/>
      <c r="AG438" s="65"/>
      <c r="AH438" s="65"/>
      <c r="AI438" s="65"/>
      <c r="AJ438" s="65"/>
      <c r="AK438" s="65"/>
      <c r="AL438" s="65"/>
      <c r="AM438" s="65"/>
    </row>
    <row r="439">
      <c r="AB439" s="65"/>
      <c r="AC439" s="65"/>
      <c r="AD439" s="65"/>
      <c r="AE439" s="65"/>
      <c r="AF439" s="65"/>
      <c r="AG439" s="65"/>
      <c r="AH439" s="65"/>
      <c r="AI439" s="65"/>
      <c r="AJ439" s="65"/>
      <c r="AK439" s="65"/>
      <c r="AL439" s="65"/>
      <c r="AM439" s="65"/>
    </row>
    <row r="440">
      <c r="AB440" s="65"/>
      <c r="AC440" s="65"/>
      <c r="AD440" s="65"/>
      <c r="AE440" s="65"/>
      <c r="AF440" s="65"/>
      <c r="AG440" s="65"/>
      <c r="AH440" s="65"/>
      <c r="AI440" s="65"/>
      <c r="AJ440" s="65"/>
      <c r="AK440" s="65"/>
      <c r="AL440" s="65"/>
      <c r="AM440" s="65"/>
    </row>
    <row r="441">
      <c r="AB441" s="65"/>
      <c r="AC441" s="65"/>
      <c r="AD441" s="65"/>
      <c r="AE441" s="65"/>
      <c r="AF441" s="65"/>
      <c r="AG441" s="65"/>
      <c r="AH441" s="65"/>
      <c r="AI441" s="65"/>
      <c r="AJ441" s="65"/>
      <c r="AK441" s="65"/>
      <c r="AL441" s="65"/>
      <c r="AM441" s="65"/>
    </row>
    <row r="442">
      <c r="AB442" s="65"/>
      <c r="AC442" s="65"/>
      <c r="AD442" s="65"/>
      <c r="AE442" s="65"/>
      <c r="AF442" s="65"/>
      <c r="AG442" s="65"/>
      <c r="AH442" s="65"/>
      <c r="AI442" s="65"/>
      <c r="AJ442" s="65"/>
      <c r="AK442" s="65"/>
      <c r="AL442" s="65"/>
      <c r="AM442" s="65"/>
    </row>
    <row r="443">
      <c r="AB443" s="65"/>
      <c r="AC443" s="65"/>
      <c r="AD443" s="65"/>
      <c r="AE443" s="65"/>
      <c r="AF443" s="65"/>
      <c r="AG443" s="65"/>
      <c r="AH443" s="65"/>
      <c r="AI443" s="65"/>
      <c r="AJ443" s="65"/>
      <c r="AK443" s="65"/>
      <c r="AL443" s="65"/>
      <c r="AM443" s="65"/>
    </row>
    <row r="444">
      <c r="AB444" s="65"/>
      <c r="AC444" s="65"/>
      <c r="AD444" s="65"/>
      <c r="AE444" s="65"/>
      <c r="AF444" s="65"/>
      <c r="AG444" s="65"/>
      <c r="AH444" s="65"/>
      <c r="AI444" s="65"/>
      <c r="AJ444" s="65"/>
      <c r="AK444" s="65"/>
      <c r="AL444" s="65"/>
      <c r="AM444" s="65"/>
    </row>
    <row r="445">
      <c r="AB445" s="65"/>
      <c r="AC445" s="65"/>
      <c r="AD445" s="65"/>
      <c r="AE445" s="65"/>
      <c r="AF445" s="65"/>
      <c r="AG445" s="65"/>
      <c r="AH445" s="65"/>
      <c r="AI445" s="65"/>
      <c r="AJ445" s="65"/>
      <c r="AK445" s="65"/>
      <c r="AL445" s="65"/>
      <c r="AM445" s="65"/>
    </row>
    <row r="446">
      <c r="AB446" s="65"/>
      <c r="AC446" s="65"/>
      <c r="AD446" s="65"/>
      <c r="AE446" s="65"/>
      <c r="AF446" s="65"/>
      <c r="AG446" s="65"/>
      <c r="AH446" s="65"/>
      <c r="AI446" s="65"/>
      <c r="AJ446" s="65"/>
      <c r="AK446" s="65"/>
      <c r="AL446" s="65"/>
      <c r="AM446" s="65"/>
    </row>
    <row r="447">
      <c r="AB447" s="65"/>
      <c r="AC447" s="65"/>
      <c r="AD447" s="65"/>
      <c r="AE447" s="65"/>
      <c r="AF447" s="65"/>
      <c r="AG447" s="65"/>
      <c r="AH447" s="65"/>
      <c r="AI447" s="65"/>
      <c r="AJ447" s="65"/>
      <c r="AK447" s="65"/>
      <c r="AL447" s="65"/>
      <c r="AM447" s="65"/>
    </row>
    <row r="448">
      <c r="AB448" s="65"/>
      <c r="AC448" s="65"/>
      <c r="AD448" s="65"/>
      <c r="AE448" s="65"/>
      <c r="AF448" s="65"/>
      <c r="AG448" s="65"/>
      <c r="AH448" s="65"/>
      <c r="AI448" s="65"/>
      <c r="AJ448" s="65"/>
      <c r="AK448" s="65"/>
      <c r="AL448" s="65"/>
      <c r="AM448" s="65"/>
    </row>
    <row r="449">
      <c r="AB449" s="65"/>
      <c r="AC449" s="65"/>
      <c r="AD449" s="65"/>
      <c r="AE449" s="65"/>
      <c r="AF449" s="65"/>
      <c r="AG449" s="65"/>
      <c r="AH449" s="65"/>
      <c r="AI449" s="65"/>
      <c r="AJ449" s="65"/>
      <c r="AK449" s="65"/>
      <c r="AL449" s="65"/>
      <c r="AM449" s="65"/>
    </row>
    <row r="450">
      <c r="AB450" s="65"/>
      <c r="AC450" s="65"/>
      <c r="AD450" s="65"/>
      <c r="AE450" s="65"/>
      <c r="AF450" s="65"/>
      <c r="AG450" s="65"/>
      <c r="AH450" s="65"/>
      <c r="AI450" s="65"/>
      <c r="AJ450" s="65"/>
      <c r="AK450" s="65"/>
      <c r="AL450" s="65"/>
      <c r="AM450" s="65"/>
    </row>
    <row r="451">
      <c r="AB451" s="65"/>
      <c r="AC451" s="65"/>
      <c r="AD451" s="65"/>
      <c r="AE451" s="65"/>
      <c r="AF451" s="65"/>
      <c r="AG451" s="65"/>
      <c r="AH451" s="65"/>
      <c r="AI451" s="65"/>
      <c r="AJ451" s="65"/>
      <c r="AK451" s="65"/>
      <c r="AL451" s="65"/>
      <c r="AM451" s="65"/>
    </row>
    <row r="452">
      <c r="AB452" s="65"/>
      <c r="AC452" s="65"/>
      <c r="AD452" s="65"/>
      <c r="AE452" s="65"/>
      <c r="AF452" s="65"/>
      <c r="AG452" s="65"/>
      <c r="AH452" s="65"/>
      <c r="AI452" s="65"/>
      <c r="AJ452" s="65"/>
      <c r="AK452" s="65"/>
      <c r="AL452" s="65"/>
      <c r="AM452" s="65"/>
    </row>
    <row r="453">
      <c r="AB453" s="65"/>
      <c r="AC453" s="65"/>
      <c r="AD453" s="65"/>
      <c r="AE453" s="65"/>
      <c r="AF453" s="65"/>
      <c r="AG453" s="65"/>
      <c r="AH453" s="65"/>
      <c r="AI453" s="65"/>
      <c r="AJ453" s="65"/>
      <c r="AK453" s="65"/>
      <c r="AL453" s="65"/>
      <c r="AM453" s="65"/>
    </row>
    <row r="454">
      <c r="AB454" s="65"/>
      <c r="AC454" s="65"/>
      <c r="AD454" s="65"/>
      <c r="AE454" s="65"/>
      <c r="AF454" s="65"/>
      <c r="AG454" s="65"/>
      <c r="AH454" s="65"/>
      <c r="AI454" s="65"/>
      <c r="AJ454" s="65"/>
      <c r="AK454" s="65"/>
      <c r="AL454" s="65"/>
      <c r="AM454" s="65"/>
    </row>
    <row r="455">
      <c r="AB455" s="65"/>
      <c r="AC455" s="65"/>
      <c r="AD455" s="65"/>
      <c r="AE455" s="65"/>
      <c r="AF455" s="65"/>
      <c r="AG455" s="65"/>
      <c r="AH455" s="65"/>
      <c r="AI455" s="65"/>
      <c r="AJ455" s="65"/>
      <c r="AK455" s="65"/>
      <c r="AL455" s="65"/>
      <c r="AM455" s="65"/>
    </row>
    <row r="456">
      <c r="AB456" s="65"/>
      <c r="AC456" s="65"/>
      <c r="AD456" s="65"/>
      <c r="AE456" s="65"/>
      <c r="AF456" s="65"/>
      <c r="AG456" s="65"/>
      <c r="AH456" s="65"/>
      <c r="AI456" s="65"/>
      <c r="AJ456" s="65"/>
      <c r="AK456" s="65"/>
      <c r="AL456" s="65"/>
      <c r="AM456" s="65"/>
    </row>
    <row r="457">
      <c r="AB457" s="65"/>
      <c r="AC457" s="65"/>
      <c r="AD457" s="65"/>
      <c r="AE457" s="65"/>
      <c r="AF457" s="65"/>
      <c r="AG457" s="65"/>
      <c r="AH457" s="65"/>
      <c r="AI457" s="65"/>
      <c r="AJ457" s="65"/>
      <c r="AK457" s="65"/>
      <c r="AL457" s="65"/>
      <c r="AM457" s="65"/>
    </row>
    <row r="458">
      <c r="AB458" s="65"/>
      <c r="AC458" s="65"/>
      <c r="AD458" s="65"/>
      <c r="AE458" s="65"/>
      <c r="AF458" s="65"/>
      <c r="AG458" s="65"/>
      <c r="AH458" s="65"/>
      <c r="AI458" s="65"/>
      <c r="AJ458" s="65"/>
      <c r="AK458" s="65"/>
      <c r="AL458" s="65"/>
      <c r="AM458" s="65"/>
    </row>
    <row r="459">
      <c r="AB459" s="65"/>
      <c r="AC459" s="65"/>
      <c r="AD459" s="65"/>
      <c r="AE459" s="65"/>
      <c r="AF459" s="65"/>
      <c r="AG459" s="65"/>
      <c r="AH459" s="65"/>
      <c r="AI459" s="65"/>
      <c r="AJ459" s="65"/>
      <c r="AK459" s="65"/>
      <c r="AL459" s="65"/>
      <c r="AM459" s="65"/>
    </row>
    <row r="460">
      <c r="AB460" s="65"/>
      <c r="AC460" s="65"/>
      <c r="AD460" s="65"/>
      <c r="AE460" s="65"/>
      <c r="AF460" s="65"/>
      <c r="AG460" s="65"/>
      <c r="AH460" s="65"/>
      <c r="AI460" s="65"/>
      <c r="AJ460" s="65"/>
      <c r="AK460" s="65"/>
      <c r="AL460" s="65"/>
      <c r="AM460" s="65"/>
    </row>
    <row r="461">
      <c r="AB461" s="65"/>
      <c r="AC461" s="65"/>
      <c r="AD461" s="65"/>
      <c r="AE461" s="65"/>
      <c r="AF461" s="65"/>
      <c r="AG461" s="65"/>
      <c r="AH461" s="65"/>
      <c r="AI461" s="65"/>
      <c r="AJ461" s="65"/>
      <c r="AK461" s="65"/>
      <c r="AL461" s="65"/>
      <c r="AM461" s="65"/>
    </row>
    <row r="462">
      <c r="AB462" s="65"/>
      <c r="AC462" s="65"/>
      <c r="AD462" s="65"/>
      <c r="AE462" s="65"/>
      <c r="AF462" s="65"/>
      <c r="AG462" s="65"/>
      <c r="AH462" s="65"/>
      <c r="AI462" s="65"/>
      <c r="AJ462" s="65"/>
      <c r="AK462" s="65"/>
      <c r="AL462" s="65"/>
      <c r="AM462" s="65"/>
    </row>
    <row r="463">
      <c r="AB463" s="65"/>
      <c r="AC463" s="65"/>
      <c r="AD463" s="65"/>
      <c r="AE463" s="65"/>
      <c r="AF463" s="65"/>
      <c r="AG463" s="65"/>
      <c r="AH463" s="65"/>
      <c r="AI463" s="65"/>
      <c r="AJ463" s="65"/>
      <c r="AK463" s="65"/>
      <c r="AL463" s="65"/>
      <c r="AM463" s="65"/>
    </row>
    <row r="464">
      <c r="AB464" s="65"/>
      <c r="AC464" s="65"/>
      <c r="AD464" s="65"/>
      <c r="AE464" s="65"/>
      <c r="AF464" s="65"/>
      <c r="AG464" s="65"/>
      <c r="AH464" s="65"/>
      <c r="AI464" s="65"/>
      <c r="AJ464" s="65"/>
      <c r="AK464" s="65"/>
      <c r="AL464" s="65"/>
      <c r="AM464" s="65"/>
    </row>
    <row r="465">
      <c r="AB465" s="65"/>
      <c r="AC465" s="65"/>
      <c r="AD465" s="65"/>
      <c r="AE465" s="65"/>
      <c r="AF465" s="65"/>
      <c r="AG465" s="65"/>
      <c r="AH465" s="65"/>
      <c r="AI465" s="65"/>
      <c r="AJ465" s="65"/>
      <c r="AK465" s="65"/>
      <c r="AL465" s="65"/>
      <c r="AM465" s="65"/>
    </row>
    <row r="466">
      <c r="AB466" s="65"/>
      <c r="AC466" s="65"/>
      <c r="AD466" s="65"/>
      <c r="AE466" s="65"/>
      <c r="AF466" s="65"/>
      <c r="AG466" s="65"/>
      <c r="AH466" s="65"/>
      <c r="AI466" s="65"/>
      <c r="AJ466" s="65"/>
      <c r="AK466" s="65"/>
      <c r="AL466" s="65"/>
      <c r="AM466" s="65"/>
    </row>
    <row r="467">
      <c r="AB467" s="65"/>
      <c r="AC467" s="65"/>
      <c r="AD467" s="65"/>
      <c r="AE467" s="65"/>
      <c r="AF467" s="65"/>
      <c r="AG467" s="65"/>
      <c r="AH467" s="65"/>
      <c r="AI467" s="65"/>
      <c r="AJ467" s="65"/>
      <c r="AK467" s="65"/>
      <c r="AL467" s="65"/>
      <c r="AM467" s="65"/>
    </row>
    <row r="468">
      <c r="AB468" s="65"/>
      <c r="AC468" s="65"/>
      <c r="AD468" s="65"/>
      <c r="AE468" s="65"/>
      <c r="AF468" s="65"/>
      <c r="AG468" s="65"/>
      <c r="AH468" s="65"/>
      <c r="AI468" s="65"/>
      <c r="AJ468" s="65"/>
      <c r="AK468" s="65"/>
      <c r="AL468" s="65"/>
      <c r="AM468" s="65"/>
    </row>
    <row r="469">
      <c r="AB469" s="65"/>
      <c r="AC469" s="65"/>
      <c r="AD469" s="65"/>
      <c r="AE469" s="65"/>
      <c r="AF469" s="65"/>
      <c r="AG469" s="65"/>
      <c r="AH469" s="65"/>
      <c r="AI469" s="65"/>
      <c r="AJ469" s="65"/>
      <c r="AK469" s="65"/>
      <c r="AL469" s="65"/>
      <c r="AM469" s="65"/>
    </row>
    <row r="470">
      <c r="AB470" s="65"/>
      <c r="AC470" s="65"/>
      <c r="AD470" s="65"/>
      <c r="AE470" s="65"/>
      <c r="AF470" s="65"/>
      <c r="AG470" s="65"/>
      <c r="AH470" s="65"/>
      <c r="AI470" s="65"/>
      <c r="AJ470" s="65"/>
      <c r="AK470" s="65"/>
      <c r="AL470" s="65"/>
      <c r="AM470" s="65"/>
    </row>
    <row r="471">
      <c r="AB471" s="65"/>
      <c r="AC471" s="65"/>
      <c r="AD471" s="65"/>
      <c r="AE471" s="65"/>
      <c r="AF471" s="65"/>
      <c r="AG471" s="65"/>
      <c r="AH471" s="65"/>
      <c r="AI471" s="65"/>
      <c r="AJ471" s="65"/>
      <c r="AK471" s="65"/>
      <c r="AL471" s="65"/>
      <c r="AM471" s="65"/>
    </row>
    <row r="472">
      <c r="AB472" s="65"/>
      <c r="AC472" s="65"/>
      <c r="AD472" s="65"/>
      <c r="AE472" s="65"/>
      <c r="AF472" s="65"/>
      <c r="AG472" s="65"/>
      <c r="AH472" s="65"/>
      <c r="AI472" s="65"/>
      <c r="AJ472" s="65"/>
      <c r="AK472" s="65"/>
      <c r="AL472" s="65"/>
      <c r="AM472" s="65"/>
    </row>
    <row r="473">
      <c r="AB473" s="65"/>
      <c r="AC473" s="65"/>
      <c r="AD473" s="65"/>
      <c r="AE473" s="65"/>
      <c r="AF473" s="65"/>
      <c r="AG473" s="65"/>
      <c r="AH473" s="65"/>
      <c r="AI473" s="65"/>
      <c r="AJ473" s="65"/>
      <c r="AK473" s="65"/>
      <c r="AL473" s="65"/>
      <c r="AM473" s="65"/>
    </row>
    <row r="474">
      <c r="AB474" s="65"/>
      <c r="AC474" s="65"/>
      <c r="AD474" s="65"/>
      <c r="AE474" s="65"/>
      <c r="AF474" s="65"/>
      <c r="AG474" s="65"/>
      <c r="AH474" s="65"/>
      <c r="AI474" s="65"/>
      <c r="AJ474" s="65"/>
      <c r="AK474" s="65"/>
      <c r="AL474" s="65"/>
      <c r="AM474" s="65"/>
    </row>
    <row r="475">
      <c r="AB475" s="65"/>
      <c r="AC475" s="65"/>
      <c r="AD475" s="65"/>
      <c r="AE475" s="65"/>
      <c r="AF475" s="65"/>
      <c r="AG475" s="65"/>
      <c r="AH475" s="65"/>
      <c r="AI475" s="65"/>
      <c r="AJ475" s="65"/>
      <c r="AK475" s="65"/>
      <c r="AL475" s="65"/>
      <c r="AM475" s="65"/>
    </row>
    <row r="476">
      <c r="AB476" s="65"/>
      <c r="AC476" s="65"/>
      <c r="AD476" s="65"/>
      <c r="AE476" s="65"/>
      <c r="AF476" s="65"/>
      <c r="AG476" s="65"/>
      <c r="AH476" s="65"/>
      <c r="AI476" s="65"/>
      <c r="AJ476" s="65"/>
      <c r="AK476" s="65"/>
      <c r="AL476" s="65"/>
      <c r="AM476" s="65"/>
    </row>
    <row r="477">
      <c r="AB477" s="65"/>
      <c r="AC477" s="65"/>
      <c r="AD477" s="65"/>
      <c r="AE477" s="65"/>
      <c r="AF477" s="65"/>
      <c r="AG477" s="65"/>
      <c r="AH477" s="65"/>
      <c r="AI477" s="65"/>
      <c r="AJ477" s="65"/>
      <c r="AK477" s="65"/>
      <c r="AL477" s="65"/>
      <c r="AM477" s="65"/>
    </row>
    <row r="478">
      <c r="AB478" s="65"/>
      <c r="AC478" s="65"/>
      <c r="AD478" s="65"/>
      <c r="AE478" s="65"/>
      <c r="AF478" s="65"/>
      <c r="AG478" s="65"/>
      <c r="AH478" s="65"/>
      <c r="AI478" s="65"/>
      <c r="AJ478" s="65"/>
      <c r="AK478" s="65"/>
      <c r="AL478" s="65"/>
      <c r="AM478" s="65"/>
    </row>
    <row r="479">
      <c r="AB479" s="65"/>
      <c r="AC479" s="65"/>
      <c r="AD479" s="65"/>
      <c r="AE479" s="65"/>
      <c r="AF479" s="65"/>
      <c r="AG479" s="65"/>
      <c r="AH479" s="65"/>
      <c r="AI479" s="65"/>
      <c r="AJ479" s="65"/>
      <c r="AK479" s="65"/>
      <c r="AL479" s="65"/>
      <c r="AM479" s="65"/>
    </row>
    <row r="480">
      <c r="AB480" s="65"/>
      <c r="AC480" s="65"/>
      <c r="AD480" s="65"/>
      <c r="AE480" s="65"/>
      <c r="AF480" s="65"/>
      <c r="AG480" s="65"/>
      <c r="AH480" s="65"/>
      <c r="AI480" s="65"/>
      <c r="AJ480" s="65"/>
      <c r="AK480" s="65"/>
      <c r="AL480" s="65"/>
      <c r="AM480" s="65"/>
    </row>
    <row r="481">
      <c r="AB481" s="65"/>
      <c r="AC481" s="65"/>
      <c r="AD481" s="65"/>
      <c r="AE481" s="65"/>
      <c r="AF481" s="65"/>
      <c r="AG481" s="65"/>
      <c r="AH481" s="65"/>
      <c r="AI481" s="65"/>
      <c r="AJ481" s="65"/>
      <c r="AK481" s="65"/>
      <c r="AL481" s="65"/>
      <c r="AM481" s="65"/>
    </row>
    <row r="482">
      <c r="AB482" s="65"/>
      <c r="AC482" s="65"/>
      <c r="AD482" s="65"/>
      <c r="AE482" s="65"/>
      <c r="AF482" s="65"/>
      <c r="AG482" s="65"/>
      <c r="AH482" s="65"/>
      <c r="AI482" s="65"/>
      <c r="AJ482" s="65"/>
      <c r="AK482" s="65"/>
      <c r="AL482" s="65"/>
      <c r="AM482" s="65"/>
    </row>
    <row r="483">
      <c r="AB483" s="65"/>
      <c r="AC483" s="65"/>
      <c r="AD483" s="65"/>
      <c r="AE483" s="65"/>
      <c r="AF483" s="65"/>
      <c r="AG483" s="65"/>
      <c r="AH483" s="65"/>
      <c r="AI483" s="65"/>
      <c r="AJ483" s="65"/>
      <c r="AK483" s="65"/>
      <c r="AL483" s="65"/>
      <c r="AM483" s="65"/>
    </row>
    <row r="484">
      <c r="AB484" s="65"/>
      <c r="AC484" s="65"/>
      <c r="AD484" s="65"/>
      <c r="AE484" s="65"/>
      <c r="AF484" s="65"/>
      <c r="AG484" s="65"/>
      <c r="AH484" s="65"/>
      <c r="AI484" s="65"/>
      <c r="AJ484" s="65"/>
      <c r="AK484" s="65"/>
      <c r="AL484" s="65"/>
      <c r="AM484" s="65"/>
    </row>
    <row r="485">
      <c r="AB485" s="65"/>
      <c r="AC485" s="65"/>
      <c r="AD485" s="65"/>
      <c r="AE485" s="65"/>
      <c r="AF485" s="65"/>
      <c r="AG485" s="65"/>
      <c r="AH485" s="65"/>
      <c r="AI485" s="65"/>
      <c r="AJ485" s="65"/>
      <c r="AK485" s="65"/>
      <c r="AL485" s="65"/>
      <c r="AM485" s="65"/>
    </row>
    <row r="486">
      <c r="AB486" s="65"/>
      <c r="AC486" s="65"/>
      <c r="AD486" s="65"/>
      <c r="AE486" s="65"/>
      <c r="AF486" s="65"/>
      <c r="AG486" s="65"/>
      <c r="AH486" s="65"/>
      <c r="AI486" s="65"/>
      <c r="AJ486" s="65"/>
      <c r="AK486" s="65"/>
      <c r="AL486" s="65"/>
      <c r="AM486" s="65"/>
    </row>
    <row r="487">
      <c r="AB487" s="65"/>
      <c r="AC487" s="65"/>
      <c r="AD487" s="65"/>
      <c r="AE487" s="65"/>
      <c r="AF487" s="65"/>
      <c r="AG487" s="65"/>
      <c r="AH487" s="65"/>
      <c r="AI487" s="65"/>
      <c r="AJ487" s="65"/>
      <c r="AK487" s="65"/>
      <c r="AL487" s="65"/>
      <c r="AM487" s="65"/>
    </row>
    <row r="488">
      <c r="AB488" s="65"/>
      <c r="AC488" s="65"/>
      <c r="AD488" s="65"/>
      <c r="AE488" s="65"/>
      <c r="AF488" s="65"/>
      <c r="AG488" s="65"/>
      <c r="AH488" s="65"/>
      <c r="AI488" s="65"/>
      <c r="AJ488" s="65"/>
      <c r="AK488" s="65"/>
      <c r="AL488" s="65"/>
      <c r="AM488" s="65"/>
    </row>
    <row r="489">
      <c r="AB489" s="65"/>
      <c r="AC489" s="65"/>
      <c r="AD489" s="65"/>
      <c r="AE489" s="65"/>
      <c r="AF489" s="65"/>
      <c r="AG489" s="65"/>
      <c r="AH489" s="65"/>
      <c r="AI489" s="65"/>
      <c r="AJ489" s="65"/>
      <c r="AK489" s="65"/>
      <c r="AL489" s="65"/>
      <c r="AM489" s="65"/>
    </row>
    <row r="490">
      <c r="AB490" s="65"/>
      <c r="AC490" s="65"/>
      <c r="AD490" s="65"/>
      <c r="AE490" s="65"/>
      <c r="AF490" s="65"/>
      <c r="AG490" s="65"/>
      <c r="AH490" s="65"/>
      <c r="AI490" s="65"/>
      <c r="AJ490" s="65"/>
      <c r="AK490" s="65"/>
      <c r="AL490" s="65"/>
      <c r="AM490" s="65"/>
    </row>
    <row r="491">
      <c r="AB491" s="65"/>
      <c r="AC491" s="65"/>
      <c r="AD491" s="65"/>
      <c r="AE491" s="65"/>
      <c r="AF491" s="65"/>
      <c r="AG491" s="65"/>
      <c r="AH491" s="65"/>
      <c r="AI491" s="65"/>
      <c r="AJ491" s="65"/>
      <c r="AK491" s="65"/>
      <c r="AL491" s="65"/>
      <c r="AM491" s="65"/>
    </row>
    <row r="492">
      <c r="AB492" s="65"/>
      <c r="AC492" s="65"/>
      <c r="AD492" s="65"/>
      <c r="AE492" s="65"/>
      <c r="AF492" s="65"/>
      <c r="AG492" s="65"/>
      <c r="AH492" s="65"/>
      <c r="AI492" s="65"/>
      <c r="AJ492" s="65"/>
      <c r="AK492" s="65"/>
      <c r="AL492" s="65"/>
      <c r="AM492" s="65"/>
    </row>
    <row r="493">
      <c r="AB493" s="65"/>
      <c r="AC493" s="65"/>
      <c r="AD493" s="65"/>
      <c r="AE493" s="65"/>
      <c r="AF493" s="65"/>
      <c r="AG493" s="65"/>
      <c r="AH493" s="65"/>
      <c r="AI493" s="65"/>
      <c r="AJ493" s="65"/>
      <c r="AK493" s="65"/>
      <c r="AL493" s="65"/>
      <c r="AM493" s="65"/>
    </row>
    <row r="494">
      <c r="AB494" s="65"/>
      <c r="AC494" s="65"/>
      <c r="AD494" s="65"/>
      <c r="AE494" s="65"/>
      <c r="AF494" s="65"/>
      <c r="AG494" s="65"/>
      <c r="AH494" s="65"/>
      <c r="AI494" s="65"/>
      <c r="AJ494" s="65"/>
      <c r="AK494" s="65"/>
      <c r="AL494" s="65"/>
      <c r="AM494" s="65"/>
    </row>
    <row r="495">
      <c r="AB495" s="65"/>
      <c r="AC495" s="65"/>
      <c r="AD495" s="65"/>
      <c r="AE495" s="65"/>
      <c r="AF495" s="65"/>
      <c r="AG495" s="65"/>
      <c r="AH495" s="65"/>
      <c r="AI495" s="65"/>
      <c r="AJ495" s="65"/>
      <c r="AK495" s="65"/>
      <c r="AL495" s="65"/>
      <c r="AM495" s="65"/>
    </row>
    <row r="496">
      <c r="AB496" s="65"/>
      <c r="AC496" s="65"/>
      <c r="AD496" s="65"/>
      <c r="AE496" s="65"/>
      <c r="AF496" s="65"/>
      <c r="AG496" s="65"/>
      <c r="AH496" s="65"/>
      <c r="AI496" s="65"/>
      <c r="AJ496" s="65"/>
      <c r="AK496" s="65"/>
      <c r="AL496" s="65"/>
      <c r="AM496" s="65"/>
    </row>
    <row r="497">
      <c r="AB497" s="65"/>
      <c r="AC497" s="65"/>
      <c r="AD497" s="65"/>
      <c r="AE497" s="65"/>
      <c r="AF497" s="65"/>
      <c r="AG497" s="65"/>
      <c r="AH497" s="65"/>
      <c r="AI497" s="65"/>
      <c r="AJ497" s="65"/>
      <c r="AK497" s="65"/>
      <c r="AL497" s="65"/>
      <c r="AM497" s="65"/>
    </row>
    <row r="498">
      <c r="AB498" s="65"/>
      <c r="AC498" s="65"/>
      <c r="AD498" s="65"/>
      <c r="AE498" s="65"/>
      <c r="AF498" s="65"/>
      <c r="AG498" s="65"/>
      <c r="AH498" s="65"/>
      <c r="AI498" s="65"/>
      <c r="AJ498" s="65"/>
      <c r="AK498" s="65"/>
      <c r="AL498" s="65"/>
      <c r="AM498" s="65"/>
    </row>
    <row r="499">
      <c r="AB499" s="65"/>
      <c r="AC499" s="65"/>
      <c r="AD499" s="65"/>
      <c r="AE499" s="65"/>
      <c r="AF499" s="65"/>
      <c r="AG499" s="65"/>
      <c r="AH499" s="65"/>
      <c r="AI499" s="65"/>
      <c r="AJ499" s="65"/>
      <c r="AK499" s="65"/>
      <c r="AL499" s="65"/>
      <c r="AM499" s="65"/>
    </row>
    <row r="500">
      <c r="AB500" s="65"/>
      <c r="AC500" s="65"/>
      <c r="AD500" s="65"/>
      <c r="AE500" s="65"/>
      <c r="AF500" s="65"/>
      <c r="AG500" s="65"/>
      <c r="AH500" s="65"/>
      <c r="AI500" s="65"/>
      <c r="AJ500" s="65"/>
      <c r="AK500" s="65"/>
      <c r="AL500" s="65"/>
      <c r="AM500" s="65"/>
    </row>
    <row r="501">
      <c r="AB501" s="65"/>
      <c r="AC501" s="65"/>
      <c r="AD501" s="65"/>
      <c r="AE501" s="65"/>
      <c r="AF501" s="65"/>
      <c r="AG501" s="65"/>
      <c r="AH501" s="65"/>
      <c r="AI501" s="65"/>
      <c r="AJ501" s="65"/>
      <c r="AK501" s="65"/>
      <c r="AL501" s="65"/>
      <c r="AM501" s="65"/>
    </row>
    <row r="502">
      <c r="AB502" s="65"/>
      <c r="AC502" s="65"/>
      <c r="AD502" s="65"/>
      <c r="AE502" s="65"/>
      <c r="AF502" s="65"/>
      <c r="AG502" s="65"/>
      <c r="AH502" s="65"/>
      <c r="AI502" s="65"/>
      <c r="AJ502" s="65"/>
      <c r="AK502" s="65"/>
      <c r="AL502" s="65"/>
      <c r="AM502" s="65"/>
    </row>
    <row r="503">
      <c r="AB503" s="65"/>
      <c r="AC503" s="65"/>
      <c r="AD503" s="65"/>
      <c r="AE503" s="65"/>
      <c r="AF503" s="65"/>
      <c r="AG503" s="65"/>
      <c r="AH503" s="65"/>
      <c r="AI503" s="65"/>
      <c r="AJ503" s="65"/>
      <c r="AK503" s="65"/>
      <c r="AL503" s="65"/>
      <c r="AM503" s="65"/>
    </row>
    <row r="504">
      <c r="AB504" s="65"/>
      <c r="AC504" s="65"/>
      <c r="AD504" s="65"/>
      <c r="AE504" s="65"/>
      <c r="AF504" s="65"/>
      <c r="AG504" s="65"/>
      <c r="AH504" s="65"/>
      <c r="AI504" s="65"/>
      <c r="AJ504" s="65"/>
      <c r="AK504" s="65"/>
      <c r="AL504" s="65"/>
      <c r="AM504" s="65"/>
    </row>
    <row r="505">
      <c r="AB505" s="65"/>
      <c r="AC505" s="65"/>
      <c r="AD505" s="65"/>
      <c r="AE505" s="65"/>
      <c r="AF505" s="65"/>
      <c r="AG505" s="65"/>
      <c r="AH505" s="65"/>
      <c r="AI505" s="65"/>
      <c r="AJ505" s="65"/>
      <c r="AK505" s="65"/>
      <c r="AL505" s="65"/>
      <c r="AM505" s="65"/>
    </row>
    <row r="506">
      <c r="AB506" s="65"/>
      <c r="AC506" s="65"/>
      <c r="AD506" s="65"/>
      <c r="AE506" s="65"/>
      <c r="AF506" s="65"/>
      <c r="AG506" s="65"/>
      <c r="AH506" s="65"/>
      <c r="AI506" s="65"/>
      <c r="AJ506" s="65"/>
      <c r="AK506" s="65"/>
      <c r="AL506" s="65"/>
      <c r="AM506" s="65"/>
    </row>
    <row r="507">
      <c r="AB507" s="65"/>
      <c r="AC507" s="65"/>
      <c r="AD507" s="65"/>
      <c r="AE507" s="65"/>
      <c r="AF507" s="65"/>
      <c r="AG507" s="65"/>
      <c r="AH507" s="65"/>
      <c r="AI507" s="65"/>
      <c r="AJ507" s="65"/>
      <c r="AK507" s="65"/>
      <c r="AL507" s="65"/>
      <c r="AM507" s="65"/>
    </row>
    <row r="508">
      <c r="AB508" s="65"/>
      <c r="AC508" s="65"/>
      <c r="AD508" s="65"/>
      <c r="AE508" s="65"/>
      <c r="AF508" s="65"/>
      <c r="AG508" s="65"/>
      <c r="AH508" s="65"/>
      <c r="AI508" s="65"/>
      <c r="AJ508" s="65"/>
      <c r="AK508" s="65"/>
      <c r="AL508" s="65"/>
      <c r="AM508" s="65"/>
    </row>
    <row r="509">
      <c r="AB509" s="65"/>
      <c r="AC509" s="65"/>
      <c r="AD509" s="65"/>
      <c r="AE509" s="65"/>
      <c r="AF509" s="65"/>
      <c r="AG509" s="65"/>
      <c r="AH509" s="65"/>
      <c r="AI509" s="65"/>
      <c r="AJ509" s="65"/>
      <c r="AK509" s="65"/>
      <c r="AL509" s="65"/>
      <c r="AM509" s="65"/>
    </row>
    <row r="510">
      <c r="AB510" s="65"/>
      <c r="AC510" s="65"/>
      <c r="AD510" s="65"/>
      <c r="AE510" s="65"/>
      <c r="AF510" s="65"/>
      <c r="AG510" s="65"/>
      <c r="AH510" s="65"/>
      <c r="AI510" s="65"/>
      <c r="AJ510" s="65"/>
      <c r="AK510" s="65"/>
      <c r="AL510" s="65"/>
      <c r="AM510" s="65"/>
    </row>
    <row r="511">
      <c r="AB511" s="65"/>
      <c r="AC511" s="65"/>
      <c r="AD511" s="65"/>
      <c r="AE511" s="65"/>
      <c r="AF511" s="65"/>
      <c r="AG511" s="65"/>
      <c r="AH511" s="65"/>
      <c r="AI511" s="65"/>
      <c r="AJ511" s="65"/>
      <c r="AK511" s="65"/>
      <c r="AL511" s="65"/>
      <c r="AM511" s="65"/>
    </row>
    <row r="512">
      <c r="AB512" s="65"/>
      <c r="AC512" s="65"/>
      <c r="AD512" s="65"/>
      <c r="AE512" s="65"/>
      <c r="AF512" s="65"/>
      <c r="AG512" s="65"/>
      <c r="AH512" s="65"/>
      <c r="AI512" s="65"/>
      <c r="AJ512" s="65"/>
      <c r="AK512" s="65"/>
      <c r="AL512" s="65"/>
      <c r="AM512" s="65"/>
    </row>
    <row r="513">
      <c r="AB513" s="65"/>
      <c r="AC513" s="65"/>
      <c r="AD513" s="65"/>
      <c r="AE513" s="65"/>
      <c r="AF513" s="65"/>
      <c r="AG513" s="65"/>
      <c r="AH513" s="65"/>
      <c r="AI513" s="65"/>
      <c r="AJ513" s="65"/>
      <c r="AK513" s="65"/>
      <c r="AL513" s="65"/>
      <c r="AM513" s="65"/>
    </row>
    <row r="514">
      <c r="AB514" s="65"/>
      <c r="AC514" s="65"/>
      <c r="AD514" s="65"/>
      <c r="AE514" s="65"/>
      <c r="AF514" s="65"/>
      <c r="AG514" s="65"/>
      <c r="AH514" s="65"/>
      <c r="AI514" s="65"/>
      <c r="AJ514" s="65"/>
      <c r="AK514" s="65"/>
      <c r="AL514" s="65"/>
      <c r="AM514" s="65"/>
    </row>
    <row r="515">
      <c r="AB515" s="65"/>
      <c r="AC515" s="65"/>
      <c r="AD515" s="65"/>
      <c r="AE515" s="65"/>
      <c r="AF515" s="65"/>
      <c r="AG515" s="65"/>
      <c r="AH515" s="65"/>
      <c r="AI515" s="65"/>
      <c r="AJ515" s="65"/>
      <c r="AK515" s="65"/>
      <c r="AL515" s="65"/>
      <c r="AM515" s="65"/>
    </row>
    <row r="516">
      <c r="AB516" s="65"/>
      <c r="AC516" s="65"/>
      <c r="AD516" s="65"/>
      <c r="AE516" s="65"/>
      <c r="AF516" s="65"/>
      <c r="AG516" s="65"/>
      <c r="AH516" s="65"/>
      <c r="AI516" s="65"/>
      <c r="AJ516" s="65"/>
      <c r="AK516" s="65"/>
      <c r="AL516" s="65"/>
      <c r="AM516" s="65"/>
    </row>
    <row r="517">
      <c r="AB517" s="65"/>
      <c r="AC517" s="65"/>
      <c r="AD517" s="65"/>
      <c r="AE517" s="65"/>
      <c r="AF517" s="65"/>
      <c r="AG517" s="65"/>
      <c r="AH517" s="65"/>
      <c r="AI517" s="65"/>
      <c r="AJ517" s="65"/>
      <c r="AK517" s="65"/>
      <c r="AL517" s="65"/>
      <c r="AM517" s="65"/>
    </row>
    <row r="518">
      <c r="AB518" s="65"/>
      <c r="AC518" s="65"/>
      <c r="AD518" s="65"/>
      <c r="AE518" s="65"/>
      <c r="AF518" s="65"/>
      <c r="AG518" s="65"/>
      <c r="AH518" s="65"/>
      <c r="AI518" s="65"/>
      <c r="AJ518" s="65"/>
      <c r="AK518" s="65"/>
      <c r="AL518" s="65"/>
      <c r="AM518" s="65"/>
    </row>
    <row r="519">
      <c r="AB519" s="65"/>
      <c r="AC519" s="65"/>
      <c r="AD519" s="65"/>
      <c r="AE519" s="65"/>
      <c r="AF519" s="65"/>
      <c r="AG519" s="65"/>
      <c r="AH519" s="65"/>
      <c r="AI519" s="65"/>
      <c r="AJ519" s="65"/>
      <c r="AK519" s="65"/>
      <c r="AL519" s="65"/>
      <c r="AM519" s="65"/>
    </row>
    <row r="520">
      <c r="AB520" s="65"/>
      <c r="AC520" s="65"/>
      <c r="AD520" s="65"/>
      <c r="AE520" s="65"/>
      <c r="AF520" s="65"/>
      <c r="AG520" s="65"/>
      <c r="AH520" s="65"/>
      <c r="AI520" s="65"/>
      <c r="AJ520" s="65"/>
      <c r="AK520" s="65"/>
      <c r="AL520" s="65"/>
      <c r="AM520" s="65"/>
    </row>
    <row r="521">
      <c r="AB521" s="65"/>
      <c r="AC521" s="65"/>
      <c r="AD521" s="65"/>
      <c r="AE521" s="65"/>
      <c r="AF521" s="65"/>
      <c r="AG521" s="65"/>
      <c r="AH521" s="65"/>
      <c r="AI521" s="65"/>
      <c r="AJ521" s="65"/>
      <c r="AK521" s="65"/>
      <c r="AL521" s="65"/>
      <c r="AM521" s="65"/>
    </row>
    <row r="522">
      <c r="AB522" s="65"/>
      <c r="AC522" s="65"/>
      <c r="AD522" s="65"/>
      <c r="AE522" s="65"/>
      <c r="AF522" s="65"/>
      <c r="AG522" s="65"/>
      <c r="AH522" s="65"/>
      <c r="AI522" s="65"/>
      <c r="AJ522" s="65"/>
      <c r="AK522" s="65"/>
      <c r="AL522" s="65"/>
      <c r="AM522" s="65"/>
    </row>
    <row r="523">
      <c r="AB523" s="65"/>
      <c r="AC523" s="65"/>
      <c r="AD523" s="65"/>
      <c r="AE523" s="65"/>
      <c r="AF523" s="65"/>
      <c r="AG523" s="65"/>
      <c r="AH523" s="65"/>
      <c r="AI523" s="65"/>
      <c r="AJ523" s="65"/>
      <c r="AK523" s="65"/>
      <c r="AL523" s="65"/>
      <c r="AM523" s="65"/>
    </row>
    <row r="524">
      <c r="AB524" s="65"/>
      <c r="AC524" s="65"/>
      <c r="AD524" s="65"/>
      <c r="AE524" s="65"/>
      <c r="AF524" s="65"/>
      <c r="AG524" s="65"/>
      <c r="AH524" s="65"/>
      <c r="AI524" s="65"/>
      <c r="AJ524" s="65"/>
      <c r="AK524" s="65"/>
      <c r="AL524" s="65"/>
      <c r="AM524" s="65"/>
    </row>
    <row r="525">
      <c r="AB525" s="65"/>
      <c r="AC525" s="65"/>
      <c r="AD525" s="65"/>
      <c r="AE525" s="65"/>
      <c r="AF525" s="65"/>
      <c r="AG525" s="65"/>
      <c r="AH525" s="65"/>
      <c r="AI525" s="65"/>
      <c r="AJ525" s="65"/>
      <c r="AK525" s="65"/>
      <c r="AL525" s="65"/>
      <c r="AM525" s="65"/>
    </row>
    <row r="526">
      <c r="AB526" s="65"/>
      <c r="AC526" s="65"/>
      <c r="AD526" s="65"/>
      <c r="AE526" s="65"/>
      <c r="AF526" s="65"/>
      <c r="AG526" s="65"/>
      <c r="AH526" s="65"/>
      <c r="AI526" s="65"/>
      <c r="AJ526" s="65"/>
      <c r="AK526" s="65"/>
      <c r="AL526" s="65"/>
      <c r="AM526" s="65"/>
    </row>
    <row r="527">
      <c r="AB527" s="65"/>
      <c r="AC527" s="65"/>
      <c r="AD527" s="65"/>
      <c r="AE527" s="65"/>
      <c r="AF527" s="65"/>
      <c r="AG527" s="65"/>
      <c r="AH527" s="65"/>
      <c r="AI527" s="65"/>
      <c r="AJ527" s="65"/>
      <c r="AK527" s="65"/>
      <c r="AL527" s="65"/>
      <c r="AM527" s="65"/>
    </row>
    <row r="528">
      <c r="AB528" s="65"/>
      <c r="AC528" s="65"/>
      <c r="AD528" s="65"/>
      <c r="AE528" s="65"/>
      <c r="AF528" s="65"/>
      <c r="AG528" s="65"/>
      <c r="AH528" s="65"/>
      <c r="AI528" s="65"/>
      <c r="AJ528" s="65"/>
      <c r="AK528" s="65"/>
      <c r="AL528" s="65"/>
      <c r="AM528" s="65"/>
    </row>
    <row r="529">
      <c r="AB529" s="65"/>
      <c r="AC529" s="65"/>
      <c r="AD529" s="65"/>
      <c r="AE529" s="65"/>
      <c r="AF529" s="65"/>
      <c r="AG529" s="65"/>
      <c r="AH529" s="65"/>
      <c r="AI529" s="65"/>
      <c r="AJ529" s="65"/>
      <c r="AK529" s="65"/>
      <c r="AL529" s="65"/>
      <c r="AM529" s="65"/>
    </row>
    <row r="530">
      <c r="AB530" s="65"/>
      <c r="AC530" s="65"/>
      <c r="AD530" s="65"/>
      <c r="AE530" s="65"/>
      <c r="AF530" s="65"/>
      <c r="AG530" s="65"/>
      <c r="AH530" s="65"/>
      <c r="AI530" s="65"/>
      <c r="AJ530" s="65"/>
      <c r="AK530" s="65"/>
      <c r="AL530" s="65"/>
      <c r="AM530" s="65"/>
    </row>
    <row r="531">
      <c r="AB531" s="65"/>
      <c r="AC531" s="65"/>
      <c r="AD531" s="65"/>
      <c r="AE531" s="65"/>
      <c r="AF531" s="65"/>
      <c r="AG531" s="65"/>
      <c r="AH531" s="65"/>
      <c r="AI531" s="65"/>
      <c r="AJ531" s="65"/>
      <c r="AK531" s="65"/>
      <c r="AL531" s="65"/>
      <c r="AM531" s="65"/>
    </row>
    <row r="532">
      <c r="AB532" s="65"/>
      <c r="AC532" s="65"/>
      <c r="AD532" s="65"/>
      <c r="AE532" s="65"/>
      <c r="AF532" s="65"/>
      <c r="AG532" s="65"/>
      <c r="AH532" s="65"/>
      <c r="AI532" s="65"/>
      <c r="AJ532" s="65"/>
      <c r="AK532" s="65"/>
      <c r="AL532" s="65"/>
      <c r="AM532" s="65"/>
    </row>
    <row r="533">
      <c r="AB533" s="65"/>
      <c r="AC533" s="65"/>
      <c r="AD533" s="65"/>
      <c r="AE533" s="65"/>
      <c r="AF533" s="65"/>
      <c r="AG533" s="65"/>
      <c r="AH533" s="65"/>
      <c r="AI533" s="65"/>
      <c r="AJ533" s="65"/>
      <c r="AK533" s="65"/>
      <c r="AL533" s="65"/>
      <c r="AM533" s="65"/>
    </row>
    <row r="534">
      <c r="AB534" s="65"/>
      <c r="AC534" s="65"/>
      <c r="AD534" s="65"/>
      <c r="AE534" s="65"/>
      <c r="AF534" s="65"/>
      <c r="AG534" s="65"/>
      <c r="AH534" s="65"/>
      <c r="AI534" s="65"/>
      <c r="AJ534" s="65"/>
      <c r="AK534" s="65"/>
      <c r="AL534" s="65"/>
      <c r="AM534" s="65"/>
    </row>
    <row r="535">
      <c r="AB535" s="65"/>
      <c r="AC535" s="65"/>
      <c r="AD535" s="65"/>
      <c r="AE535" s="65"/>
      <c r="AF535" s="65"/>
      <c r="AG535" s="65"/>
      <c r="AH535" s="65"/>
      <c r="AI535" s="65"/>
      <c r="AJ535" s="65"/>
      <c r="AK535" s="65"/>
      <c r="AL535" s="65"/>
      <c r="AM535" s="65"/>
    </row>
    <row r="536">
      <c r="AB536" s="65"/>
      <c r="AC536" s="65"/>
      <c r="AD536" s="65"/>
      <c r="AE536" s="65"/>
      <c r="AF536" s="65"/>
      <c r="AG536" s="65"/>
      <c r="AH536" s="65"/>
      <c r="AI536" s="65"/>
      <c r="AJ536" s="65"/>
      <c r="AK536" s="65"/>
      <c r="AL536" s="65"/>
      <c r="AM536" s="65"/>
    </row>
    <row r="537">
      <c r="AB537" s="65"/>
      <c r="AC537" s="65"/>
      <c r="AD537" s="65"/>
      <c r="AE537" s="65"/>
      <c r="AF537" s="65"/>
      <c r="AG537" s="65"/>
      <c r="AH537" s="65"/>
      <c r="AI537" s="65"/>
      <c r="AJ537" s="65"/>
      <c r="AK537" s="65"/>
      <c r="AL537" s="65"/>
      <c r="AM537" s="65"/>
    </row>
    <row r="538">
      <c r="AB538" s="65"/>
      <c r="AC538" s="65"/>
      <c r="AD538" s="65"/>
      <c r="AE538" s="65"/>
      <c r="AF538" s="65"/>
      <c r="AG538" s="65"/>
      <c r="AH538" s="65"/>
      <c r="AI538" s="65"/>
      <c r="AJ538" s="65"/>
      <c r="AK538" s="65"/>
      <c r="AL538" s="65"/>
      <c r="AM538" s="65"/>
    </row>
    <row r="539">
      <c r="AB539" s="65"/>
      <c r="AC539" s="65"/>
      <c r="AD539" s="65"/>
      <c r="AE539" s="65"/>
      <c r="AF539" s="65"/>
      <c r="AG539" s="65"/>
      <c r="AH539" s="65"/>
      <c r="AI539" s="65"/>
      <c r="AJ539" s="65"/>
      <c r="AK539" s="65"/>
      <c r="AL539" s="65"/>
      <c r="AM539" s="65"/>
    </row>
    <row r="540">
      <c r="AB540" s="65"/>
      <c r="AC540" s="65"/>
      <c r="AD540" s="65"/>
      <c r="AE540" s="65"/>
      <c r="AF540" s="65"/>
      <c r="AG540" s="65"/>
      <c r="AH540" s="65"/>
      <c r="AI540" s="65"/>
      <c r="AJ540" s="65"/>
      <c r="AK540" s="65"/>
      <c r="AL540" s="65"/>
      <c r="AM540" s="65"/>
    </row>
    <row r="541">
      <c r="AB541" s="65"/>
      <c r="AC541" s="65"/>
      <c r="AD541" s="65"/>
      <c r="AE541" s="65"/>
      <c r="AF541" s="65"/>
      <c r="AG541" s="65"/>
      <c r="AH541" s="65"/>
      <c r="AI541" s="65"/>
      <c r="AJ541" s="65"/>
      <c r="AK541" s="65"/>
      <c r="AL541" s="65"/>
      <c r="AM541" s="65"/>
    </row>
    <row r="542">
      <c r="AB542" s="65"/>
      <c r="AC542" s="65"/>
      <c r="AD542" s="65"/>
      <c r="AE542" s="65"/>
      <c r="AF542" s="65"/>
      <c r="AG542" s="65"/>
      <c r="AH542" s="65"/>
      <c r="AI542" s="65"/>
      <c r="AJ542" s="65"/>
      <c r="AK542" s="65"/>
      <c r="AL542" s="65"/>
      <c r="AM542" s="65"/>
    </row>
    <row r="543">
      <c r="AB543" s="65"/>
      <c r="AC543" s="65"/>
      <c r="AD543" s="65"/>
      <c r="AE543" s="65"/>
      <c r="AF543" s="65"/>
      <c r="AG543" s="65"/>
      <c r="AH543" s="65"/>
      <c r="AI543" s="65"/>
      <c r="AJ543" s="65"/>
      <c r="AK543" s="65"/>
      <c r="AL543" s="65"/>
      <c r="AM543" s="65"/>
    </row>
    <row r="544">
      <c r="AB544" s="65"/>
      <c r="AC544" s="65"/>
      <c r="AD544" s="65"/>
      <c r="AE544" s="65"/>
      <c r="AF544" s="65"/>
      <c r="AG544" s="65"/>
      <c r="AH544" s="65"/>
      <c r="AI544" s="65"/>
      <c r="AJ544" s="65"/>
      <c r="AK544" s="65"/>
      <c r="AL544" s="65"/>
      <c r="AM544" s="65"/>
    </row>
    <row r="545">
      <c r="AB545" s="65"/>
      <c r="AC545" s="65"/>
      <c r="AD545" s="65"/>
      <c r="AE545" s="65"/>
      <c r="AF545" s="65"/>
      <c r="AG545" s="65"/>
      <c r="AH545" s="65"/>
      <c r="AI545" s="65"/>
      <c r="AJ545" s="65"/>
      <c r="AK545" s="65"/>
      <c r="AL545" s="65"/>
      <c r="AM545" s="65"/>
    </row>
    <row r="546">
      <c r="AB546" s="65"/>
      <c r="AC546" s="65"/>
      <c r="AD546" s="65"/>
      <c r="AE546" s="65"/>
      <c r="AF546" s="65"/>
      <c r="AG546" s="65"/>
      <c r="AH546" s="65"/>
      <c r="AI546" s="65"/>
      <c r="AJ546" s="65"/>
      <c r="AK546" s="65"/>
      <c r="AL546" s="65"/>
      <c r="AM546" s="65"/>
    </row>
    <row r="547">
      <c r="AB547" s="65"/>
      <c r="AC547" s="65"/>
      <c r="AD547" s="65"/>
      <c r="AE547" s="65"/>
      <c r="AF547" s="65"/>
      <c r="AG547" s="65"/>
      <c r="AH547" s="65"/>
      <c r="AI547" s="65"/>
      <c r="AJ547" s="65"/>
      <c r="AK547" s="65"/>
      <c r="AL547" s="65"/>
      <c r="AM547" s="65"/>
    </row>
    <row r="548">
      <c r="AB548" s="65"/>
      <c r="AC548" s="65"/>
      <c r="AD548" s="65"/>
      <c r="AE548" s="65"/>
      <c r="AF548" s="65"/>
      <c r="AG548" s="65"/>
      <c r="AH548" s="65"/>
      <c r="AI548" s="65"/>
      <c r="AJ548" s="65"/>
      <c r="AK548" s="65"/>
      <c r="AL548" s="65"/>
      <c r="AM548" s="65"/>
    </row>
    <row r="549">
      <c r="AB549" s="65"/>
      <c r="AC549" s="65"/>
      <c r="AD549" s="65"/>
      <c r="AE549" s="65"/>
      <c r="AF549" s="65"/>
      <c r="AG549" s="65"/>
      <c r="AH549" s="65"/>
      <c r="AI549" s="65"/>
      <c r="AJ549" s="65"/>
      <c r="AK549" s="65"/>
      <c r="AL549" s="65"/>
      <c r="AM549" s="65"/>
    </row>
    <row r="550">
      <c r="AB550" s="65"/>
      <c r="AC550" s="65"/>
      <c r="AD550" s="65"/>
      <c r="AE550" s="65"/>
      <c r="AF550" s="65"/>
      <c r="AG550" s="65"/>
      <c r="AH550" s="65"/>
      <c r="AI550" s="65"/>
      <c r="AJ550" s="65"/>
      <c r="AK550" s="65"/>
      <c r="AL550" s="65"/>
      <c r="AM550" s="65"/>
    </row>
    <row r="551">
      <c r="AB551" s="65"/>
      <c r="AC551" s="65"/>
      <c r="AD551" s="65"/>
      <c r="AE551" s="65"/>
      <c r="AF551" s="65"/>
      <c r="AG551" s="65"/>
      <c r="AH551" s="65"/>
      <c r="AI551" s="65"/>
      <c r="AJ551" s="65"/>
      <c r="AK551" s="65"/>
      <c r="AL551" s="65"/>
      <c r="AM551" s="65"/>
    </row>
    <row r="552">
      <c r="AB552" s="65"/>
      <c r="AC552" s="65"/>
      <c r="AD552" s="65"/>
      <c r="AE552" s="65"/>
      <c r="AF552" s="65"/>
      <c r="AG552" s="65"/>
      <c r="AH552" s="65"/>
      <c r="AI552" s="65"/>
      <c r="AJ552" s="65"/>
      <c r="AK552" s="65"/>
      <c r="AL552" s="65"/>
      <c r="AM552" s="65"/>
    </row>
    <row r="553">
      <c r="AB553" s="65"/>
      <c r="AC553" s="65"/>
      <c r="AD553" s="65"/>
      <c r="AE553" s="65"/>
      <c r="AF553" s="65"/>
      <c r="AG553" s="65"/>
      <c r="AH553" s="65"/>
      <c r="AI553" s="65"/>
      <c r="AJ553" s="65"/>
      <c r="AK553" s="65"/>
      <c r="AL553" s="65"/>
      <c r="AM553" s="65"/>
    </row>
    <row r="554">
      <c r="AB554" s="65"/>
      <c r="AC554" s="65"/>
      <c r="AD554" s="65"/>
      <c r="AE554" s="65"/>
      <c r="AF554" s="65"/>
      <c r="AG554" s="65"/>
      <c r="AH554" s="65"/>
      <c r="AI554" s="65"/>
      <c r="AJ554" s="65"/>
      <c r="AK554" s="65"/>
      <c r="AL554" s="65"/>
      <c r="AM554" s="65"/>
    </row>
    <row r="555">
      <c r="AB555" s="65"/>
      <c r="AC555" s="65"/>
      <c r="AD555" s="65"/>
      <c r="AE555" s="65"/>
      <c r="AF555" s="65"/>
      <c r="AG555" s="65"/>
      <c r="AH555" s="65"/>
      <c r="AI555" s="65"/>
      <c r="AJ555" s="65"/>
      <c r="AK555" s="65"/>
      <c r="AL555" s="65"/>
      <c r="AM555" s="65"/>
    </row>
    <row r="556">
      <c r="AB556" s="65"/>
      <c r="AC556" s="65"/>
      <c r="AD556" s="65"/>
      <c r="AE556" s="65"/>
      <c r="AF556" s="65"/>
      <c r="AG556" s="65"/>
      <c r="AH556" s="65"/>
      <c r="AI556" s="65"/>
      <c r="AJ556" s="65"/>
      <c r="AK556" s="65"/>
      <c r="AL556" s="65"/>
      <c r="AM556" s="65"/>
    </row>
    <row r="557">
      <c r="AB557" s="65"/>
      <c r="AC557" s="65"/>
      <c r="AD557" s="65"/>
      <c r="AE557" s="65"/>
      <c r="AF557" s="65"/>
      <c r="AG557" s="65"/>
      <c r="AH557" s="65"/>
      <c r="AI557" s="65"/>
      <c r="AJ557" s="65"/>
      <c r="AK557" s="65"/>
      <c r="AL557" s="65"/>
      <c r="AM557" s="65"/>
    </row>
    <row r="558">
      <c r="AB558" s="65"/>
      <c r="AC558" s="65"/>
      <c r="AD558" s="65"/>
      <c r="AE558" s="65"/>
      <c r="AF558" s="65"/>
      <c r="AG558" s="65"/>
      <c r="AH558" s="65"/>
      <c r="AI558" s="65"/>
      <c r="AJ558" s="65"/>
      <c r="AK558" s="65"/>
      <c r="AL558" s="65"/>
      <c r="AM558" s="65"/>
    </row>
    <row r="559">
      <c r="AB559" s="65"/>
      <c r="AC559" s="65"/>
      <c r="AD559" s="65"/>
      <c r="AE559" s="65"/>
      <c r="AF559" s="65"/>
      <c r="AG559" s="65"/>
      <c r="AH559" s="65"/>
      <c r="AI559" s="65"/>
      <c r="AJ559" s="65"/>
      <c r="AK559" s="65"/>
      <c r="AL559" s="65"/>
      <c r="AM559" s="65"/>
    </row>
    <row r="560">
      <c r="AB560" s="65"/>
      <c r="AC560" s="65"/>
      <c r="AD560" s="65"/>
      <c r="AE560" s="65"/>
      <c r="AF560" s="65"/>
      <c r="AG560" s="65"/>
      <c r="AH560" s="65"/>
      <c r="AI560" s="65"/>
      <c r="AJ560" s="65"/>
      <c r="AK560" s="65"/>
      <c r="AL560" s="65"/>
      <c r="AM560" s="65"/>
    </row>
    <row r="561">
      <c r="AB561" s="65"/>
      <c r="AC561" s="65"/>
      <c r="AD561" s="65"/>
      <c r="AE561" s="65"/>
      <c r="AF561" s="65"/>
      <c r="AG561" s="65"/>
      <c r="AH561" s="65"/>
      <c r="AI561" s="65"/>
      <c r="AJ561" s="65"/>
      <c r="AK561" s="65"/>
      <c r="AL561" s="65"/>
      <c r="AM561" s="65"/>
    </row>
    <row r="562">
      <c r="AB562" s="65"/>
      <c r="AC562" s="65"/>
      <c r="AD562" s="65"/>
      <c r="AE562" s="65"/>
      <c r="AF562" s="65"/>
      <c r="AG562" s="65"/>
      <c r="AH562" s="65"/>
      <c r="AI562" s="65"/>
      <c r="AJ562" s="65"/>
      <c r="AK562" s="65"/>
      <c r="AL562" s="65"/>
      <c r="AM562" s="65"/>
    </row>
    <row r="563">
      <c r="AB563" s="65"/>
      <c r="AC563" s="65"/>
      <c r="AD563" s="65"/>
      <c r="AE563" s="65"/>
      <c r="AF563" s="65"/>
      <c r="AG563" s="65"/>
      <c r="AH563" s="65"/>
      <c r="AI563" s="65"/>
      <c r="AJ563" s="65"/>
      <c r="AK563" s="65"/>
      <c r="AL563" s="65"/>
      <c r="AM563" s="65"/>
    </row>
    <row r="564">
      <c r="AB564" s="65"/>
      <c r="AC564" s="65"/>
      <c r="AD564" s="65"/>
      <c r="AE564" s="65"/>
      <c r="AF564" s="65"/>
      <c r="AG564" s="65"/>
      <c r="AH564" s="65"/>
      <c r="AI564" s="65"/>
      <c r="AJ564" s="65"/>
      <c r="AK564" s="65"/>
      <c r="AL564" s="65"/>
      <c r="AM564" s="65"/>
    </row>
    <row r="565">
      <c r="AB565" s="65"/>
      <c r="AC565" s="65"/>
      <c r="AD565" s="65"/>
      <c r="AE565" s="65"/>
      <c r="AF565" s="65"/>
      <c r="AG565" s="65"/>
      <c r="AH565" s="65"/>
      <c r="AI565" s="65"/>
      <c r="AJ565" s="65"/>
      <c r="AK565" s="65"/>
      <c r="AL565" s="65"/>
      <c r="AM565" s="65"/>
    </row>
    <row r="566">
      <c r="AB566" s="65"/>
      <c r="AC566" s="65"/>
      <c r="AD566" s="65"/>
      <c r="AE566" s="65"/>
      <c r="AF566" s="65"/>
      <c r="AG566" s="65"/>
      <c r="AH566" s="65"/>
      <c r="AI566" s="65"/>
      <c r="AJ566" s="65"/>
      <c r="AK566" s="65"/>
      <c r="AL566" s="65"/>
      <c r="AM566" s="65"/>
    </row>
    <row r="567">
      <c r="AB567" s="65"/>
      <c r="AC567" s="65"/>
      <c r="AD567" s="65"/>
      <c r="AE567" s="65"/>
      <c r="AF567" s="65"/>
      <c r="AG567" s="65"/>
      <c r="AH567" s="65"/>
      <c r="AI567" s="65"/>
      <c r="AJ567" s="65"/>
      <c r="AK567" s="65"/>
      <c r="AL567" s="65"/>
      <c r="AM567" s="65"/>
    </row>
    <row r="568">
      <c r="AB568" s="65"/>
      <c r="AC568" s="65"/>
      <c r="AD568" s="65"/>
      <c r="AE568" s="65"/>
      <c r="AF568" s="65"/>
      <c r="AG568" s="65"/>
      <c r="AH568" s="65"/>
      <c r="AI568" s="65"/>
      <c r="AJ568" s="65"/>
      <c r="AK568" s="65"/>
      <c r="AL568" s="65"/>
      <c r="AM568" s="65"/>
    </row>
    <row r="569">
      <c r="AB569" s="65"/>
      <c r="AC569" s="65"/>
      <c r="AD569" s="65"/>
      <c r="AE569" s="65"/>
      <c r="AF569" s="65"/>
      <c r="AG569" s="65"/>
      <c r="AH569" s="65"/>
      <c r="AI569" s="65"/>
      <c r="AJ569" s="65"/>
      <c r="AK569" s="65"/>
      <c r="AL569" s="65"/>
      <c r="AM569" s="65"/>
    </row>
    <row r="570">
      <c r="AB570" s="65"/>
      <c r="AC570" s="65"/>
      <c r="AD570" s="65"/>
      <c r="AE570" s="65"/>
      <c r="AF570" s="65"/>
      <c r="AG570" s="65"/>
      <c r="AH570" s="65"/>
      <c r="AI570" s="65"/>
      <c r="AJ570" s="65"/>
      <c r="AK570" s="65"/>
      <c r="AL570" s="65"/>
      <c r="AM570" s="65"/>
    </row>
    <row r="571">
      <c r="AB571" s="65"/>
      <c r="AC571" s="65"/>
      <c r="AD571" s="65"/>
      <c r="AE571" s="65"/>
      <c r="AF571" s="65"/>
      <c r="AG571" s="65"/>
      <c r="AH571" s="65"/>
      <c r="AI571" s="65"/>
      <c r="AJ571" s="65"/>
      <c r="AK571" s="65"/>
      <c r="AL571" s="65"/>
      <c r="AM571" s="65"/>
    </row>
    <row r="572">
      <c r="AB572" s="65"/>
      <c r="AC572" s="65"/>
      <c r="AD572" s="65"/>
      <c r="AE572" s="65"/>
      <c r="AF572" s="65"/>
      <c r="AG572" s="65"/>
      <c r="AH572" s="65"/>
      <c r="AI572" s="65"/>
      <c r="AJ572" s="65"/>
      <c r="AK572" s="65"/>
      <c r="AL572" s="65"/>
      <c r="AM572" s="65"/>
    </row>
    <row r="573">
      <c r="AB573" s="65"/>
      <c r="AC573" s="65"/>
      <c r="AD573" s="65"/>
      <c r="AE573" s="65"/>
      <c r="AF573" s="65"/>
      <c r="AG573" s="65"/>
      <c r="AH573" s="65"/>
      <c r="AI573" s="65"/>
      <c r="AJ573" s="65"/>
      <c r="AK573" s="65"/>
      <c r="AL573" s="65"/>
      <c r="AM573" s="65"/>
    </row>
    <row r="574">
      <c r="AB574" s="65"/>
      <c r="AC574" s="65"/>
      <c r="AD574" s="65"/>
      <c r="AE574" s="65"/>
      <c r="AF574" s="65"/>
      <c r="AG574" s="65"/>
      <c r="AH574" s="65"/>
      <c r="AI574" s="65"/>
      <c r="AJ574" s="65"/>
      <c r="AK574" s="65"/>
      <c r="AL574" s="65"/>
      <c r="AM574" s="65"/>
    </row>
    <row r="575">
      <c r="AB575" s="65"/>
      <c r="AC575" s="65"/>
      <c r="AD575" s="65"/>
      <c r="AE575" s="65"/>
      <c r="AF575" s="65"/>
      <c r="AG575" s="65"/>
      <c r="AH575" s="65"/>
      <c r="AI575" s="65"/>
      <c r="AJ575" s="65"/>
      <c r="AK575" s="65"/>
      <c r="AL575" s="65"/>
      <c r="AM575" s="65"/>
    </row>
    <row r="576">
      <c r="AB576" s="65"/>
      <c r="AC576" s="65"/>
      <c r="AD576" s="65"/>
      <c r="AE576" s="65"/>
      <c r="AF576" s="65"/>
      <c r="AG576" s="65"/>
      <c r="AH576" s="65"/>
      <c r="AI576" s="65"/>
      <c r="AJ576" s="65"/>
      <c r="AK576" s="65"/>
      <c r="AL576" s="65"/>
      <c r="AM576" s="65"/>
    </row>
    <row r="577">
      <c r="AB577" s="65"/>
      <c r="AC577" s="65"/>
      <c r="AD577" s="65"/>
      <c r="AE577" s="65"/>
      <c r="AF577" s="65"/>
      <c r="AG577" s="65"/>
      <c r="AH577" s="65"/>
      <c r="AI577" s="65"/>
      <c r="AJ577" s="65"/>
      <c r="AK577" s="65"/>
      <c r="AL577" s="65"/>
      <c r="AM577" s="65"/>
    </row>
    <row r="578">
      <c r="AB578" s="65"/>
      <c r="AC578" s="65"/>
      <c r="AD578" s="65"/>
      <c r="AE578" s="65"/>
      <c r="AF578" s="65"/>
      <c r="AG578" s="65"/>
      <c r="AH578" s="65"/>
      <c r="AI578" s="65"/>
      <c r="AJ578" s="65"/>
      <c r="AK578" s="65"/>
      <c r="AL578" s="65"/>
      <c r="AM578" s="65"/>
    </row>
    <row r="579">
      <c r="AB579" s="65"/>
      <c r="AC579" s="65"/>
      <c r="AD579" s="65"/>
      <c r="AE579" s="65"/>
      <c r="AF579" s="65"/>
      <c r="AG579" s="65"/>
      <c r="AH579" s="65"/>
      <c r="AI579" s="65"/>
      <c r="AJ579" s="65"/>
      <c r="AK579" s="65"/>
      <c r="AL579" s="65"/>
      <c r="AM579" s="65"/>
    </row>
    <row r="580">
      <c r="AB580" s="65"/>
      <c r="AC580" s="65"/>
      <c r="AD580" s="65"/>
      <c r="AE580" s="65"/>
      <c r="AF580" s="65"/>
      <c r="AG580" s="65"/>
      <c r="AH580" s="65"/>
      <c r="AI580" s="65"/>
      <c r="AJ580" s="65"/>
      <c r="AK580" s="65"/>
      <c r="AL580" s="65"/>
      <c r="AM580" s="65"/>
    </row>
    <row r="581">
      <c r="AB581" s="65"/>
      <c r="AC581" s="65"/>
      <c r="AD581" s="65"/>
      <c r="AE581" s="65"/>
      <c r="AF581" s="65"/>
      <c r="AG581" s="65"/>
      <c r="AH581" s="65"/>
      <c r="AI581" s="65"/>
      <c r="AJ581" s="65"/>
      <c r="AK581" s="65"/>
      <c r="AL581" s="65"/>
      <c r="AM581" s="65"/>
    </row>
    <row r="582">
      <c r="AB582" s="65"/>
      <c r="AC582" s="65"/>
      <c r="AD582" s="65"/>
      <c r="AE582" s="65"/>
      <c r="AF582" s="65"/>
      <c r="AG582" s="65"/>
      <c r="AH582" s="65"/>
      <c r="AI582" s="65"/>
      <c r="AJ582" s="65"/>
      <c r="AK582" s="65"/>
      <c r="AL582" s="65"/>
      <c r="AM582" s="65"/>
    </row>
    <row r="583">
      <c r="AB583" s="65"/>
      <c r="AC583" s="65"/>
      <c r="AD583" s="65"/>
      <c r="AE583" s="65"/>
      <c r="AF583" s="65"/>
      <c r="AG583" s="65"/>
      <c r="AH583" s="65"/>
      <c r="AI583" s="65"/>
      <c r="AJ583" s="65"/>
      <c r="AK583" s="65"/>
      <c r="AL583" s="65"/>
      <c r="AM583" s="65"/>
    </row>
    <row r="584">
      <c r="AB584" s="65"/>
      <c r="AC584" s="65"/>
      <c r="AD584" s="65"/>
      <c r="AE584" s="65"/>
      <c r="AF584" s="65"/>
      <c r="AG584" s="65"/>
      <c r="AH584" s="65"/>
      <c r="AI584" s="65"/>
      <c r="AJ584" s="65"/>
      <c r="AK584" s="65"/>
      <c r="AL584" s="65"/>
      <c r="AM584" s="65"/>
    </row>
    <row r="585">
      <c r="AB585" s="65"/>
      <c r="AC585" s="65"/>
      <c r="AD585" s="65"/>
      <c r="AE585" s="65"/>
      <c r="AF585" s="65"/>
      <c r="AG585" s="65"/>
      <c r="AH585" s="65"/>
      <c r="AI585" s="65"/>
      <c r="AJ585" s="65"/>
      <c r="AK585" s="65"/>
      <c r="AL585" s="65"/>
      <c r="AM585" s="65"/>
    </row>
    <row r="586">
      <c r="AB586" s="65"/>
      <c r="AC586" s="65"/>
      <c r="AD586" s="65"/>
      <c r="AE586" s="65"/>
      <c r="AF586" s="65"/>
      <c r="AG586" s="65"/>
      <c r="AH586" s="65"/>
      <c r="AI586" s="65"/>
      <c r="AJ586" s="65"/>
      <c r="AK586" s="65"/>
      <c r="AL586" s="65"/>
      <c r="AM586" s="65"/>
    </row>
    <row r="587">
      <c r="AB587" s="65"/>
      <c r="AC587" s="65"/>
      <c r="AD587" s="65"/>
      <c r="AE587" s="65"/>
      <c r="AF587" s="65"/>
      <c r="AG587" s="65"/>
      <c r="AH587" s="65"/>
      <c r="AI587" s="65"/>
      <c r="AJ587" s="65"/>
      <c r="AK587" s="65"/>
      <c r="AL587" s="65"/>
      <c r="AM587" s="65"/>
    </row>
    <row r="588">
      <c r="AB588" s="65"/>
      <c r="AC588" s="65"/>
      <c r="AD588" s="65"/>
      <c r="AE588" s="65"/>
      <c r="AF588" s="65"/>
      <c r="AG588" s="65"/>
      <c r="AH588" s="65"/>
      <c r="AI588" s="65"/>
      <c r="AJ588" s="65"/>
      <c r="AK588" s="65"/>
      <c r="AL588" s="65"/>
      <c r="AM588" s="65"/>
    </row>
    <row r="589">
      <c r="AB589" s="65"/>
      <c r="AC589" s="65"/>
      <c r="AD589" s="65"/>
      <c r="AE589" s="65"/>
      <c r="AF589" s="65"/>
      <c r="AG589" s="65"/>
      <c r="AH589" s="65"/>
      <c r="AI589" s="65"/>
      <c r="AJ589" s="65"/>
      <c r="AK589" s="65"/>
      <c r="AL589" s="65"/>
      <c r="AM589" s="65"/>
    </row>
    <row r="590">
      <c r="AB590" s="65"/>
      <c r="AC590" s="65"/>
      <c r="AD590" s="65"/>
      <c r="AE590" s="65"/>
      <c r="AF590" s="65"/>
      <c r="AG590" s="65"/>
      <c r="AH590" s="65"/>
      <c r="AI590" s="65"/>
      <c r="AJ590" s="65"/>
      <c r="AK590" s="65"/>
      <c r="AL590" s="65"/>
      <c r="AM590" s="65"/>
    </row>
    <row r="591">
      <c r="AB591" s="65"/>
      <c r="AC591" s="65"/>
      <c r="AD591" s="65"/>
      <c r="AE591" s="65"/>
      <c r="AF591" s="65"/>
      <c r="AG591" s="65"/>
      <c r="AH591" s="65"/>
      <c r="AI591" s="65"/>
      <c r="AJ591" s="65"/>
      <c r="AK591" s="65"/>
      <c r="AL591" s="65"/>
      <c r="AM591" s="65"/>
    </row>
    <row r="592">
      <c r="AB592" s="65"/>
      <c r="AC592" s="65"/>
      <c r="AD592" s="65"/>
      <c r="AE592" s="65"/>
      <c r="AF592" s="65"/>
      <c r="AG592" s="65"/>
      <c r="AH592" s="65"/>
      <c r="AI592" s="65"/>
      <c r="AJ592" s="65"/>
      <c r="AK592" s="65"/>
      <c r="AL592" s="65"/>
      <c r="AM592" s="65"/>
    </row>
    <row r="593">
      <c r="AB593" s="65"/>
      <c r="AC593" s="65"/>
      <c r="AD593" s="65"/>
      <c r="AE593" s="65"/>
      <c r="AF593" s="65"/>
      <c r="AG593" s="65"/>
      <c r="AH593" s="65"/>
      <c r="AI593" s="65"/>
      <c r="AJ593" s="65"/>
      <c r="AK593" s="65"/>
      <c r="AL593" s="65"/>
      <c r="AM593" s="65"/>
    </row>
    <row r="594">
      <c r="AB594" s="65"/>
      <c r="AC594" s="65"/>
      <c r="AD594" s="65"/>
      <c r="AE594" s="65"/>
      <c r="AF594" s="65"/>
      <c r="AG594" s="65"/>
      <c r="AH594" s="65"/>
      <c r="AI594" s="65"/>
      <c r="AJ594" s="65"/>
      <c r="AK594" s="65"/>
      <c r="AL594" s="65"/>
      <c r="AM594" s="65"/>
    </row>
    <row r="595">
      <c r="AB595" s="65"/>
      <c r="AC595" s="65"/>
      <c r="AD595" s="65"/>
      <c r="AE595" s="65"/>
      <c r="AF595" s="65"/>
      <c r="AG595" s="65"/>
      <c r="AH595" s="65"/>
      <c r="AI595" s="65"/>
      <c r="AJ595" s="65"/>
      <c r="AK595" s="65"/>
      <c r="AL595" s="65"/>
      <c r="AM595" s="65"/>
    </row>
    <row r="596">
      <c r="AB596" s="65"/>
      <c r="AC596" s="65"/>
      <c r="AD596" s="65"/>
      <c r="AE596" s="65"/>
      <c r="AF596" s="65"/>
      <c r="AG596" s="65"/>
      <c r="AH596" s="65"/>
      <c r="AI596" s="65"/>
      <c r="AJ596" s="65"/>
      <c r="AK596" s="65"/>
      <c r="AL596" s="65"/>
      <c r="AM596" s="65"/>
    </row>
    <row r="597">
      <c r="AB597" s="65"/>
      <c r="AC597" s="65"/>
      <c r="AD597" s="65"/>
      <c r="AE597" s="65"/>
      <c r="AF597" s="65"/>
      <c r="AG597" s="65"/>
      <c r="AH597" s="65"/>
      <c r="AI597" s="65"/>
      <c r="AJ597" s="65"/>
      <c r="AK597" s="65"/>
      <c r="AL597" s="65"/>
      <c r="AM597" s="65"/>
    </row>
    <row r="598">
      <c r="AB598" s="65"/>
      <c r="AC598" s="65"/>
      <c r="AD598" s="65"/>
      <c r="AE598" s="65"/>
      <c r="AF598" s="65"/>
      <c r="AG598" s="65"/>
      <c r="AH598" s="65"/>
      <c r="AI598" s="65"/>
      <c r="AJ598" s="65"/>
      <c r="AK598" s="65"/>
      <c r="AL598" s="65"/>
      <c r="AM598" s="65"/>
    </row>
    <row r="599">
      <c r="AB599" s="65"/>
      <c r="AC599" s="65"/>
      <c r="AD599" s="65"/>
      <c r="AE599" s="65"/>
      <c r="AF599" s="65"/>
      <c r="AG599" s="65"/>
      <c r="AH599" s="65"/>
      <c r="AI599" s="65"/>
      <c r="AJ599" s="65"/>
      <c r="AK599" s="65"/>
      <c r="AL599" s="65"/>
      <c r="AM599" s="65"/>
    </row>
    <row r="600">
      <c r="AB600" s="65"/>
      <c r="AC600" s="65"/>
      <c r="AD600" s="65"/>
      <c r="AE600" s="65"/>
      <c r="AF600" s="65"/>
      <c r="AG600" s="65"/>
      <c r="AH600" s="65"/>
      <c r="AI600" s="65"/>
      <c r="AJ600" s="65"/>
      <c r="AK600" s="65"/>
      <c r="AL600" s="65"/>
      <c r="AM600" s="65"/>
    </row>
    <row r="601">
      <c r="AB601" s="65"/>
      <c r="AC601" s="65"/>
      <c r="AD601" s="65"/>
      <c r="AE601" s="65"/>
      <c r="AF601" s="65"/>
      <c r="AG601" s="65"/>
      <c r="AH601" s="65"/>
      <c r="AI601" s="65"/>
      <c r="AJ601" s="65"/>
      <c r="AK601" s="65"/>
      <c r="AL601" s="65"/>
      <c r="AM601" s="65"/>
    </row>
    <row r="602">
      <c r="AB602" s="65"/>
      <c r="AC602" s="65"/>
      <c r="AD602" s="65"/>
      <c r="AE602" s="65"/>
      <c r="AF602" s="65"/>
      <c r="AG602" s="65"/>
      <c r="AH602" s="65"/>
      <c r="AI602" s="65"/>
      <c r="AJ602" s="65"/>
      <c r="AK602" s="65"/>
      <c r="AL602" s="65"/>
      <c r="AM602" s="65"/>
    </row>
    <row r="603">
      <c r="AB603" s="65"/>
      <c r="AC603" s="65"/>
      <c r="AD603" s="65"/>
      <c r="AE603" s="65"/>
      <c r="AF603" s="65"/>
      <c r="AG603" s="65"/>
      <c r="AH603" s="65"/>
      <c r="AI603" s="65"/>
      <c r="AJ603" s="65"/>
      <c r="AK603" s="65"/>
      <c r="AL603" s="65"/>
      <c r="AM603" s="65"/>
    </row>
    <row r="604">
      <c r="AB604" s="65"/>
      <c r="AC604" s="65"/>
      <c r="AD604" s="65"/>
      <c r="AE604" s="65"/>
      <c r="AF604" s="65"/>
      <c r="AG604" s="65"/>
      <c r="AH604" s="65"/>
      <c r="AI604" s="65"/>
      <c r="AJ604" s="65"/>
      <c r="AK604" s="65"/>
      <c r="AL604" s="65"/>
      <c r="AM604" s="65"/>
    </row>
    <row r="605">
      <c r="AB605" s="65"/>
      <c r="AC605" s="65"/>
      <c r="AD605" s="65"/>
      <c r="AE605" s="65"/>
      <c r="AF605" s="65"/>
      <c r="AG605" s="65"/>
      <c r="AH605" s="65"/>
      <c r="AI605" s="65"/>
      <c r="AJ605" s="65"/>
      <c r="AK605" s="65"/>
      <c r="AL605" s="65"/>
      <c r="AM605" s="65"/>
    </row>
    <row r="606">
      <c r="AB606" s="65"/>
      <c r="AC606" s="65"/>
      <c r="AD606" s="65"/>
      <c r="AE606" s="65"/>
      <c r="AF606" s="65"/>
      <c r="AG606" s="65"/>
      <c r="AH606" s="65"/>
      <c r="AI606" s="65"/>
      <c r="AJ606" s="65"/>
      <c r="AK606" s="65"/>
      <c r="AL606" s="65"/>
      <c r="AM606" s="65"/>
    </row>
    <row r="607">
      <c r="AB607" s="65"/>
      <c r="AC607" s="65"/>
      <c r="AD607" s="65"/>
      <c r="AE607" s="65"/>
      <c r="AF607" s="65"/>
      <c r="AG607" s="65"/>
      <c r="AH607" s="65"/>
      <c r="AI607" s="65"/>
      <c r="AJ607" s="65"/>
      <c r="AK607" s="65"/>
      <c r="AL607" s="65"/>
      <c r="AM607" s="65"/>
    </row>
    <row r="608">
      <c r="AB608" s="65"/>
      <c r="AC608" s="65"/>
      <c r="AD608" s="65"/>
      <c r="AE608" s="65"/>
      <c r="AF608" s="65"/>
      <c r="AG608" s="65"/>
      <c r="AH608" s="65"/>
      <c r="AI608" s="65"/>
      <c r="AJ608" s="65"/>
      <c r="AK608" s="65"/>
      <c r="AL608" s="65"/>
      <c r="AM608" s="65"/>
    </row>
    <row r="609">
      <c r="AB609" s="65"/>
      <c r="AC609" s="65"/>
      <c r="AD609" s="65"/>
      <c r="AE609" s="65"/>
      <c r="AF609" s="65"/>
      <c r="AG609" s="65"/>
      <c r="AH609" s="65"/>
      <c r="AI609" s="65"/>
      <c r="AJ609" s="65"/>
      <c r="AK609" s="65"/>
      <c r="AL609" s="65"/>
      <c r="AM609" s="65"/>
    </row>
    <row r="610">
      <c r="AB610" s="65"/>
      <c r="AC610" s="65"/>
      <c r="AD610" s="65"/>
      <c r="AE610" s="65"/>
      <c r="AF610" s="65"/>
      <c r="AG610" s="65"/>
      <c r="AH610" s="65"/>
      <c r="AI610" s="65"/>
      <c r="AJ610" s="65"/>
      <c r="AK610" s="65"/>
      <c r="AL610" s="65"/>
      <c r="AM610" s="65"/>
    </row>
    <row r="611">
      <c r="AB611" s="65"/>
      <c r="AC611" s="65"/>
      <c r="AD611" s="65"/>
      <c r="AE611" s="65"/>
      <c r="AF611" s="65"/>
      <c r="AG611" s="65"/>
      <c r="AH611" s="65"/>
      <c r="AI611" s="65"/>
      <c r="AJ611" s="65"/>
      <c r="AK611" s="65"/>
      <c r="AL611" s="65"/>
      <c r="AM611" s="65"/>
    </row>
    <row r="612">
      <c r="AB612" s="65"/>
      <c r="AC612" s="65"/>
      <c r="AD612" s="65"/>
      <c r="AE612" s="65"/>
      <c r="AF612" s="65"/>
      <c r="AG612" s="65"/>
      <c r="AH612" s="65"/>
      <c r="AI612" s="65"/>
      <c r="AJ612" s="65"/>
      <c r="AK612" s="65"/>
      <c r="AL612" s="65"/>
      <c r="AM612" s="65"/>
    </row>
    <row r="613">
      <c r="AB613" s="65"/>
      <c r="AC613" s="65"/>
      <c r="AD613" s="65"/>
      <c r="AE613" s="65"/>
      <c r="AF613" s="65"/>
      <c r="AG613" s="65"/>
      <c r="AH613" s="65"/>
      <c r="AI613" s="65"/>
      <c r="AJ613" s="65"/>
      <c r="AK613" s="65"/>
      <c r="AL613" s="65"/>
      <c r="AM613" s="65"/>
    </row>
    <row r="614">
      <c r="AB614" s="65"/>
      <c r="AC614" s="65"/>
      <c r="AD614" s="65"/>
      <c r="AE614" s="65"/>
      <c r="AF614" s="65"/>
      <c r="AG614" s="65"/>
      <c r="AH614" s="65"/>
      <c r="AI614" s="65"/>
      <c r="AJ614" s="65"/>
      <c r="AK614" s="65"/>
      <c r="AL614" s="65"/>
      <c r="AM614" s="65"/>
    </row>
    <row r="615">
      <c r="AB615" s="65"/>
      <c r="AC615" s="65"/>
      <c r="AD615" s="65"/>
      <c r="AE615" s="65"/>
      <c r="AF615" s="65"/>
      <c r="AG615" s="65"/>
      <c r="AH615" s="65"/>
      <c r="AI615" s="65"/>
      <c r="AJ615" s="65"/>
      <c r="AK615" s="65"/>
      <c r="AL615" s="65"/>
      <c r="AM615" s="65"/>
    </row>
    <row r="616">
      <c r="AB616" s="65"/>
      <c r="AC616" s="65"/>
      <c r="AD616" s="65"/>
      <c r="AE616" s="65"/>
      <c r="AF616" s="65"/>
      <c r="AG616" s="65"/>
      <c r="AH616" s="65"/>
      <c r="AI616" s="65"/>
      <c r="AJ616" s="65"/>
      <c r="AK616" s="65"/>
      <c r="AL616" s="65"/>
      <c r="AM616" s="65"/>
    </row>
    <row r="617">
      <c r="AB617" s="65"/>
      <c r="AC617" s="65"/>
      <c r="AD617" s="65"/>
      <c r="AE617" s="65"/>
      <c r="AF617" s="65"/>
      <c r="AG617" s="65"/>
      <c r="AH617" s="65"/>
      <c r="AI617" s="65"/>
      <c r="AJ617" s="65"/>
      <c r="AK617" s="65"/>
      <c r="AL617" s="65"/>
      <c r="AM617" s="65"/>
    </row>
    <row r="618">
      <c r="AB618" s="65"/>
      <c r="AC618" s="65"/>
      <c r="AD618" s="65"/>
      <c r="AE618" s="65"/>
      <c r="AF618" s="65"/>
      <c r="AG618" s="65"/>
      <c r="AH618" s="65"/>
      <c r="AI618" s="65"/>
      <c r="AJ618" s="65"/>
      <c r="AK618" s="65"/>
      <c r="AL618" s="65"/>
      <c r="AM618" s="65"/>
    </row>
    <row r="619">
      <c r="AB619" s="65"/>
      <c r="AC619" s="65"/>
      <c r="AD619" s="65"/>
      <c r="AE619" s="65"/>
      <c r="AF619" s="65"/>
      <c r="AG619" s="65"/>
      <c r="AH619" s="65"/>
      <c r="AI619" s="65"/>
      <c r="AJ619" s="65"/>
      <c r="AK619" s="65"/>
      <c r="AL619" s="65"/>
      <c r="AM619" s="65"/>
    </row>
    <row r="620">
      <c r="AB620" s="65"/>
      <c r="AC620" s="65"/>
      <c r="AD620" s="65"/>
      <c r="AE620" s="65"/>
      <c r="AF620" s="65"/>
      <c r="AG620" s="65"/>
      <c r="AH620" s="65"/>
      <c r="AI620" s="65"/>
      <c r="AJ620" s="65"/>
      <c r="AK620" s="65"/>
      <c r="AL620" s="65"/>
      <c r="AM620" s="65"/>
    </row>
    <row r="621">
      <c r="AB621" s="65"/>
      <c r="AC621" s="65"/>
      <c r="AD621" s="65"/>
      <c r="AE621" s="65"/>
      <c r="AF621" s="65"/>
      <c r="AG621" s="65"/>
      <c r="AH621" s="65"/>
      <c r="AI621" s="65"/>
      <c r="AJ621" s="65"/>
      <c r="AK621" s="65"/>
      <c r="AL621" s="65"/>
      <c r="AM621" s="65"/>
    </row>
    <row r="622">
      <c r="AB622" s="65"/>
      <c r="AC622" s="65"/>
      <c r="AD622" s="65"/>
      <c r="AE622" s="65"/>
      <c r="AF622" s="65"/>
      <c r="AG622" s="65"/>
      <c r="AH622" s="65"/>
      <c r="AI622" s="65"/>
      <c r="AJ622" s="65"/>
      <c r="AK622" s="65"/>
      <c r="AL622" s="65"/>
      <c r="AM622" s="65"/>
    </row>
    <row r="623">
      <c r="AB623" s="65"/>
      <c r="AC623" s="65"/>
      <c r="AD623" s="65"/>
      <c r="AE623" s="65"/>
      <c r="AF623" s="65"/>
      <c r="AG623" s="65"/>
      <c r="AH623" s="65"/>
      <c r="AI623" s="65"/>
      <c r="AJ623" s="65"/>
      <c r="AK623" s="65"/>
      <c r="AL623" s="65"/>
      <c r="AM623" s="65"/>
    </row>
    <row r="624">
      <c r="AB624" s="65"/>
      <c r="AC624" s="65"/>
      <c r="AD624" s="65"/>
      <c r="AE624" s="65"/>
      <c r="AF624" s="65"/>
      <c r="AG624" s="65"/>
      <c r="AH624" s="65"/>
      <c r="AI624" s="65"/>
      <c r="AJ624" s="65"/>
      <c r="AK624" s="65"/>
      <c r="AL624" s="65"/>
      <c r="AM624" s="65"/>
    </row>
    <row r="625">
      <c r="AB625" s="65"/>
      <c r="AC625" s="65"/>
      <c r="AD625" s="65"/>
      <c r="AE625" s="65"/>
      <c r="AF625" s="65"/>
      <c r="AG625" s="65"/>
      <c r="AH625" s="65"/>
      <c r="AI625" s="65"/>
      <c r="AJ625" s="65"/>
      <c r="AK625" s="65"/>
      <c r="AL625" s="65"/>
      <c r="AM625" s="65"/>
    </row>
    <row r="626">
      <c r="AB626" s="65"/>
      <c r="AC626" s="65"/>
      <c r="AD626" s="65"/>
      <c r="AE626" s="65"/>
      <c r="AF626" s="65"/>
      <c r="AG626" s="65"/>
      <c r="AH626" s="65"/>
      <c r="AI626" s="65"/>
      <c r="AJ626" s="65"/>
      <c r="AK626" s="65"/>
      <c r="AL626" s="65"/>
      <c r="AM626" s="65"/>
    </row>
    <row r="627">
      <c r="AB627" s="65"/>
      <c r="AC627" s="65"/>
      <c r="AD627" s="65"/>
      <c r="AE627" s="65"/>
      <c r="AF627" s="65"/>
      <c r="AG627" s="65"/>
      <c r="AH627" s="65"/>
      <c r="AI627" s="65"/>
      <c r="AJ627" s="65"/>
      <c r="AK627" s="65"/>
      <c r="AL627" s="65"/>
      <c r="AM627" s="65"/>
    </row>
    <row r="628">
      <c r="AB628" s="65"/>
      <c r="AC628" s="65"/>
      <c r="AD628" s="65"/>
      <c r="AE628" s="65"/>
      <c r="AF628" s="65"/>
      <c r="AG628" s="65"/>
      <c r="AH628" s="65"/>
      <c r="AI628" s="65"/>
      <c r="AJ628" s="65"/>
      <c r="AK628" s="65"/>
      <c r="AL628" s="65"/>
      <c r="AM628" s="65"/>
    </row>
    <row r="629">
      <c r="AB629" s="65"/>
      <c r="AC629" s="65"/>
      <c r="AD629" s="65"/>
      <c r="AE629" s="65"/>
      <c r="AF629" s="65"/>
      <c r="AG629" s="65"/>
      <c r="AH629" s="65"/>
      <c r="AI629" s="65"/>
      <c r="AJ629" s="65"/>
      <c r="AK629" s="65"/>
      <c r="AL629" s="65"/>
      <c r="AM629" s="65"/>
    </row>
    <row r="630">
      <c r="AB630" s="65"/>
      <c r="AC630" s="65"/>
      <c r="AD630" s="65"/>
      <c r="AE630" s="65"/>
      <c r="AF630" s="65"/>
      <c r="AG630" s="65"/>
      <c r="AH630" s="65"/>
      <c r="AI630" s="65"/>
      <c r="AJ630" s="65"/>
      <c r="AK630" s="65"/>
      <c r="AL630" s="65"/>
      <c r="AM630" s="65"/>
    </row>
    <row r="631">
      <c r="AB631" s="65"/>
      <c r="AC631" s="65"/>
      <c r="AD631" s="65"/>
      <c r="AE631" s="65"/>
      <c r="AF631" s="65"/>
      <c r="AG631" s="65"/>
      <c r="AH631" s="65"/>
      <c r="AI631" s="65"/>
      <c r="AJ631" s="65"/>
      <c r="AK631" s="65"/>
      <c r="AL631" s="65"/>
      <c r="AM631" s="65"/>
    </row>
    <row r="632">
      <c r="AB632" s="65"/>
      <c r="AC632" s="65"/>
      <c r="AD632" s="65"/>
      <c r="AE632" s="65"/>
      <c r="AF632" s="65"/>
      <c r="AG632" s="65"/>
      <c r="AH632" s="65"/>
      <c r="AI632" s="65"/>
      <c r="AJ632" s="65"/>
      <c r="AK632" s="65"/>
      <c r="AL632" s="65"/>
      <c r="AM632" s="65"/>
    </row>
    <row r="633">
      <c r="AB633" s="65"/>
      <c r="AC633" s="65"/>
      <c r="AD633" s="65"/>
      <c r="AE633" s="65"/>
      <c r="AF633" s="65"/>
      <c r="AG633" s="65"/>
      <c r="AH633" s="65"/>
      <c r="AI633" s="65"/>
      <c r="AJ633" s="65"/>
      <c r="AK633" s="65"/>
      <c r="AL633" s="65"/>
      <c r="AM633" s="65"/>
    </row>
    <row r="634">
      <c r="AB634" s="65"/>
      <c r="AC634" s="65"/>
      <c r="AD634" s="65"/>
      <c r="AE634" s="65"/>
      <c r="AF634" s="65"/>
      <c r="AG634" s="65"/>
      <c r="AH634" s="65"/>
      <c r="AI634" s="65"/>
      <c r="AJ634" s="65"/>
      <c r="AK634" s="65"/>
      <c r="AL634" s="65"/>
      <c r="AM634" s="65"/>
    </row>
    <row r="635">
      <c r="AB635" s="65"/>
      <c r="AC635" s="65"/>
      <c r="AD635" s="65"/>
      <c r="AE635" s="65"/>
      <c r="AF635" s="65"/>
      <c r="AG635" s="65"/>
      <c r="AH635" s="65"/>
      <c r="AI635" s="65"/>
      <c r="AJ635" s="65"/>
      <c r="AK635" s="65"/>
      <c r="AL635" s="65"/>
      <c r="AM635" s="65"/>
    </row>
    <row r="636">
      <c r="AB636" s="65"/>
      <c r="AC636" s="65"/>
      <c r="AD636" s="65"/>
      <c r="AE636" s="65"/>
      <c r="AF636" s="65"/>
      <c r="AG636" s="65"/>
      <c r="AH636" s="65"/>
      <c r="AI636" s="65"/>
      <c r="AJ636" s="65"/>
      <c r="AK636" s="65"/>
      <c r="AL636" s="65"/>
      <c r="AM636" s="65"/>
    </row>
    <row r="637">
      <c r="AB637" s="65"/>
      <c r="AC637" s="65"/>
      <c r="AD637" s="65"/>
      <c r="AE637" s="65"/>
      <c r="AF637" s="65"/>
      <c r="AG637" s="65"/>
      <c r="AH637" s="65"/>
      <c r="AI637" s="65"/>
      <c r="AJ637" s="65"/>
      <c r="AK637" s="65"/>
      <c r="AL637" s="65"/>
      <c r="AM637" s="65"/>
    </row>
    <row r="638">
      <c r="AB638" s="65"/>
      <c r="AC638" s="65"/>
      <c r="AD638" s="65"/>
      <c r="AE638" s="65"/>
      <c r="AF638" s="65"/>
      <c r="AG638" s="65"/>
      <c r="AH638" s="65"/>
      <c r="AI638" s="65"/>
      <c r="AJ638" s="65"/>
      <c r="AK638" s="65"/>
      <c r="AL638" s="65"/>
      <c r="AM638" s="65"/>
    </row>
    <row r="639">
      <c r="AB639" s="65"/>
      <c r="AC639" s="65"/>
      <c r="AD639" s="65"/>
      <c r="AE639" s="65"/>
      <c r="AF639" s="65"/>
      <c r="AG639" s="65"/>
      <c r="AH639" s="65"/>
      <c r="AI639" s="65"/>
      <c r="AJ639" s="65"/>
      <c r="AK639" s="65"/>
      <c r="AL639" s="65"/>
      <c r="AM639" s="65"/>
    </row>
    <row r="640">
      <c r="AB640" s="65"/>
      <c r="AC640" s="65"/>
      <c r="AD640" s="65"/>
      <c r="AE640" s="65"/>
      <c r="AF640" s="65"/>
      <c r="AG640" s="65"/>
      <c r="AH640" s="65"/>
      <c r="AI640" s="65"/>
      <c r="AJ640" s="65"/>
      <c r="AK640" s="65"/>
      <c r="AL640" s="65"/>
      <c r="AM640" s="65"/>
    </row>
    <row r="641">
      <c r="AB641" s="65"/>
      <c r="AC641" s="65"/>
      <c r="AD641" s="65"/>
      <c r="AE641" s="65"/>
      <c r="AF641" s="65"/>
      <c r="AG641" s="65"/>
      <c r="AH641" s="65"/>
      <c r="AI641" s="65"/>
      <c r="AJ641" s="65"/>
      <c r="AK641" s="65"/>
      <c r="AL641" s="65"/>
      <c r="AM641" s="65"/>
    </row>
    <row r="642">
      <c r="AB642" s="65"/>
      <c r="AC642" s="65"/>
      <c r="AD642" s="65"/>
      <c r="AE642" s="65"/>
      <c r="AF642" s="65"/>
      <c r="AG642" s="65"/>
      <c r="AH642" s="65"/>
      <c r="AI642" s="65"/>
      <c r="AJ642" s="65"/>
      <c r="AK642" s="65"/>
      <c r="AL642" s="65"/>
      <c r="AM642" s="65"/>
    </row>
    <row r="643">
      <c r="AB643" s="65"/>
      <c r="AC643" s="65"/>
      <c r="AD643" s="65"/>
      <c r="AE643" s="65"/>
      <c r="AF643" s="65"/>
      <c r="AG643" s="65"/>
      <c r="AH643" s="65"/>
      <c r="AI643" s="65"/>
      <c r="AJ643" s="65"/>
      <c r="AK643" s="65"/>
      <c r="AL643" s="65"/>
      <c r="AM643" s="65"/>
    </row>
    <row r="644">
      <c r="AB644" s="65"/>
      <c r="AC644" s="65"/>
      <c r="AD644" s="65"/>
      <c r="AE644" s="65"/>
      <c r="AF644" s="65"/>
      <c r="AG644" s="65"/>
      <c r="AH644" s="65"/>
      <c r="AI644" s="65"/>
      <c r="AJ644" s="65"/>
      <c r="AK644" s="65"/>
      <c r="AL644" s="65"/>
      <c r="AM644" s="65"/>
    </row>
    <row r="645">
      <c r="AB645" s="65"/>
      <c r="AC645" s="65"/>
      <c r="AD645" s="65"/>
      <c r="AE645" s="65"/>
      <c r="AF645" s="65"/>
      <c r="AG645" s="65"/>
      <c r="AH645" s="65"/>
      <c r="AI645" s="65"/>
      <c r="AJ645" s="65"/>
      <c r="AK645" s="65"/>
      <c r="AL645" s="65"/>
      <c r="AM645" s="65"/>
    </row>
    <row r="646">
      <c r="AB646" s="65"/>
      <c r="AC646" s="65"/>
      <c r="AD646" s="65"/>
      <c r="AE646" s="65"/>
      <c r="AF646" s="65"/>
      <c r="AG646" s="65"/>
      <c r="AH646" s="65"/>
      <c r="AI646" s="65"/>
      <c r="AJ646" s="65"/>
      <c r="AK646" s="65"/>
      <c r="AL646" s="65"/>
      <c r="AM646" s="65"/>
    </row>
    <row r="647">
      <c r="AB647" s="65"/>
      <c r="AC647" s="65"/>
      <c r="AD647" s="65"/>
      <c r="AE647" s="65"/>
      <c r="AF647" s="65"/>
      <c r="AG647" s="65"/>
      <c r="AH647" s="65"/>
      <c r="AI647" s="65"/>
      <c r="AJ647" s="65"/>
      <c r="AK647" s="65"/>
      <c r="AL647" s="65"/>
      <c r="AM647" s="65"/>
    </row>
    <row r="648">
      <c r="AB648" s="65"/>
      <c r="AC648" s="65"/>
      <c r="AD648" s="65"/>
      <c r="AE648" s="65"/>
      <c r="AF648" s="65"/>
      <c r="AG648" s="65"/>
      <c r="AH648" s="65"/>
      <c r="AI648" s="65"/>
      <c r="AJ648" s="65"/>
      <c r="AK648" s="65"/>
      <c r="AL648" s="65"/>
      <c r="AM648" s="65"/>
    </row>
    <row r="649">
      <c r="AB649" s="65"/>
      <c r="AC649" s="65"/>
      <c r="AD649" s="65"/>
      <c r="AE649" s="65"/>
      <c r="AF649" s="65"/>
      <c r="AG649" s="65"/>
      <c r="AH649" s="65"/>
      <c r="AI649" s="65"/>
      <c r="AJ649" s="65"/>
      <c r="AK649" s="65"/>
      <c r="AL649" s="65"/>
      <c r="AM649" s="65"/>
    </row>
    <row r="650">
      <c r="AB650" s="65"/>
      <c r="AC650" s="65"/>
      <c r="AD650" s="65"/>
      <c r="AE650" s="65"/>
      <c r="AF650" s="65"/>
      <c r="AG650" s="65"/>
      <c r="AH650" s="65"/>
      <c r="AI650" s="65"/>
      <c r="AJ650" s="65"/>
      <c r="AK650" s="65"/>
      <c r="AL650" s="65"/>
      <c r="AM650" s="65"/>
    </row>
    <row r="651">
      <c r="AB651" s="65"/>
      <c r="AC651" s="65"/>
      <c r="AD651" s="65"/>
      <c r="AE651" s="65"/>
      <c r="AF651" s="65"/>
      <c r="AG651" s="65"/>
      <c r="AH651" s="65"/>
      <c r="AI651" s="65"/>
      <c r="AJ651" s="65"/>
      <c r="AK651" s="65"/>
      <c r="AL651" s="65"/>
      <c r="AM651" s="65"/>
    </row>
    <row r="652">
      <c r="AB652" s="65"/>
      <c r="AC652" s="65"/>
      <c r="AD652" s="65"/>
      <c r="AE652" s="65"/>
      <c r="AF652" s="65"/>
      <c r="AG652" s="65"/>
      <c r="AH652" s="65"/>
      <c r="AI652" s="65"/>
      <c r="AJ652" s="65"/>
      <c r="AK652" s="65"/>
      <c r="AL652" s="65"/>
      <c r="AM652" s="65"/>
    </row>
    <row r="653">
      <c r="AB653" s="65"/>
      <c r="AC653" s="65"/>
      <c r="AD653" s="65"/>
      <c r="AE653" s="65"/>
      <c r="AF653" s="65"/>
      <c r="AG653" s="65"/>
      <c r="AH653" s="65"/>
      <c r="AI653" s="65"/>
      <c r="AJ653" s="65"/>
      <c r="AK653" s="65"/>
      <c r="AL653" s="65"/>
      <c r="AM653" s="65"/>
    </row>
    <row r="654">
      <c r="AB654" s="65"/>
      <c r="AC654" s="65"/>
      <c r="AD654" s="65"/>
      <c r="AE654" s="65"/>
      <c r="AF654" s="65"/>
      <c r="AG654" s="65"/>
      <c r="AH654" s="65"/>
      <c r="AI654" s="65"/>
      <c r="AJ654" s="65"/>
      <c r="AK654" s="65"/>
      <c r="AL654" s="65"/>
      <c r="AM654" s="65"/>
    </row>
    <row r="655">
      <c r="AB655" s="65"/>
      <c r="AC655" s="65"/>
      <c r="AD655" s="65"/>
      <c r="AE655" s="65"/>
      <c r="AF655" s="65"/>
      <c r="AG655" s="65"/>
      <c r="AH655" s="65"/>
      <c r="AI655" s="65"/>
      <c r="AJ655" s="65"/>
      <c r="AK655" s="65"/>
      <c r="AL655" s="65"/>
      <c r="AM655" s="65"/>
    </row>
    <row r="656">
      <c r="AB656" s="65"/>
      <c r="AC656" s="65"/>
      <c r="AD656" s="65"/>
      <c r="AE656" s="65"/>
      <c r="AF656" s="65"/>
      <c r="AG656" s="65"/>
      <c r="AH656" s="65"/>
      <c r="AI656" s="65"/>
      <c r="AJ656" s="65"/>
      <c r="AK656" s="65"/>
      <c r="AL656" s="65"/>
      <c r="AM656" s="65"/>
    </row>
    <row r="657">
      <c r="AB657" s="65"/>
      <c r="AC657" s="65"/>
      <c r="AD657" s="65"/>
      <c r="AE657" s="65"/>
      <c r="AF657" s="65"/>
      <c r="AG657" s="65"/>
      <c r="AH657" s="65"/>
      <c r="AI657" s="65"/>
      <c r="AJ657" s="65"/>
      <c r="AK657" s="65"/>
      <c r="AL657" s="65"/>
      <c r="AM657" s="65"/>
    </row>
    <row r="658">
      <c r="AB658" s="65"/>
      <c r="AC658" s="65"/>
      <c r="AD658" s="65"/>
      <c r="AE658" s="65"/>
      <c r="AF658" s="65"/>
      <c r="AG658" s="65"/>
      <c r="AH658" s="65"/>
      <c r="AI658" s="65"/>
      <c r="AJ658" s="65"/>
      <c r="AK658" s="65"/>
      <c r="AL658" s="65"/>
      <c r="AM658" s="65"/>
    </row>
    <row r="659">
      <c r="AB659" s="65"/>
      <c r="AC659" s="65"/>
      <c r="AD659" s="65"/>
      <c r="AE659" s="65"/>
      <c r="AF659" s="65"/>
      <c r="AG659" s="65"/>
      <c r="AH659" s="65"/>
      <c r="AI659" s="65"/>
      <c r="AJ659" s="65"/>
      <c r="AK659" s="65"/>
      <c r="AL659" s="65"/>
      <c r="AM659" s="65"/>
    </row>
    <row r="660">
      <c r="AB660" s="65"/>
      <c r="AC660" s="65"/>
      <c r="AD660" s="65"/>
      <c r="AE660" s="65"/>
      <c r="AF660" s="65"/>
      <c r="AG660" s="65"/>
      <c r="AH660" s="65"/>
      <c r="AI660" s="65"/>
      <c r="AJ660" s="65"/>
      <c r="AK660" s="65"/>
      <c r="AL660" s="65"/>
      <c r="AM660" s="65"/>
    </row>
    <row r="661">
      <c r="AB661" s="65"/>
      <c r="AC661" s="65"/>
      <c r="AD661" s="65"/>
      <c r="AE661" s="65"/>
      <c r="AF661" s="65"/>
      <c r="AG661" s="65"/>
      <c r="AH661" s="65"/>
      <c r="AI661" s="65"/>
      <c r="AJ661" s="65"/>
      <c r="AK661" s="65"/>
      <c r="AL661" s="65"/>
      <c r="AM661" s="65"/>
    </row>
    <row r="662">
      <c r="AB662" s="65"/>
      <c r="AC662" s="65"/>
      <c r="AD662" s="65"/>
      <c r="AE662" s="65"/>
      <c r="AF662" s="65"/>
      <c r="AG662" s="65"/>
      <c r="AH662" s="65"/>
      <c r="AI662" s="65"/>
      <c r="AJ662" s="65"/>
      <c r="AK662" s="65"/>
      <c r="AL662" s="65"/>
      <c r="AM662" s="65"/>
    </row>
    <row r="663">
      <c r="AB663" s="65"/>
      <c r="AC663" s="65"/>
      <c r="AD663" s="65"/>
      <c r="AE663" s="65"/>
      <c r="AF663" s="65"/>
      <c r="AG663" s="65"/>
      <c r="AH663" s="65"/>
      <c r="AI663" s="65"/>
      <c r="AJ663" s="65"/>
      <c r="AK663" s="65"/>
      <c r="AL663" s="65"/>
      <c r="AM663" s="65"/>
    </row>
    <row r="664">
      <c r="AB664" s="65"/>
      <c r="AC664" s="65"/>
      <c r="AD664" s="65"/>
      <c r="AE664" s="65"/>
      <c r="AF664" s="65"/>
      <c r="AG664" s="65"/>
      <c r="AH664" s="65"/>
      <c r="AI664" s="65"/>
      <c r="AJ664" s="65"/>
      <c r="AK664" s="65"/>
      <c r="AL664" s="65"/>
      <c r="AM664" s="65"/>
    </row>
    <row r="665">
      <c r="AB665" s="65"/>
      <c r="AC665" s="65"/>
      <c r="AD665" s="65"/>
      <c r="AE665" s="65"/>
      <c r="AF665" s="65"/>
      <c r="AG665" s="65"/>
      <c r="AH665" s="65"/>
      <c r="AI665" s="65"/>
      <c r="AJ665" s="65"/>
      <c r="AK665" s="65"/>
      <c r="AL665" s="65"/>
      <c r="AM665" s="65"/>
    </row>
    <row r="666">
      <c r="AB666" s="65"/>
      <c r="AC666" s="65"/>
      <c r="AD666" s="65"/>
      <c r="AE666" s="65"/>
      <c r="AF666" s="65"/>
      <c r="AG666" s="65"/>
      <c r="AH666" s="65"/>
      <c r="AI666" s="65"/>
      <c r="AJ666" s="65"/>
      <c r="AK666" s="65"/>
      <c r="AL666" s="65"/>
      <c r="AM666" s="65"/>
    </row>
    <row r="667">
      <c r="AB667" s="65"/>
      <c r="AC667" s="65"/>
      <c r="AD667" s="65"/>
      <c r="AE667" s="65"/>
      <c r="AF667" s="65"/>
      <c r="AG667" s="65"/>
      <c r="AH667" s="65"/>
      <c r="AI667" s="65"/>
      <c r="AJ667" s="65"/>
      <c r="AK667" s="65"/>
      <c r="AL667" s="65"/>
      <c r="AM667" s="65"/>
    </row>
    <row r="668">
      <c r="AB668" s="65"/>
      <c r="AC668" s="65"/>
      <c r="AD668" s="65"/>
      <c r="AE668" s="65"/>
      <c r="AF668" s="65"/>
      <c r="AG668" s="65"/>
      <c r="AH668" s="65"/>
      <c r="AI668" s="65"/>
      <c r="AJ668" s="65"/>
      <c r="AK668" s="65"/>
      <c r="AL668" s="65"/>
      <c r="AM668" s="65"/>
    </row>
    <row r="669">
      <c r="AB669" s="65"/>
      <c r="AC669" s="65"/>
      <c r="AD669" s="65"/>
      <c r="AE669" s="65"/>
      <c r="AF669" s="65"/>
      <c r="AG669" s="65"/>
      <c r="AH669" s="65"/>
      <c r="AI669" s="65"/>
      <c r="AJ669" s="65"/>
      <c r="AK669" s="65"/>
      <c r="AL669" s="65"/>
      <c r="AM669" s="65"/>
    </row>
    <row r="670">
      <c r="AB670" s="65"/>
      <c r="AC670" s="65"/>
      <c r="AD670" s="65"/>
      <c r="AE670" s="65"/>
      <c r="AF670" s="65"/>
      <c r="AG670" s="65"/>
      <c r="AH670" s="65"/>
      <c r="AI670" s="65"/>
      <c r="AJ670" s="65"/>
      <c r="AK670" s="65"/>
      <c r="AL670" s="65"/>
      <c r="AM670" s="65"/>
    </row>
    <row r="671">
      <c r="AB671" s="65"/>
      <c r="AC671" s="65"/>
      <c r="AD671" s="65"/>
      <c r="AE671" s="65"/>
      <c r="AF671" s="65"/>
      <c r="AG671" s="65"/>
      <c r="AH671" s="65"/>
      <c r="AI671" s="65"/>
      <c r="AJ671" s="65"/>
      <c r="AK671" s="65"/>
      <c r="AL671" s="65"/>
      <c r="AM671" s="65"/>
    </row>
    <row r="672">
      <c r="AB672" s="65"/>
      <c r="AC672" s="65"/>
      <c r="AD672" s="65"/>
      <c r="AE672" s="65"/>
      <c r="AF672" s="65"/>
      <c r="AG672" s="65"/>
      <c r="AH672" s="65"/>
      <c r="AI672" s="65"/>
      <c r="AJ672" s="65"/>
      <c r="AK672" s="65"/>
      <c r="AL672" s="65"/>
      <c r="AM672" s="65"/>
    </row>
    <row r="673">
      <c r="AB673" s="65"/>
      <c r="AC673" s="65"/>
      <c r="AD673" s="65"/>
      <c r="AE673" s="65"/>
      <c r="AF673" s="65"/>
      <c r="AG673" s="65"/>
      <c r="AH673" s="65"/>
      <c r="AI673" s="65"/>
      <c r="AJ673" s="65"/>
      <c r="AK673" s="65"/>
      <c r="AL673" s="65"/>
      <c r="AM673" s="65"/>
    </row>
    <row r="674">
      <c r="AB674" s="65"/>
      <c r="AC674" s="65"/>
      <c r="AD674" s="65"/>
      <c r="AE674" s="65"/>
      <c r="AF674" s="65"/>
      <c r="AG674" s="65"/>
      <c r="AH674" s="65"/>
      <c r="AI674" s="65"/>
      <c r="AJ674" s="65"/>
      <c r="AK674" s="65"/>
      <c r="AL674" s="65"/>
      <c r="AM674" s="65"/>
    </row>
    <row r="675">
      <c r="AB675" s="65"/>
      <c r="AC675" s="65"/>
      <c r="AD675" s="65"/>
      <c r="AE675" s="65"/>
      <c r="AF675" s="65"/>
      <c r="AG675" s="65"/>
      <c r="AH675" s="65"/>
      <c r="AI675" s="65"/>
      <c r="AJ675" s="65"/>
      <c r="AK675" s="65"/>
      <c r="AL675" s="65"/>
      <c r="AM675" s="65"/>
    </row>
    <row r="676">
      <c r="AB676" s="65"/>
      <c r="AC676" s="65"/>
      <c r="AD676" s="65"/>
      <c r="AE676" s="65"/>
      <c r="AF676" s="65"/>
      <c r="AG676" s="65"/>
      <c r="AH676" s="65"/>
      <c r="AI676" s="65"/>
      <c r="AJ676" s="65"/>
      <c r="AK676" s="65"/>
      <c r="AL676" s="65"/>
      <c r="AM676" s="65"/>
    </row>
    <row r="677">
      <c r="AB677" s="65"/>
      <c r="AC677" s="65"/>
      <c r="AD677" s="65"/>
      <c r="AE677" s="65"/>
      <c r="AF677" s="65"/>
      <c r="AG677" s="65"/>
      <c r="AH677" s="65"/>
      <c r="AI677" s="65"/>
      <c r="AJ677" s="65"/>
      <c r="AK677" s="65"/>
      <c r="AL677" s="65"/>
      <c r="AM677" s="65"/>
    </row>
    <row r="678">
      <c r="AB678" s="65"/>
      <c r="AC678" s="65"/>
      <c r="AD678" s="65"/>
      <c r="AE678" s="65"/>
      <c r="AF678" s="65"/>
      <c r="AG678" s="65"/>
      <c r="AH678" s="65"/>
      <c r="AI678" s="65"/>
      <c r="AJ678" s="65"/>
      <c r="AK678" s="65"/>
      <c r="AL678" s="65"/>
      <c r="AM678" s="65"/>
    </row>
    <row r="679">
      <c r="AB679" s="65"/>
      <c r="AC679" s="65"/>
      <c r="AD679" s="65"/>
      <c r="AE679" s="65"/>
      <c r="AF679" s="65"/>
      <c r="AG679" s="65"/>
      <c r="AH679" s="65"/>
      <c r="AI679" s="65"/>
      <c r="AJ679" s="65"/>
      <c r="AK679" s="65"/>
      <c r="AL679" s="65"/>
      <c r="AM679" s="65"/>
    </row>
    <row r="680">
      <c r="AB680" s="65"/>
      <c r="AC680" s="65"/>
      <c r="AD680" s="65"/>
      <c r="AE680" s="65"/>
      <c r="AF680" s="65"/>
      <c r="AG680" s="65"/>
      <c r="AH680" s="65"/>
      <c r="AI680" s="65"/>
      <c r="AJ680" s="65"/>
      <c r="AK680" s="65"/>
      <c r="AL680" s="65"/>
      <c r="AM680" s="65"/>
    </row>
    <row r="681">
      <c r="AB681" s="65"/>
      <c r="AC681" s="65"/>
      <c r="AD681" s="65"/>
      <c r="AE681" s="65"/>
      <c r="AF681" s="65"/>
      <c r="AG681" s="65"/>
      <c r="AH681" s="65"/>
      <c r="AI681" s="65"/>
      <c r="AJ681" s="65"/>
      <c r="AK681" s="65"/>
      <c r="AL681" s="65"/>
      <c r="AM681" s="65"/>
    </row>
    <row r="682">
      <c r="AB682" s="65"/>
      <c r="AC682" s="65"/>
      <c r="AD682" s="65"/>
      <c r="AE682" s="65"/>
      <c r="AF682" s="65"/>
      <c r="AG682" s="65"/>
      <c r="AH682" s="65"/>
      <c r="AI682" s="65"/>
      <c r="AJ682" s="65"/>
      <c r="AK682" s="65"/>
      <c r="AL682" s="65"/>
      <c r="AM682" s="65"/>
    </row>
    <row r="683">
      <c r="AB683" s="65"/>
      <c r="AC683" s="65"/>
      <c r="AD683" s="65"/>
      <c r="AE683" s="65"/>
      <c r="AF683" s="65"/>
      <c r="AG683" s="65"/>
      <c r="AH683" s="65"/>
      <c r="AI683" s="65"/>
      <c r="AJ683" s="65"/>
      <c r="AK683" s="65"/>
      <c r="AL683" s="65"/>
      <c r="AM683" s="65"/>
    </row>
    <row r="684">
      <c r="AB684" s="65"/>
      <c r="AC684" s="65"/>
      <c r="AD684" s="65"/>
      <c r="AE684" s="65"/>
      <c r="AF684" s="65"/>
      <c r="AG684" s="65"/>
      <c r="AH684" s="65"/>
      <c r="AI684" s="65"/>
      <c r="AJ684" s="65"/>
      <c r="AK684" s="65"/>
      <c r="AL684" s="65"/>
      <c r="AM684" s="65"/>
    </row>
    <row r="685">
      <c r="AB685" s="65"/>
      <c r="AC685" s="65"/>
      <c r="AD685" s="65"/>
      <c r="AE685" s="65"/>
      <c r="AF685" s="65"/>
      <c r="AG685" s="65"/>
      <c r="AH685" s="65"/>
      <c r="AI685" s="65"/>
      <c r="AJ685" s="65"/>
      <c r="AK685" s="65"/>
      <c r="AL685" s="65"/>
      <c r="AM685" s="65"/>
    </row>
    <row r="686">
      <c r="AB686" s="65"/>
      <c r="AC686" s="65"/>
      <c r="AD686" s="65"/>
      <c r="AE686" s="65"/>
      <c r="AF686" s="65"/>
      <c r="AG686" s="65"/>
      <c r="AH686" s="65"/>
      <c r="AI686" s="65"/>
      <c r="AJ686" s="65"/>
      <c r="AK686" s="65"/>
      <c r="AL686" s="65"/>
      <c r="AM686" s="65"/>
    </row>
    <row r="687">
      <c r="AB687" s="65"/>
      <c r="AC687" s="65"/>
      <c r="AD687" s="65"/>
      <c r="AE687" s="65"/>
      <c r="AF687" s="65"/>
      <c r="AG687" s="65"/>
      <c r="AH687" s="65"/>
      <c r="AI687" s="65"/>
      <c r="AJ687" s="65"/>
      <c r="AK687" s="65"/>
      <c r="AL687" s="65"/>
      <c r="AM687" s="65"/>
    </row>
    <row r="688">
      <c r="AB688" s="65"/>
      <c r="AC688" s="65"/>
      <c r="AD688" s="65"/>
      <c r="AE688" s="65"/>
      <c r="AF688" s="65"/>
      <c r="AG688" s="65"/>
      <c r="AH688" s="65"/>
      <c r="AI688" s="65"/>
      <c r="AJ688" s="65"/>
      <c r="AK688" s="65"/>
      <c r="AL688" s="65"/>
      <c r="AM688" s="65"/>
    </row>
    <row r="689">
      <c r="AB689" s="65"/>
      <c r="AC689" s="65"/>
      <c r="AD689" s="65"/>
      <c r="AE689" s="65"/>
      <c r="AF689" s="65"/>
      <c r="AG689" s="65"/>
      <c r="AH689" s="65"/>
      <c r="AI689" s="65"/>
      <c r="AJ689" s="65"/>
      <c r="AK689" s="65"/>
      <c r="AL689" s="65"/>
      <c r="AM689" s="65"/>
    </row>
    <row r="690">
      <c r="AB690" s="65"/>
      <c r="AC690" s="65"/>
      <c r="AD690" s="65"/>
      <c r="AE690" s="65"/>
      <c r="AF690" s="65"/>
      <c r="AG690" s="65"/>
      <c r="AH690" s="65"/>
      <c r="AI690" s="65"/>
      <c r="AJ690" s="65"/>
      <c r="AK690" s="65"/>
      <c r="AL690" s="65"/>
      <c r="AM690" s="65"/>
    </row>
    <row r="691">
      <c r="AB691" s="65"/>
      <c r="AC691" s="65"/>
      <c r="AD691" s="65"/>
      <c r="AE691" s="65"/>
      <c r="AF691" s="65"/>
      <c r="AG691" s="65"/>
      <c r="AH691" s="65"/>
      <c r="AI691" s="65"/>
      <c r="AJ691" s="65"/>
      <c r="AK691" s="65"/>
      <c r="AL691" s="65"/>
      <c r="AM691" s="65"/>
    </row>
    <row r="692">
      <c r="AB692" s="65"/>
      <c r="AC692" s="65"/>
      <c r="AD692" s="65"/>
      <c r="AE692" s="65"/>
      <c r="AF692" s="65"/>
      <c r="AG692" s="65"/>
      <c r="AH692" s="65"/>
      <c r="AI692" s="65"/>
      <c r="AJ692" s="65"/>
      <c r="AK692" s="65"/>
      <c r="AL692" s="65"/>
      <c r="AM692" s="65"/>
    </row>
    <row r="693">
      <c r="AB693" s="65"/>
      <c r="AC693" s="65"/>
      <c r="AD693" s="65"/>
      <c r="AE693" s="65"/>
      <c r="AF693" s="65"/>
      <c r="AG693" s="65"/>
      <c r="AH693" s="65"/>
      <c r="AI693" s="65"/>
      <c r="AJ693" s="65"/>
      <c r="AK693" s="65"/>
      <c r="AL693" s="65"/>
      <c r="AM693" s="65"/>
    </row>
    <row r="694">
      <c r="AB694" s="65"/>
      <c r="AC694" s="65"/>
      <c r="AD694" s="65"/>
      <c r="AE694" s="65"/>
      <c r="AF694" s="65"/>
      <c r="AG694" s="65"/>
      <c r="AH694" s="65"/>
      <c r="AI694" s="65"/>
      <c r="AJ694" s="65"/>
      <c r="AK694" s="65"/>
      <c r="AL694" s="65"/>
      <c r="AM694" s="65"/>
    </row>
    <row r="695">
      <c r="AB695" s="65"/>
      <c r="AC695" s="65"/>
      <c r="AD695" s="65"/>
      <c r="AE695" s="65"/>
      <c r="AF695" s="65"/>
      <c r="AG695" s="65"/>
      <c r="AH695" s="65"/>
      <c r="AI695" s="65"/>
      <c r="AJ695" s="65"/>
      <c r="AK695" s="65"/>
      <c r="AL695" s="65"/>
      <c r="AM695" s="65"/>
    </row>
    <row r="696">
      <c r="AB696" s="65"/>
      <c r="AC696" s="65"/>
      <c r="AD696" s="65"/>
      <c r="AE696" s="65"/>
      <c r="AF696" s="65"/>
      <c r="AG696" s="65"/>
      <c r="AH696" s="65"/>
      <c r="AI696" s="65"/>
      <c r="AJ696" s="65"/>
      <c r="AK696" s="65"/>
      <c r="AL696" s="65"/>
      <c r="AM696" s="65"/>
    </row>
    <row r="697">
      <c r="AB697" s="65"/>
      <c r="AC697" s="65"/>
      <c r="AD697" s="65"/>
      <c r="AE697" s="65"/>
      <c r="AF697" s="65"/>
      <c r="AG697" s="65"/>
      <c r="AH697" s="65"/>
      <c r="AI697" s="65"/>
      <c r="AJ697" s="65"/>
      <c r="AK697" s="65"/>
      <c r="AL697" s="65"/>
      <c r="AM697" s="65"/>
    </row>
    <row r="698">
      <c r="AB698" s="65"/>
      <c r="AC698" s="65"/>
      <c r="AD698" s="65"/>
      <c r="AE698" s="65"/>
      <c r="AF698" s="65"/>
      <c r="AG698" s="65"/>
      <c r="AH698" s="65"/>
      <c r="AI698" s="65"/>
      <c r="AJ698" s="65"/>
      <c r="AK698" s="65"/>
      <c r="AL698" s="65"/>
      <c r="AM698" s="65"/>
    </row>
    <row r="699">
      <c r="AB699" s="65"/>
      <c r="AC699" s="65"/>
      <c r="AD699" s="65"/>
      <c r="AE699" s="65"/>
      <c r="AF699" s="65"/>
      <c r="AG699" s="65"/>
      <c r="AH699" s="65"/>
      <c r="AI699" s="65"/>
      <c r="AJ699" s="65"/>
      <c r="AK699" s="65"/>
      <c r="AL699" s="65"/>
      <c r="AM699" s="65"/>
    </row>
    <row r="700">
      <c r="AB700" s="65"/>
      <c r="AC700" s="65"/>
      <c r="AD700" s="65"/>
      <c r="AE700" s="65"/>
      <c r="AF700" s="65"/>
      <c r="AG700" s="65"/>
      <c r="AH700" s="65"/>
      <c r="AI700" s="65"/>
      <c r="AJ700" s="65"/>
      <c r="AK700" s="65"/>
      <c r="AL700" s="65"/>
      <c r="AM700" s="65"/>
    </row>
    <row r="701">
      <c r="AB701" s="65"/>
      <c r="AC701" s="65"/>
      <c r="AD701" s="65"/>
      <c r="AE701" s="65"/>
      <c r="AF701" s="65"/>
      <c r="AG701" s="65"/>
      <c r="AH701" s="65"/>
      <c r="AI701" s="65"/>
      <c r="AJ701" s="65"/>
      <c r="AK701" s="65"/>
      <c r="AL701" s="65"/>
      <c r="AM701" s="65"/>
    </row>
    <row r="702">
      <c r="AB702" s="65"/>
      <c r="AC702" s="65"/>
      <c r="AD702" s="65"/>
      <c r="AE702" s="65"/>
      <c r="AF702" s="65"/>
      <c r="AG702" s="65"/>
      <c r="AH702" s="65"/>
      <c r="AI702" s="65"/>
      <c r="AJ702" s="65"/>
      <c r="AK702" s="65"/>
      <c r="AL702" s="65"/>
      <c r="AM702" s="65"/>
    </row>
    <row r="703">
      <c r="AB703" s="65"/>
      <c r="AC703" s="65"/>
      <c r="AD703" s="65"/>
      <c r="AE703" s="65"/>
      <c r="AF703" s="65"/>
      <c r="AG703" s="65"/>
      <c r="AH703" s="65"/>
      <c r="AI703" s="65"/>
      <c r="AJ703" s="65"/>
      <c r="AK703" s="65"/>
      <c r="AL703" s="65"/>
      <c r="AM703" s="65"/>
    </row>
    <row r="704">
      <c r="AB704" s="65"/>
      <c r="AC704" s="65"/>
      <c r="AD704" s="65"/>
      <c r="AE704" s="65"/>
      <c r="AF704" s="65"/>
      <c r="AG704" s="65"/>
      <c r="AH704" s="65"/>
      <c r="AI704" s="65"/>
      <c r="AJ704" s="65"/>
      <c r="AK704" s="65"/>
      <c r="AL704" s="65"/>
      <c r="AM704" s="65"/>
    </row>
    <row r="705">
      <c r="AB705" s="65"/>
      <c r="AC705" s="65"/>
      <c r="AD705" s="65"/>
      <c r="AE705" s="65"/>
      <c r="AF705" s="65"/>
      <c r="AG705" s="65"/>
      <c r="AH705" s="65"/>
      <c r="AI705" s="65"/>
      <c r="AJ705" s="65"/>
      <c r="AK705" s="65"/>
      <c r="AL705" s="65"/>
      <c r="AM705" s="65"/>
    </row>
    <row r="706">
      <c r="AB706" s="65"/>
      <c r="AC706" s="65"/>
      <c r="AD706" s="65"/>
      <c r="AE706" s="65"/>
      <c r="AF706" s="65"/>
      <c r="AG706" s="65"/>
      <c r="AH706" s="65"/>
      <c r="AI706" s="65"/>
      <c r="AJ706" s="65"/>
      <c r="AK706" s="65"/>
      <c r="AL706" s="65"/>
      <c r="AM706" s="65"/>
    </row>
    <row r="707">
      <c r="AB707" s="65"/>
      <c r="AC707" s="65"/>
      <c r="AD707" s="65"/>
      <c r="AE707" s="65"/>
      <c r="AF707" s="65"/>
      <c r="AG707" s="65"/>
      <c r="AH707" s="65"/>
      <c r="AI707" s="65"/>
      <c r="AJ707" s="65"/>
      <c r="AK707" s="65"/>
      <c r="AL707" s="65"/>
      <c r="AM707" s="65"/>
    </row>
    <row r="708">
      <c r="AB708" s="65"/>
      <c r="AC708" s="65"/>
      <c r="AD708" s="65"/>
      <c r="AE708" s="65"/>
      <c r="AF708" s="65"/>
      <c r="AG708" s="65"/>
      <c r="AH708" s="65"/>
      <c r="AI708" s="65"/>
      <c r="AJ708" s="65"/>
      <c r="AK708" s="65"/>
      <c r="AL708" s="65"/>
      <c r="AM708" s="65"/>
    </row>
    <row r="709">
      <c r="AB709" s="65"/>
      <c r="AC709" s="65"/>
      <c r="AD709" s="65"/>
      <c r="AE709" s="65"/>
      <c r="AF709" s="65"/>
      <c r="AG709" s="65"/>
      <c r="AH709" s="65"/>
      <c r="AI709" s="65"/>
      <c r="AJ709" s="65"/>
      <c r="AK709" s="65"/>
      <c r="AL709" s="65"/>
      <c r="AM709" s="65"/>
    </row>
    <row r="710">
      <c r="AB710" s="65"/>
      <c r="AC710" s="65"/>
      <c r="AD710" s="65"/>
      <c r="AE710" s="65"/>
      <c r="AF710" s="65"/>
      <c r="AG710" s="65"/>
      <c r="AH710" s="65"/>
      <c r="AI710" s="65"/>
      <c r="AJ710" s="65"/>
      <c r="AK710" s="65"/>
      <c r="AL710" s="65"/>
      <c r="AM710" s="65"/>
    </row>
    <row r="711">
      <c r="AB711" s="65"/>
      <c r="AC711" s="65"/>
      <c r="AD711" s="65"/>
      <c r="AE711" s="65"/>
      <c r="AF711" s="65"/>
      <c r="AG711" s="65"/>
      <c r="AH711" s="65"/>
      <c r="AI711" s="65"/>
      <c r="AJ711" s="65"/>
      <c r="AK711" s="65"/>
      <c r="AL711" s="65"/>
      <c r="AM711" s="65"/>
    </row>
    <row r="712">
      <c r="AB712" s="65"/>
      <c r="AC712" s="65"/>
      <c r="AD712" s="65"/>
      <c r="AE712" s="65"/>
      <c r="AF712" s="65"/>
      <c r="AG712" s="65"/>
      <c r="AH712" s="65"/>
      <c r="AI712" s="65"/>
      <c r="AJ712" s="65"/>
      <c r="AK712" s="65"/>
      <c r="AL712" s="65"/>
      <c r="AM712" s="65"/>
    </row>
    <row r="713">
      <c r="AB713" s="65"/>
      <c r="AC713" s="65"/>
      <c r="AD713" s="65"/>
      <c r="AE713" s="65"/>
      <c r="AF713" s="65"/>
      <c r="AG713" s="65"/>
      <c r="AH713" s="65"/>
      <c r="AI713" s="65"/>
      <c r="AJ713" s="65"/>
      <c r="AK713" s="65"/>
      <c r="AL713" s="65"/>
      <c r="AM713" s="65"/>
    </row>
    <row r="714">
      <c r="AB714" s="65"/>
      <c r="AC714" s="65"/>
      <c r="AD714" s="65"/>
      <c r="AE714" s="65"/>
      <c r="AF714" s="65"/>
      <c r="AG714" s="65"/>
      <c r="AH714" s="65"/>
      <c r="AI714" s="65"/>
      <c r="AJ714" s="65"/>
      <c r="AK714" s="65"/>
      <c r="AL714" s="65"/>
      <c r="AM714" s="65"/>
    </row>
    <row r="715">
      <c r="AB715" s="65"/>
      <c r="AC715" s="65"/>
      <c r="AD715" s="65"/>
      <c r="AE715" s="65"/>
      <c r="AF715" s="65"/>
      <c r="AG715" s="65"/>
      <c r="AH715" s="65"/>
      <c r="AI715" s="65"/>
      <c r="AJ715" s="65"/>
      <c r="AK715" s="65"/>
      <c r="AL715" s="65"/>
      <c r="AM715" s="65"/>
    </row>
    <row r="716">
      <c r="AB716" s="65"/>
      <c r="AC716" s="65"/>
      <c r="AD716" s="65"/>
      <c r="AE716" s="65"/>
      <c r="AF716" s="65"/>
      <c r="AG716" s="65"/>
      <c r="AH716" s="65"/>
      <c r="AI716" s="65"/>
      <c r="AJ716" s="65"/>
      <c r="AK716" s="65"/>
      <c r="AL716" s="65"/>
      <c r="AM716" s="65"/>
    </row>
    <row r="717">
      <c r="AB717" s="65"/>
      <c r="AC717" s="65"/>
      <c r="AD717" s="65"/>
      <c r="AE717" s="65"/>
      <c r="AF717" s="65"/>
      <c r="AG717" s="65"/>
      <c r="AH717" s="65"/>
      <c r="AI717" s="65"/>
      <c r="AJ717" s="65"/>
      <c r="AK717" s="65"/>
      <c r="AL717" s="65"/>
      <c r="AM717" s="65"/>
    </row>
    <row r="718">
      <c r="AB718" s="65"/>
      <c r="AC718" s="65"/>
      <c r="AD718" s="65"/>
      <c r="AE718" s="65"/>
      <c r="AF718" s="65"/>
      <c r="AG718" s="65"/>
      <c r="AH718" s="65"/>
      <c r="AI718" s="65"/>
      <c r="AJ718" s="65"/>
      <c r="AK718" s="65"/>
      <c r="AL718" s="65"/>
      <c r="AM718" s="65"/>
    </row>
    <row r="719">
      <c r="AB719" s="65"/>
      <c r="AC719" s="65"/>
      <c r="AD719" s="65"/>
      <c r="AE719" s="65"/>
      <c r="AF719" s="65"/>
      <c r="AG719" s="65"/>
      <c r="AH719" s="65"/>
      <c r="AI719" s="65"/>
      <c r="AJ719" s="65"/>
      <c r="AK719" s="65"/>
      <c r="AL719" s="65"/>
      <c r="AM719" s="65"/>
    </row>
    <row r="720">
      <c r="AB720" s="65"/>
      <c r="AC720" s="65"/>
      <c r="AD720" s="65"/>
      <c r="AE720" s="65"/>
      <c r="AF720" s="65"/>
      <c r="AG720" s="65"/>
      <c r="AH720" s="65"/>
      <c r="AI720" s="65"/>
      <c r="AJ720" s="65"/>
      <c r="AK720" s="65"/>
      <c r="AL720" s="65"/>
      <c r="AM720" s="65"/>
    </row>
    <row r="721">
      <c r="AB721" s="65"/>
      <c r="AC721" s="65"/>
      <c r="AD721" s="65"/>
      <c r="AE721" s="65"/>
      <c r="AF721" s="65"/>
      <c r="AG721" s="65"/>
      <c r="AH721" s="65"/>
      <c r="AI721" s="65"/>
      <c r="AJ721" s="65"/>
      <c r="AK721" s="65"/>
      <c r="AL721" s="65"/>
      <c r="AM721" s="65"/>
    </row>
    <row r="722">
      <c r="AB722" s="65"/>
      <c r="AC722" s="65"/>
      <c r="AD722" s="65"/>
      <c r="AE722" s="65"/>
      <c r="AF722" s="65"/>
      <c r="AG722" s="65"/>
      <c r="AH722" s="65"/>
      <c r="AI722" s="65"/>
      <c r="AJ722" s="65"/>
      <c r="AK722" s="65"/>
      <c r="AL722" s="65"/>
      <c r="AM722" s="65"/>
    </row>
    <row r="723">
      <c r="AB723" s="65"/>
      <c r="AC723" s="65"/>
      <c r="AD723" s="65"/>
      <c r="AE723" s="65"/>
      <c r="AF723" s="65"/>
      <c r="AG723" s="65"/>
      <c r="AH723" s="65"/>
      <c r="AI723" s="65"/>
      <c r="AJ723" s="65"/>
      <c r="AK723" s="65"/>
      <c r="AL723" s="65"/>
      <c r="AM723" s="65"/>
    </row>
    <row r="724">
      <c r="AB724" s="65"/>
      <c r="AC724" s="65"/>
      <c r="AD724" s="65"/>
      <c r="AE724" s="65"/>
      <c r="AF724" s="65"/>
      <c r="AG724" s="65"/>
      <c r="AH724" s="65"/>
      <c r="AI724" s="65"/>
      <c r="AJ724" s="65"/>
      <c r="AK724" s="65"/>
      <c r="AL724" s="65"/>
      <c r="AM724" s="65"/>
    </row>
    <row r="725">
      <c r="AB725" s="65"/>
      <c r="AC725" s="65"/>
      <c r="AD725" s="65"/>
      <c r="AE725" s="65"/>
      <c r="AF725" s="65"/>
      <c r="AG725" s="65"/>
      <c r="AH725" s="65"/>
      <c r="AI725" s="65"/>
      <c r="AJ725" s="65"/>
      <c r="AK725" s="65"/>
      <c r="AL725" s="65"/>
      <c r="AM725" s="65"/>
    </row>
    <row r="726">
      <c r="AB726" s="65"/>
      <c r="AC726" s="65"/>
      <c r="AD726" s="65"/>
      <c r="AE726" s="65"/>
      <c r="AF726" s="65"/>
      <c r="AG726" s="65"/>
      <c r="AH726" s="65"/>
      <c r="AI726" s="65"/>
      <c r="AJ726" s="65"/>
      <c r="AK726" s="65"/>
      <c r="AL726" s="65"/>
      <c r="AM726" s="65"/>
    </row>
    <row r="727">
      <c r="AB727" s="65"/>
      <c r="AC727" s="65"/>
      <c r="AD727" s="65"/>
      <c r="AE727" s="65"/>
      <c r="AF727" s="65"/>
      <c r="AG727" s="65"/>
      <c r="AH727" s="65"/>
      <c r="AI727" s="65"/>
      <c r="AJ727" s="65"/>
      <c r="AK727" s="65"/>
      <c r="AL727" s="65"/>
      <c r="AM727" s="65"/>
    </row>
    <row r="728">
      <c r="AB728" s="65"/>
      <c r="AC728" s="65"/>
      <c r="AD728" s="65"/>
      <c r="AE728" s="65"/>
      <c r="AF728" s="65"/>
      <c r="AG728" s="65"/>
      <c r="AH728" s="65"/>
      <c r="AI728" s="65"/>
      <c r="AJ728" s="65"/>
      <c r="AK728" s="65"/>
      <c r="AL728" s="65"/>
      <c r="AM728" s="65"/>
    </row>
    <row r="729">
      <c r="AB729" s="65"/>
      <c r="AC729" s="65"/>
      <c r="AD729" s="65"/>
      <c r="AE729" s="65"/>
      <c r="AF729" s="65"/>
      <c r="AG729" s="65"/>
      <c r="AH729" s="65"/>
      <c r="AI729" s="65"/>
      <c r="AJ729" s="65"/>
      <c r="AK729" s="65"/>
      <c r="AL729" s="65"/>
      <c r="AM729" s="65"/>
    </row>
    <row r="730">
      <c r="AB730" s="65"/>
      <c r="AC730" s="65"/>
      <c r="AD730" s="65"/>
      <c r="AE730" s="65"/>
      <c r="AF730" s="65"/>
      <c r="AG730" s="65"/>
      <c r="AH730" s="65"/>
      <c r="AI730" s="65"/>
      <c r="AJ730" s="65"/>
      <c r="AK730" s="65"/>
      <c r="AL730" s="65"/>
      <c r="AM730" s="65"/>
    </row>
    <row r="731">
      <c r="AB731" s="65"/>
      <c r="AC731" s="65"/>
      <c r="AD731" s="65"/>
      <c r="AE731" s="65"/>
      <c r="AF731" s="65"/>
      <c r="AG731" s="65"/>
      <c r="AH731" s="65"/>
      <c r="AI731" s="65"/>
      <c r="AJ731" s="65"/>
      <c r="AK731" s="65"/>
      <c r="AL731" s="65"/>
      <c r="AM731" s="65"/>
    </row>
    <row r="732">
      <c r="AB732" s="65"/>
      <c r="AC732" s="65"/>
      <c r="AD732" s="65"/>
      <c r="AE732" s="65"/>
      <c r="AF732" s="65"/>
      <c r="AG732" s="65"/>
      <c r="AH732" s="65"/>
      <c r="AI732" s="65"/>
      <c r="AJ732" s="65"/>
      <c r="AK732" s="65"/>
      <c r="AL732" s="65"/>
      <c r="AM732" s="65"/>
    </row>
    <row r="733">
      <c r="AB733" s="65"/>
      <c r="AC733" s="65"/>
      <c r="AD733" s="65"/>
      <c r="AE733" s="65"/>
      <c r="AF733" s="65"/>
      <c r="AG733" s="65"/>
      <c r="AH733" s="65"/>
      <c r="AI733" s="65"/>
      <c r="AJ733" s="65"/>
      <c r="AK733" s="65"/>
      <c r="AL733" s="65"/>
      <c r="AM733" s="65"/>
    </row>
    <row r="734">
      <c r="AB734" s="65"/>
      <c r="AC734" s="65"/>
      <c r="AD734" s="65"/>
      <c r="AE734" s="65"/>
      <c r="AF734" s="65"/>
      <c r="AG734" s="65"/>
      <c r="AH734" s="65"/>
      <c r="AI734" s="65"/>
      <c r="AJ734" s="65"/>
      <c r="AK734" s="65"/>
      <c r="AL734" s="65"/>
      <c r="AM734" s="65"/>
    </row>
    <row r="735">
      <c r="AB735" s="65"/>
      <c r="AC735" s="65"/>
      <c r="AD735" s="65"/>
      <c r="AE735" s="65"/>
      <c r="AF735" s="65"/>
      <c r="AG735" s="65"/>
      <c r="AH735" s="65"/>
      <c r="AI735" s="65"/>
      <c r="AJ735" s="65"/>
      <c r="AK735" s="65"/>
      <c r="AL735" s="65"/>
      <c r="AM735" s="65"/>
    </row>
    <row r="736">
      <c r="AB736" s="65"/>
      <c r="AC736" s="65"/>
      <c r="AD736" s="65"/>
      <c r="AE736" s="65"/>
      <c r="AF736" s="65"/>
      <c r="AG736" s="65"/>
      <c r="AH736" s="65"/>
      <c r="AI736" s="65"/>
      <c r="AJ736" s="65"/>
      <c r="AK736" s="65"/>
      <c r="AL736" s="65"/>
      <c r="AM736" s="65"/>
    </row>
    <row r="737">
      <c r="AB737" s="65"/>
      <c r="AC737" s="65"/>
      <c r="AD737" s="65"/>
      <c r="AE737" s="65"/>
      <c r="AF737" s="65"/>
      <c r="AG737" s="65"/>
      <c r="AH737" s="65"/>
      <c r="AI737" s="65"/>
      <c r="AJ737" s="65"/>
      <c r="AK737" s="65"/>
      <c r="AL737" s="65"/>
      <c r="AM737" s="65"/>
    </row>
    <row r="738">
      <c r="AB738" s="65"/>
      <c r="AC738" s="65"/>
      <c r="AD738" s="65"/>
      <c r="AE738" s="65"/>
      <c r="AF738" s="65"/>
      <c r="AG738" s="65"/>
      <c r="AH738" s="65"/>
      <c r="AI738" s="65"/>
      <c r="AJ738" s="65"/>
      <c r="AK738" s="65"/>
      <c r="AL738" s="65"/>
      <c r="AM738" s="65"/>
    </row>
    <row r="739">
      <c r="AB739" s="65"/>
      <c r="AC739" s="65"/>
      <c r="AD739" s="65"/>
      <c r="AE739" s="65"/>
      <c r="AF739" s="65"/>
      <c r="AG739" s="65"/>
      <c r="AH739" s="65"/>
      <c r="AI739" s="65"/>
      <c r="AJ739" s="65"/>
      <c r="AK739" s="65"/>
      <c r="AL739" s="65"/>
      <c r="AM739" s="65"/>
    </row>
    <row r="740">
      <c r="AB740" s="65"/>
      <c r="AC740" s="65"/>
      <c r="AD740" s="65"/>
      <c r="AE740" s="65"/>
      <c r="AF740" s="65"/>
      <c r="AG740" s="65"/>
      <c r="AH740" s="65"/>
      <c r="AI740" s="65"/>
      <c r="AJ740" s="65"/>
      <c r="AK740" s="65"/>
      <c r="AL740" s="65"/>
      <c r="AM740" s="65"/>
    </row>
    <row r="741">
      <c r="AB741" s="65"/>
      <c r="AC741" s="65"/>
      <c r="AD741" s="65"/>
      <c r="AE741" s="65"/>
      <c r="AF741" s="65"/>
      <c r="AG741" s="65"/>
      <c r="AH741" s="65"/>
      <c r="AI741" s="65"/>
      <c r="AJ741" s="65"/>
      <c r="AK741" s="65"/>
      <c r="AL741" s="65"/>
      <c r="AM741" s="65"/>
    </row>
    <row r="742">
      <c r="AB742" s="65"/>
      <c r="AC742" s="65"/>
      <c r="AD742" s="65"/>
      <c r="AE742" s="65"/>
      <c r="AF742" s="65"/>
      <c r="AG742" s="65"/>
      <c r="AH742" s="65"/>
      <c r="AI742" s="65"/>
      <c r="AJ742" s="65"/>
      <c r="AK742" s="65"/>
      <c r="AL742" s="65"/>
      <c r="AM742" s="65"/>
    </row>
    <row r="743">
      <c r="AB743" s="65"/>
      <c r="AC743" s="65"/>
      <c r="AD743" s="65"/>
      <c r="AE743" s="65"/>
      <c r="AF743" s="65"/>
      <c r="AG743" s="65"/>
      <c r="AH743" s="65"/>
      <c r="AI743" s="65"/>
      <c r="AJ743" s="65"/>
      <c r="AK743" s="65"/>
      <c r="AL743" s="65"/>
      <c r="AM743" s="65"/>
    </row>
    <row r="744">
      <c r="AB744" s="65"/>
      <c r="AC744" s="65"/>
      <c r="AD744" s="65"/>
      <c r="AE744" s="65"/>
      <c r="AF744" s="65"/>
      <c r="AG744" s="65"/>
      <c r="AH744" s="65"/>
      <c r="AI744" s="65"/>
      <c r="AJ744" s="65"/>
      <c r="AK744" s="65"/>
      <c r="AL744" s="65"/>
      <c r="AM744" s="65"/>
    </row>
    <row r="745">
      <c r="AB745" s="65"/>
      <c r="AC745" s="65"/>
      <c r="AD745" s="65"/>
      <c r="AE745" s="65"/>
      <c r="AF745" s="65"/>
      <c r="AG745" s="65"/>
      <c r="AH745" s="65"/>
      <c r="AI745" s="65"/>
      <c r="AJ745" s="65"/>
      <c r="AK745" s="65"/>
      <c r="AL745" s="65"/>
      <c r="AM745" s="65"/>
    </row>
    <row r="746">
      <c r="AB746" s="65"/>
      <c r="AC746" s="65"/>
      <c r="AD746" s="65"/>
      <c r="AE746" s="65"/>
      <c r="AF746" s="65"/>
      <c r="AG746" s="65"/>
      <c r="AH746" s="65"/>
      <c r="AI746" s="65"/>
      <c r="AJ746" s="65"/>
      <c r="AK746" s="65"/>
      <c r="AL746" s="65"/>
      <c r="AM746" s="65"/>
    </row>
    <row r="747">
      <c r="AB747" s="65"/>
      <c r="AC747" s="65"/>
      <c r="AD747" s="65"/>
      <c r="AE747" s="65"/>
      <c r="AF747" s="65"/>
      <c r="AG747" s="65"/>
      <c r="AH747" s="65"/>
      <c r="AI747" s="65"/>
      <c r="AJ747" s="65"/>
      <c r="AK747" s="65"/>
      <c r="AL747" s="65"/>
      <c r="AM747" s="65"/>
    </row>
    <row r="748">
      <c r="AB748" s="65"/>
      <c r="AC748" s="65"/>
      <c r="AD748" s="65"/>
      <c r="AE748" s="65"/>
      <c r="AF748" s="65"/>
      <c r="AG748" s="65"/>
      <c r="AH748" s="65"/>
      <c r="AI748" s="65"/>
      <c r="AJ748" s="65"/>
      <c r="AK748" s="65"/>
      <c r="AL748" s="65"/>
      <c r="AM748" s="65"/>
    </row>
    <row r="749">
      <c r="AB749" s="65"/>
      <c r="AC749" s="65"/>
      <c r="AD749" s="65"/>
      <c r="AE749" s="65"/>
      <c r="AF749" s="65"/>
      <c r="AG749" s="65"/>
      <c r="AH749" s="65"/>
      <c r="AI749" s="65"/>
      <c r="AJ749" s="65"/>
      <c r="AK749" s="65"/>
      <c r="AL749" s="65"/>
      <c r="AM749" s="65"/>
    </row>
    <row r="750">
      <c r="AB750" s="65"/>
      <c r="AC750" s="65"/>
      <c r="AD750" s="65"/>
      <c r="AE750" s="65"/>
      <c r="AF750" s="65"/>
      <c r="AG750" s="65"/>
      <c r="AH750" s="65"/>
      <c r="AI750" s="65"/>
      <c r="AJ750" s="65"/>
      <c r="AK750" s="65"/>
      <c r="AL750" s="65"/>
      <c r="AM750" s="65"/>
    </row>
    <row r="751">
      <c r="AB751" s="65"/>
      <c r="AC751" s="65"/>
      <c r="AD751" s="65"/>
      <c r="AE751" s="65"/>
      <c r="AF751" s="65"/>
      <c r="AG751" s="65"/>
      <c r="AH751" s="65"/>
      <c r="AI751" s="65"/>
      <c r="AJ751" s="65"/>
      <c r="AK751" s="65"/>
      <c r="AL751" s="65"/>
      <c r="AM751" s="65"/>
    </row>
    <row r="752">
      <c r="AB752" s="65"/>
      <c r="AC752" s="65"/>
      <c r="AD752" s="65"/>
      <c r="AE752" s="65"/>
      <c r="AF752" s="65"/>
      <c r="AG752" s="65"/>
      <c r="AH752" s="65"/>
      <c r="AI752" s="65"/>
      <c r="AJ752" s="65"/>
      <c r="AK752" s="65"/>
      <c r="AL752" s="65"/>
      <c r="AM752" s="65"/>
    </row>
    <row r="753">
      <c r="AB753" s="65"/>
      <c r="AC753" s="65"/>
      <c r="AD753" s="65"/>
      <c r="AE753" s="65"/>
      <c r="AF753" s="65"/>
      <c r="AG753" s="65"/>
      <c r="AH753" s="65"/>
      <c r="AI753" s="65"/>
      <c r="AJ753" s="65"/>
      <c r="AK753" s="65"/>
      <c r="AL753" s="65"/>
      <c r="AM753" s="65"/>
    </row>
    <row r="754">
      <c r="AB754" s="65"/>
      <c r="AC754" s="65"/>
      <c r="AD754" s="65"/>
      <c r="AE754" s="65"/>
      <c r="AF754" s="65"/>
      <c r="AG754" s="65"/>
      <c r="AH754" s="65"/>
      <c r="AI754" s="65"/>
      <c r="AJ754" s="65"/>
      <c r="AK754" s="65"/>
      <c r="AL754" s="65"/>
      <c r="AM754" s="65"/>
    </row>
    <row r="755">
      <c r="AB755" s="65"/>
      <c r="AC755" s="65"/>
      <c r="AD755" s="65"/>
      <c r="AE755" s="65"/>
      <c r="AF755" s="65"/>
      <c r="AG755" s="65"/>
      <c r="AH755" s="65"/>
      <c r="AI755" s="65"/>
      <c r="AJ755" s="65"/>
      <c r="AK755" s="65"/>
      <c r="AL755" s="65"/>
      <c r="AM755" s="65"/>
    </row>
    <row r="756">
      <c r="AB756" s="65"/>
      <c r="AC756" s="65"/>
      <c r="AD756" s="65"/>
      <c r="AE756" s="65"/>
      <c r="AF756" s="65"/>
      <c r="AG756" s="65"/>
      <c r="AH756" s="65"/>
      <c r="AI756" s="65"/>
      <c r="AJ756" s="65"/>
      <c r="AK756" s="65"/>
      <c r="AL756" s="65"/>
      <c r="AM756" s="65"/>
    </row>
    <row r="757">
      <c r="AB757" s="65"/>
      <c r="AC757" s="65"/>
      <c r="AD757" s="65"/>
      <c r="AE757" s="65"/>
      <c r="AF757" s="65"/>
      <c r="AG757" s="65"/>
      <c r="AH757" s="65"/>
      <c r="AI757" s="65"/>
      <c r="AJ757" s="65"/>
      <c r="AK757" s="65"/>
      <c r="AL757" s="65"/>
      <c r="AM757" s="65"/>
    </row>
    <row r="758">
      <c r="AB758" s="65"/>
      <c r="AC758" s="65"/>
      <c r="AD758" s="65"/>
      <c r="AE758" s="65"/>
      <c r="AF758" s="65"/>
      <c r="AG758" s="65"/>
      <c r="AH758" s="65"/>
      <c r="AI758" s="65"/>
      <c r="AJ758" s="65"/>
      <c r="AK758" s="65"/>
      <c r="AL758" s="65"/>
      <c r="AM758" s="65"/>
    </row>
    <row r="759">
      <c r="AB759" s="65"/>
      <c r="AC759" s="65"/>
      <c r="AD759" s="65"/>
      <c r="AE759" s="65"/>
      <c r="AF759" s="65"/>
      <c r="AG759" s="65"/>
      <c r="AH759" s="65"/>
      <c r="AI759" s="65"/>
      <c r="AJ759" s="65"/>
      <c r="AK759" s="65"/>
      <c r="AL759" s="65"/>
      <c r="AM759" s="65"/>
    </row>
    <row r="760">
      <c r="AB760" s="65"/>
      <c r="AC760" s="65"/>
      <c r="AD760" s="65"/>
      <c r="AE760" s="65"/>
      <c r="AF760" s="65"/>
      <c r="AG760" s="65"/>
      <c r="AH760" s="65"/>
      <c r="AI760" s="65"/>
      <c r="AJ760" s="65"/>
      <c r="AK760" s="65"/>
      <c r="AL760" s="65"/>
      <c r="AM760" s="65"/>
    </row>
    <row r="761">
      <c r="AB761" s="65"/>
      <c r="AC761" s="65"/>
      <c r="AD761" s="65"/>
      <c r="AE761" s="65"/>
      <c r="AF761" s="65"/>
      <c r="AG761" s="65"/>
      <c r="AH761" s="65"/>
      <c r="AI761" s="65"/>
      <c r="AJ761" s="65"/>
      <c r="AK761" s="65"/>
      <c r="AL761" s="65"/>
      <c r="AM761" s="65"/>
    </row>
    <row r="762">
      <c r="AB762" s="65"/>
      <c r="AC762" s="65"/>
      <c r="AD762" s="65"/>
      <c r="AE762" s="65"/>
      <c r="AF762" s="65"/>
      <c r="AG762" s="65"/>
      <c r="AH762" s="65"/>
      <c r="AI762" s="65"/>
      <c r="AJ762" s="65"/>
      <c r="AK762" s="65"/>
      <c r="AL762" s="65"/>
      <c r="AM762" s="65"/>
    </row>
    <row r="763">
      <c r="AB763" s="65"/>
      <c r="AC763" s="65"/>
      <c r="AD763" s="65"/>
      <c r="AE763" s="65"/>
      <c r="AF763" s="65"/>
      <c r="AG763" s="65"/>
      <c r="AH763" s="65"/>
      <c r="AI763" s="65"/>
      <c r="AJ763" s="65"/>
      <c r="AK763" s="65"/>
      <c r="AL763" s="65"/>
      <c r="AM763" s="65"/>
    </row>
    <row r="764">
      <c r="AB764" s="65"/>
      <c r="AC764" s="65"/>
      <c r="AD764" s="65"/>
      <c r="AE764" s="65"/>
      <c r="AF764" s="65"/>
      <c r="AG764" s="65"/>
      <c r="AH764" s="65"/>
      <c r="AI764" s="65"/>
      <c r="AJ764" s="65"/>
      <c r="AK764" s="65"/>
      <c r="AL764" s="65"/>
      <c r="AM764" s="65"/>
    </row>
    <row r="765">
      <c r="AB765" s="65"/>
      <c r="AC765" s="65"/>
      <c r="AD765" s="65"/>
      <c r="AE765" s="65"/>
      <c r="AF765" s="65"/>
      <c r="AG765" s="65"/>
      <c r="AH765" s="65"/>
      <c r="AI765" s="65"/>
      <c r="AJ765" s="65"/>
      <c r="AK765" s="65"/>
      <c r="AL765" s="65"/>
      <c r="AM765" s="65"/>
    </row>
    <row r="766">
      <c r="AB766" s="65"/>
      <c r="AC766" s="65"/>
      <c r="AD766" s="65"/>
      <c r="AE766" s="65"/>
      <c r="AF766" s="65"/>
      <c r="AG766" s="65"/>
      <c r="AH766" s="65"/>
      <c r="AI766" s="65"/>
      <c r="AJ766" s="65"/>
      <c r="AK766" s="65"/>
      <c r="AL766" s="65"/>
      <c r="AM766" s="65"/>
    </row>
    <row r="767">
      <c r="AB767" s="65"/>
      <c r="AC767" s="65"/>
      <c r="AD767" s="65"/>
      <c r="AE767" s="65"/>
      <c r="AF767" s="65"/>
      <c r="AG767" s="65"/>
      <c r="AH767" s="65"/>
      <c r="AI767" s="65"/>
      <c r="AJ767" s="65"/>
      <c r="AK767" s="65"/>
      <c r="AL767" s="65"/>
      <c r="AM767" s="65"/>
    </row>
    <row r="768">
      <c r="AB768" s="65"/>
      <c r="AC768" s="65"/>
      <c r="AD768" s="65"/>
      <c r="AE768" s="65"/>
      <c r="AF768" s="65"/>
      <c r="AG768" s="65"/>
      <c r="AH768" s="65"/>
      <c r="AI768" s="65"/>
      <c r="AJ768" s="65"/>
      <c r="AK768" s="65"/>
      <c r="AL768" s="65"/>
      <c r="AM768" s="65"/>
    </row>
    <row r="769">
      <c r="AB769" s="65"/>
      <c r="AC769" s="65"/>
      <c r="AD769" s="65"/>
      <c r="AE769" s="65"/>
      <c r="AF769" s="65"/>
      <c r="AG769" s="65"/>
      <c r="AH769" s="65"/>
      <c r="AI769" s="65"/>
      <c r="AJ769" s="65"/>
      <c r="AK769" s="65"/>
      <c r="AL769" s="65"/>
      <c r="AM769" s="65"/>
    </row>
    <row r="770">
      <c r="AB770" s="65"/>
      <c r="AC770" s="65"/>
      <c r="AD770" s="65"/>
      <c r="AE770" s="65"/>
      <c r="AF770" s="65"/>
      <c r="AG770" s="65"/>
      <c r="AH770" s="65"/>
      <c r="AI770" s="65"/>
      <c r="AJ770" s="65"/>
      <c r="AK770" s="65"/>
      <c r="AL770" s="65"/>
      <c r="AM770" s="65"/>
    </row>
    <row r="771">
      <c r="AB771" s="65"/>
      <c r="AC771" s="65"/>
      <c r="AD771" s="65"/>
      <c r="AE771" s="65"/>
      <c r="AF771" s="65"/>
      <c r="AG771" s="65"/>
      <c r="AH771" s="65"/>
      <c r="AI771" s="65"/>
      <c r="AJ771" s="65"/>
      <c r="AK771" s="65"/>
      <c r="AL771" s="65"/>
      <c r="AM771" s="65"/>
    </row>
    <row r="772">
      <c r="AB772" s="65"/>
      <c r="AC772" s="65"/>
      <c r="AD772" s="65"/>
      <c r="AE772" s="65"/>
      <c r="AF772" s="65"/>
      <c r="AG772" s="65"/>
      <c r="AH772" s="65"/>
      <c r="AI772" s="65"/>
      <c r="AJ772" s="65"/>
      <c r="AK772" s="65"/>
      <c r="AL772" s="65"/>
      <c r="AM772" s="65"/>
    </row>
    <row r="773">
      <c r="AB773" s="65"/>
      <c r="AC773" s="65"/>
      <c r="AD773" s="65"/>
      <c r="AE773" s="65"/>
      <c r="AF773" s="65"/>
      <c r="AG773" s="65"/>
      <c r="AH773" s="65"/>
      <c r="AI773" s="65"/>
      <c r="AJ773" s="65"/>
      <c r="AK773" s="65"/>
      <c r="AL773" s="65"/>
      <c r="AM773" s="65"/>
    </row>
    <row r="774">
      <c r="AB774" s="65"/>
      <c r="AC774" s="65"/>
      <c r="AD774" s="65"/>
      <c r="AE774" s="65"/>
      <c r="AF774" s="65"/>
      <c r="AG774" s="65"/>
      <c r="AH774" s="65"/>
      <c r="AI774" s="65"/>
      <c r="AJ774" s="65"/>
      <c r="AK774" s="65"/>
      <c r="AL774" s="65"/>
      <c r="AM774" s="65"/>
    </row>
    <row r="775">
      <c r="AB775" s="65"/>
      <c r="AC775" s="65"/>
      <c r="AD775" s="65"/>
      <c r="AE775" s="65"/>
      <c r="AF775" s="65"/>
      <c r="AG775" s="65"/>
      <c r="AH775" s="65"/>
      <c r="AI775" s="65"/>
      <c r="AJ775" s="65"/>
      <c r="AK775" s="65"/>
      <c r="AL775" s="65"/>
      <c r="AM775" s="65"/>
    </row>
    <row r="776">
      <c r="AB776" s="65"/>
      <c r="AC776" s="65"/>
      <c r="AD776" s="65"/>
      <c r="AE776" s="65"/>
      <c r="AF776" s="65"/>
      <c r="AG776" s="65"/>
      <c r="AH776" s="65"/>
      <c r="AI776" s="65"/>
      <c r="AJ776" s="65"/>
      <c r="AK776" s="65"/>
      <c r="AL776" s="65"/>
      <c r="AM776" s="65"/>
    </row>
    <row r="777">
      <c r="AB777" s="65"/>
      <c r="AC777" s="65"/>
      <c r="AD777" s="65"/>
      <c r="AE777" s="65"/>
      <c r="AF777" s="65"/>
      <c r="AG777" s="65"/>
      <c r="AH777" s="65"/>
      <c r="AI777" s="65"/>
      <c r="AJ777" s="65"/>
      <c r="AK777" s="65"/>
      <c r="AL777" s="65"/>
      <c r="AM777" s="65"/>
    </row>
    <row r="778">
      <c r="AB778" s="65"/>
      <c r="AC778" s="65"/>
      <c r="AD778" s="65"/>
      <c r="AE778" s="65"/>
      <c r="AF778" s="65"/>
      <c r="AG778" s="65"/>
      <c r="AH778" s="65"/>
      <c r="AI778" s="65"/>
      <c r="AJ778" s="65"/>
      <c r="AK778" s="65"/>
      <c r="AL778" s="65"/>
      <c r="AM778" s="65"/>
    </row>
    <row r="779">
      <c r="AB779" s="65"/>
      <c r="AC779" s="65"/>
      <c r="AD779" s="65"/>
      <c r="AE779" s="65"/>
      <c r="AF779" s="65"/>
      <c r="AG779" s="65"/>
      <c r="AH779" s="65"/>
      <c r="AI779" s="65"/>
      <c r="AJ779" s="65"/>
      <c r="AK779" s="65"/>
      <c r="AL779" s="65"/>
      <c r="AM779" s="65"/>
    </row>
    <row r="780">
      <c r="AB780" s="65"/>
      <c r="AC780" s="65"/>
      <c r="AD780" s="65"/>
      <c r="AE780" s="65"/>
      <c r="AF780" s="65"/>
      <c r="AG780" s="65"/>
      <c r="AH780" s="65"/>
      <c r="AI780" s="65"/>
      <c r="AJ780" s="65"/>
      <c r="AK780" s="65"/>
      <c r="AL780" s="65"/>
      <c r="AM780" s="65"/>
    </row>
    <row r="781">
      <c r="AB781" s="65"/>
      <c r="AC781" s="65"/>
      <c r="AD781" s="65"/>
      <c r="AE781" s="65"/>
      <c r="AF781" s="65"/>
      <c r="AG781" s="65"/>
      <c r="AH781" s="65"/>
      <c r="AI781" s="65"/>
      <c r="AJ781" s="65"/>
      <c r="AK781" s="65"/>
      <c r="AL781" s="65"/>
      <c r="AM781" s="65"/>
    </row>
    <row r="782">
      <c r="AB782" s="65"/>
      <c r="AC782" s="65"/>
      <c r="AD782" s="65"/>
      <c r="AE782" s="65"/>
      <c r="AF782" s="65"/>
      <c r="AG782" s="65"/>
      <c r="AH782" s="65"/>
      <c r="AI782" s="65"/>
      <c r="AJ782" s="65"/>
      <c r="AK782" s="65"/>
      <c r="AL782" s="65"/>
      <c r="AM782" s="65"/>
    </row>
    <row r="783">
      <c r="AB783" s="65"/>
      <c r="AC783" s="65"/>
      <c r="AD783" s="65"/>
      <c r="AE783" s="65"/>
      <c r="AF783" s="65"/>
      <c r="AG783" s="65"/>
      <c r="AH783" s="65"/>
      <c r="AI783" s="65"/>
      <c r="AJ783" s="65"/>
      <c r="AK783" s="65"/>
      <c r="AL783" s="65"/>
      <c r="AM783" s="65"/>
    </row>
    <row r="784">
      <c r="AB784" s="65"/>
      <c r="AC784" s="65"/>
      <c r="AD784" s="65"/>
      <c r="AE784" s="65"/>
      <c r="AF784" s="65"/>
      <c r="AG784" s="65"/>
      <c r="AH784" s="65"/>
      <c r="AI784" s="65"/>
      <c r="AJ784" s="65"/>
      <c r="AK784" s="65"/>
      <c r="AL784" s="65"/>
      <c r="AM784" s="65"/>
    </row>
    <row r="785">
      <c r="AB785" s="65"/>
      <c r="AC785" s="65"/>
      <c r="AD785" s="65"/>
      <c r="AE785" s="65"/>
      <c r="AF785" s="65"/>
      <c r="AG785" s="65"/>
      <c r="AH785" s="65"/>
      <c r="AI785" s="65"/>
      <c r="AJ785" s="65"/>
      <c r="AK785" s="65"/>
      <c r="AL785" s="65"/>
      <c r="AM785" s="65"/>
    </row>
    <row r="786">
      <c r="AB786" s="65"/>
      <c r="AC786" s="65"/>
      <c r="AD786" s="65"/>
      <c r="AE786" s="65"/>
      <c r="AF786" s="65"/>
      <c r="AG786" s="65"/>
      <c r="AH786" s="65"/>
      <c r="AI786" s="65"/>
      <c r="AJ786" s="65"/>
      <c r="AK786" s="65"/>
      <c r="AL786" s="65"/>
      <c r="AM786" s="65"/>
    </row>
    <row r="787">
      <c r="AB787" s="65"/>
      <c r="AC787" s="65"/>
      <c r="AD787" s="65"/>
      <c r="AE787" s="65"/>
      <c r="AF787" s="65"/>
      <c r="AG787" s="65"/>
      <c r="AH787" s="65"/>
      <c r="AI787" s="65"/>
      <c r="AJ787" s="65"/>
      <c r="AK787" s="65"/>
      <c r="AL787" s="65"/>
      <c r="AM787" s="65"/>
    </row>
    <row r="788">
      <c r="AB788" s="65"/>
      <c r="AC788" s="65"/>
      <c r="AD788" s="65"/>
      <c r="AE788" s="65"/>
      <c r="AF788" s="65"/>
      <c r="AG788" s="65"/>
      <c r="AH788" s="65"/>
      <c r="AI788" s="65"/>
      <c r="AJ788" s="65"/>
      <c r="AK788" s="65"/>
      <c r="AL788" s="65"/>
      <c r="AM788" s="65"/>
    </row>
    <row r="789">
      <c r="AB789" s="65"/>
      <c r="AC789" s="65"/>
      <c r="AD789" s="65"/>
      <c r="AE789" s="65"/>
      <c r="AF789" s="65"/>
      <c r="AG789" s="65"/>
      <c r="AH789" s="65"/>
      <c r="AI789" s="65"/>
      <c r="AJ789" s="65"/>
      <c r="AK789" s="65"/>
      <c r="AL789" s="65"/>
      <c r="AM789" s="65"/>
    </row>
    <row r="790">
      <c r="AB790" s="65"/>
      <c r="AC790" s="65"/>
      <c r="AD790" s="65"/>
      <c r="AE790" s="65"/>
      <c r="AF790" s="65"/>
      <c r="AG790" s="65"/>
      <c r="AH790" s="65"/>
      <c r="AI790" s="65"/>
      <c r="AJ790" s="65"/>
      <c r="AK790" s="65"/>
      <c r="AL790" s="65"/>
      <c r="AM790" s="65"/>
    </row>
    <row r="791">
      <c r="AB791" s="65"/>
      <c r="AC791" s="65"/>
      <c r="AD791" s="65"/>
      <c r="AE791" s="65"/>
      <c r="AF791" s="65"/>
      <c r="AG791" s="65"/>
      <c r="AH791" s="65"/>
      <c r="AI791" s="65"/>
      <c r="AJ791" s="65"/>
      <c r="AK791" s="65"/>
      <c r="AL791" s="65"/>
      <c r="AM791" s="65"/>
    </row>
    <row r="792">
      <c r="AB792" s="65"/>
      <c r="AC792" s="65"/>
      <c r="AD792" s="65"/>
      <c r="AE792" s="65"/>
      <c r="AF792" s="65"/>
      <c r="AG792" s="65"/>
      <c r="AH792" s="65"/>
      <c r="AI792" s="65"/>
      <c r="AJ792" s="65"/>
      <c r="AK792" s="65"/>
      <c r="AL792" s="65"/>
      <c r="AM792" s="65"/>
    </row>
    <row r="793">
      <c r="AB793" s="65"/>
      <c r="AC793" s="65"/>
      <c r="AD793" s="65"/>
      <c r="AE793" s="65"/>
      <c r="AF793" s="65"/>
      <c r="AG793" s="65"/>
      <c r="AH793" s="65"/>
      <c r="AI793" s="65"/>
      <c r="AJ793" s="65"/>
      <c r="AK793" s="65"/>
      <c r="AL793" s="65"/>
      <c r="AM793" s="65"/>
    </row>
    <row r="794">
      <c r="AB794" s="65"/>
      <c r="AC794" s="65"/>
      <c r="AD794" s="65"/>
      <c r="AE794" s="65"/>
      <c r="AF794" s="65"/>
      <c r="AG794" s="65"/>
      <c r="AH794" s="65"/>
      <c r="AI794" s="65"/>
      <c r="AJ794" s="65"/>
      <c r="AK794" s="65"/>
      <c r="AL794" s="65"/>
      <c r="AM794" s="65"/>
    </row>
    <row r="795">
      <c r="AB795" s="65"/>
      <c r="AC795" s="65"/>
      <c r="AD795" s="65"/>
      <c r="AE795" s="65"/>
      <c r="AF795" s="65"/>
      <c r="AG795" s="65"/>
      <c r="AH795" s="65"/>
      <c r="AI795" s="65"/>
      <c r="AJ795" s="65"/>
      <c r="AK795" s="65"/>
      <c r="AL795" s="65"/>
      <c r="AM795" s="65"/>
    </row>
    <row r="796">
      <c r="AB796" s="65"/>
      <c r="AC796" s="65"/>
      <c r="AD796" s="65"/>
      <c r="AE796" s="65"/>
      <c r="AF796" s="65"/>
      <c r="AG796" s="65"/>
      <c r="AH796" s="65"/>
      <c r="AI796" s="65"/>
      <c r="AJ796" s="65"/>
      <c r="AK796" s="65"/>
      <c r="AL796" s="65"/>
      <c r="AM796" s="65"/>
    </row>
    <row r="797">
      <c r="AB797" s="65"/>
      <c r="AC797" s="65"/>
      <c r="AD797" s="65"/>
      <c r="AE797" s="65"/>
      <c r="AF797" s="65"/>
      <c r="AG797" s="65"/>
      <c r="AH797" s="65"/>
      <c r="AI797" s="65"/>
      <c r="AJ797" s="65"/>
      <c r="AK797" s="65"/>
      <c r="AL797" s="65"/>
      <c r="AM797" s="65"/>
    </row>
    <row r="798">
      <c r="AB798" s="65"/>
      <c r="AC798" s="65"/>
      <c r="AD798" s="65"/>
      <c r="AE798" s="65"/>
      <c r="AF798" s="65"/>
      <c r="AG798" s="65"/>
      <c r="AH798" s="65"/>
      <c r="AI798" s="65"/>
      <c r="AJ798" s="65"/>
      <c r="AK798" s="65"/>
      <c r="AL798" s="65"/>
      <c r="AM798" s="65"/>
    </row>
    <row r="799">
      <c r="AB799" s="65"/>
      <c r="AC799" s="65"/>
      <c r="AD799" s="65"/>
      <c r="AE799" s="65"/>
      <c r="AF799" s="65"/>
      <c r="AG799" s="65"/>
      <c r="AH799" s="65"/>
      <c r="AI799" s="65"/>
      <c r="AJ799" s="65"/>
      <c r="AK799" s="65"/>
      <c r="AL799" s="65"/>
      <c r="AM799" s="65"/>
    </row>
    <row r="800">
      <c r="AB800" s="65"/>
      <c r="AC800" s="65"/>
      <c r="AD800" s="65"/>
      <c r="AE800" s="65"/>
      <c r="AF800" s="65"/>
      <c r="AG800" s="65"/>
      <c r="AH800" s="65"/>
      <c r="AI800" s="65"/>
      <c r="AJ800" s="65"/>
      <c r="AK800" s="65"/>
      <c r="AL800" s="65"/>
      <c r="AM800" s="65"/>
    </row>
    <row r="801">
      <c r="AB801" s="65"/>
      <c r="AC801" s="65"/>
      <c r="AD801" s="65"/>
      <c r="AE801" s="65"/>
      <c r="AF801" s="65"/>
      <c r="AG801" s="65"/>
      <c r="AH801" s="65"/>
      <c r="AI801" s="65"/>
      <c r="AJ801" s="65"/>
      <c r="AK801" s="65"/>
      <c r="AL801" s="65"/>
      <c r="AM801" s="65"/>
    </row>
    <row r="802">
      <c r="AB802" s="65"/>
      <c r="AC802" s="65"/>
      <c r="AD802" s="65"/>
      <c r="AE802" s="65"/>
      <c r="AF802" s="65"/>
      <c r="AG802" s="65"/>
      <c r="AH802" s="65"/>
      <c r="AI802" s="65"/>
      <c r="AJ802" s="65"/>
      <c r="AK802" s="65"/>
      <c r="AL802" s="65"/>
      <c r="AM802" s="65"/>
    </row>
    <row r="803">
      <c r="AB803" s="65"/>
      <c r="AC803" s="65"/>
      <c r="AD803" s="65"/>
      <c r="AE803" s="65"/>
      <c r="AF803" s="65"/>
      <c r="AG803" s="65"/>
      <c r="AH803" s="65"/>
      <c r="AI803" s="65"/>
      <c r="AJ803" s="65"/>
      <c r="AK803" s="65"/>
      <c r="AL803" s="65"/>
      <c r="AM803" s="65"/>
    </row>
    <row r="804">
      <c r="AB804" s="65"/>
      <c r="AC804" s="65"/>
      <c r="AD804" s="65"/>
      <c r="AE804" s="65"/>
      <c r="AF804" s="65"/>
      <c r="AG804" s="65"/>
      <c r="AH804" s="65"/>
      <c r="AI804" s="65"/>
      <c r="AJ804" s="65"/>
      <c r="AK804" s="65"/>
      <c r="AL804" s="65"/>
      <c r="AM804" s="65"/>
    </row>
    <row r="805">
      <c r="AB805" s="65"/>
      <c r="AC805" s="65"/>
      <c r="AD805" s="65"/>
      <c r="AE805" s="65"/>
      <c r="AF805" s="65"/>
      <c r="AG805" s="65"/>
      <c r="AH805" s="65"/>
      <c r="AI805" s="65"/>
      <c r="AJ805" s="65"/>
      <c r="AK805" s="65"/>
      <c r="AL805" s="65"/>
      <c r="AM805" s="65"/>
    </row>
    <row r="806">
      <c r="AB806" s="65"/>
      <c r="AC806" s="65"/>
      <c r="AD806" s="65"/>
      <c r="AE806" s="65"/>
      <c r="AF806" s="65"/>
      <c r="AG806" s="65"/>
      <c r="AH806" s="65"/>
      <c r="AI806" s="65"/>
      <c r="AJ806" s="65"/>
      <c r="AK806" s="65"/>
      <c r="AL806" s="65"/>
      <c r="AM806" s="65"/>
    </row>
    <row r="807">
      <c r="AB807" s="65"/>
      <c r="AC807" s="65"/>
      <c r="AD807" s="65"/>
      <c r="AE807" s="65"/>
      <c r="AF807" s="65"/>
      <c r="AG807" s="65"/>
      <c r="AH807" s="65"/>
      <c r="AI807" s="65"/>
      <c r="AJ807" s="65"/>
      <c r="AK807" s="65"/>
      <c r="AL807" s="65"/>
      <c r="AM807" s="65"/>
    </row>
    <row r="808">
      <c r="AB808" s="65"/>
      <c r="AC808" s="65"/>
      <c r="AD808" s="65"/>
      <c r="AE808" s="65"/>
      <c r="AF808" s="65"/>
      <c r="AG808" s="65"/>
      <c r="AH808" s="65"/>
      <c r="AI808" s="65"/>
      <c r="AJ808" s="65"/>
      <c r="AK808" s="65"/>
      <c r="AL808" s="65"/>
      <c r="AM808" s="65"/>
    </row>
    <row r="809">
      <c r="AB809" s="65"/>
      <c r="AC809" s="65"/>
      <c r="AD809" s="65"/>
      <c r="AE809" s="65"/>
      <c r="AF809" s="65"/>
      <c r="AG809" s="65"/>
      <c r="AH809" s="65"/>
      <c r="AI809" s="65"/>
      <c r="AJ809" s="65"/>
      <c r="AK809" s="65"/>
      <c r="AL809" s="65"/>
      <c r="AM809" s="65"/>
    </row>
    <row r="810">
      <c r="AB810" s="65"/>
      <c r="AC810" s="65"/>
      <c r="AD810" s="65"/>
      <c r="AE810" s="65"/>
      <c r="AF810" s="65"/>
      <c r="AG810" s="65"/>
      <c r="AH810" s="65"/>
      <c r="AI810" s="65"/>
      <c r="AJ810" s="65"/>
      <c r="AK810" s="65"/>
      <c r="AL810" s="65"/>
      <c r="AM810" s="65"/>
    </row>
    <row r="811">
      <c r="AB811" s="65"/>
      <c r="AC811" s="65"/>
      <c r="AD811" s="65"/>
      <c r="AE811" s="65"/>
      <c r="AF811" s="65"/>
      <c r="AG811" s="65"/>
      <c r="AH811" s="65"/>
      <c r="AI811" s="65"/>
      <c r="AJ811" s="65"/>
      <c r="AK811" s="65"/>
      <c r="AL811" s="65"/>
      <c r="AM811" s="65"/>
    </row>
    <row r="812">
      <c r="AB812" s="65"/>
      <c r="AC812" s="65"/>
      <c r="AD812" s="65"/>
      <c r="AE812" s="65"/>
      <c r="AF812" s="65"/>
      <c r="AG812" s="65"/>
      <c r="AH812" s="65"/>
      <c r="AI812" s="65"/>
      <c r="AJ812" s="65"/>
      <c r="AK812" s="65"/>
      <c r="AL812" s="65"/>
      <c r="AM812" s="65"/>
    </row>
    <row r="813">
      <c r="AB813" s="65"/>
      <c r="AC813" s="65"/>
      <c r="AD813" s="65"/>
      <c r="AE813" s="65"/>
      <c r="AF813" s="65"/>
      <c r="AG813" s="65"/>
      <c r="AH813" s="65"/>
      <c r="AI813" s="65"/>
      <c r="AJ813" s="65"/>
      <c r="AK813" s="65"/>
      <c r="AL813" s="65"/>
      <c r="AM813" s="65"/>
    </row>
    <row r="814">
      <c r="AB814" s="65"/>
      <c r="AC814" s="65"/>
      <c r="AD814" s="65"/>
      <c r="AE814" s="65"/>
      <c r="AF814" s="65"/>
      <c r="AG814" s="65"/>
      <c r="AH814" s="65"/>
      <c r="AI814" s="65"/>
      <c r="AJ814" s="65"/>
      <c r="AK814" s="65"/>
      <c r="AL814" s="65"/>
      <c r="AM814" s="65"/>
    </row>
    <row r="815">
      <c r="AB815" s="65"/>
      <c r="AC815" s="65"/>
      <c r="AD815" s="65"/>
      <c r="AE815" s="65"/>
      <c r="AF815" s="65"/>
      <c r="AG815" s="65"/>
      <c r="AH815" s="65"/>
      <c r="AI815" s="65"/>
      <c r="AJ815" s="65"/>
      <c r="AK815" s="65"/>
      <c r="AL815" s="65"/>
      <c r="AM815" s="65"/>
    </row>
    <row r="816">
      <c r="AB816" s="65"/>
      <c r="AC816" s="65"/>
      <c r="AD816" s="65"/>
      <c r="AE816" s="65"/>
      <c r="AF816" s="65"/>
      <c r="AG816" s="65"/>
      <c r="AH816" s="65"/>
      <c r="AI816" s="65"/>
      <c r="AJ816" s="65"/>
      <c r="AK816" s="65"/>
      <c r="AL816" s="65"/>
      <c r="AM816" s="65"/>
    </row>
    <row r="817">
      <c r="AB817" s="65"/>
      <c r="AC817" s="65"/>
      <c r="AD817" s="65"/>
      <c r="AE817" s="65"/>
      <c r="AF817" s="65"/>
      <c r="AG817" s="65"/>
      <c r="AH817" s="65"/>
      <c r="AI817" s="65"/>
      <c r="AJ817" s="65"/>
      <c r="AK817" s="65"/>
      <c r="AL817" s="65"/>
      <c r="AM817" s="65"/>
    </row>
    <row r="818">
      <c r="AB818" s="65"/>
      <c r="AC818" s="65"/>
      <c r="AD818" s="65"/>
      <c r="AE818" s="65"/>
      <c r="AF818" s="65"/>
      <c r="AG818" s="65"/>
      <c r="AH818" s="65"/>
      <c r="AI818" s="65"/>
      <c r="AJ818" s="65"/>
      <c r="AK818" s="65"/>
      <c r="AL818" s="65"/>
      <c r="AM818" s="65"/>
    </row>
    <row r="819">
      <c r="AB819" s="65"/>
      <c r="AC819" s="65"/>
      <c r="AD819" s="65"/>
      <c r="AE819" s="65"/>
      <c r="AF819" s="65"/>
      <c r="AG819" s="65"/>
      <c r="AH819" s="65"/>
      <c r="AI819" s="65"/>
      <c r="AJ819" s="65"/>
      <c r="AK819" s="65"/>
      <c r="AL819" s="65"/>
      <c r="AM819" s="65"/>
    </row>
    <row r="820">
      <c r="AB820" s="65"/>
      <c r="AC820" s="65"/>
      <c r="AD820" s="65"/>
      <c r="AE820" s="65"/>
      <c r="AF820" s="65"/>
      <c r="AG820" s="65"/>
      <c r="AH820" s="65"/>
      <c r="AI820" s="65"/>
      <c r="AJ820" s="65"/>
      <c r="AK820" s="65"/>
      <c r="AL820" s="65"/>
      <c r="AM820" s="65"/>
    </row>
    <row r="821">
      <c r="AB821" s="65"/>
      <c r="AC821" s="65"/>
      <c r="AD821" s="65"/>
      <c r="AE821" s="65"/>
      <c r="AF821" s="65"/>
      <c r="AG821" s="65"/>
      <c r="AH821" s="65"/>
      <c r="AI821" s="65"/>
      <c r="AJ821" s="65"/>
      <c r="AK821" s="65"/>
      <c r="AL821" s="65"/>
      <c r="AM821" s="65"/>
    </row>
    <row r="822">
      <c r="AB822" s="65"/>
      <c r="AC822" s="65"/>
      <c r="AD822" s="65"/>
      <c r="AE822" s="65"/>
      <c r="AF822" s="65"/>
      <c r="AG822" s="65"/>
      <c r="AH822" s="65"/>
      <c r="AI822" s="65"/>
      <c r="AJ822" s="65"/>
      <c r="AK822" s="65"/>
      <c r="AL822" s="65"/>
      <c r="AM822" s="65"/>
    </row>
    <row r="823">
      <c r="AB823" s="65"/>
      <c r="AC823" s="65"/>
      <c r="AD823" s="65"/>
      <c r="AE823" s="65"/>
      <c r="AF823" s="65"/>
      <c r="AG823" s="65"/>
      <c r="AH823" s="65"/>
      <c r="AI823" s="65"/>
      <c r="AJ823" s="65"/>
      <c r="AK823" s="65"/>
      <c r="AL823" s="65"/>
      <c r="AM823" s="65"/>
    </row>
    <row r="824">
      <c r="AB824" s="65"/>
      <c r="AC824" s="65"/>
      <c r="AD824" s="65"/>
      <c r="AE824" s="65"/>
      <c r="AF824" s="65"/>
      <c r="AG824" s="65"/>
      <c r="AH824" s="65"/>
      <c r="AI824" s="65"/>
      <c r="AJ824" s="65"/>
      <c r="AK824" s="65"/>
      <c r="AL824" s="65"/>
      <c r="AM824" s="65"/>
    </row>
    <row r="825">
      <c r="AB825" s="65"/>
      <c r="AC825" s="65"/>
      <c r="AD825" s="65"/>
      <c r="AE825" s="65"/>
      <c r="AF825" s="65"/>
      <c r="AG825" s="65"/>
      <c r="AH825" s="65"/>
      <c r="AI825" s="65"/>
      <c r="AJ825" s="65"/>
      <c r="AK825" s="65"/>
      <c r="AL825" s="65"/>
      <c r="AM825" s="65"/>
    </row>
    <row r="826">
      <c r="AB826" s="65"/>
      <c r="AC826" s="65"/>
      <c r="AD826" s="65"/>
      <c r="AE826" s="65"/>
      <c r="AF826" s="65"/>
      <c r="AG826" s="65"/>
      <c r="AH826" s="65"/>
      <c r="AI826" s="65"/>
      <c r="AJ826" s="65"/>
      <c r="AK826" s="65"/>
      <c r="AL826" s="65"/>
      <c r="AM826" s="65"/>
    </row>
    <row r="827">
      <c r="AB827" s="65"/>
      <c r="AC827" s="65"/>
      <c r="AD827" s="65"/>
      <c r="AE827" s="65"/>
      <c r="AF827" s="65"/>
      <c r="AG827" s="65"/>
      <c r="AH827" s="65"/>
      <c r="AI827" s="65"/>
      <c r="AJ827" s="65"/>
      <c r="AK827" s="65"/>
      <c r="AL827" s="65"/>
      <c r="AM827" s="65"/>
    </row>
    <row r="828">
      <c r="AB828" s="65"/>
      <c r="AC828" s="65"/>
      <c r="AD828" s="65"/>
      <c r="AE828" s="65"/>
      <c r="AF828" s="65"/>
      <c r="AG828" s="65"/>
      <c r="AH828" s="65"/>
      <c r="AI828" s="65"/>
      <c r="AJ828" s="65"/>
      <c r="AK828" s="65"/>
      <c r="AL828" s="65"/>
      <c r="AM828" s="65"/>
    </row>
    <row r="829">
      <c r="AB829" s="65"/>
      <c r="AC829" s="65"/>
      <c r="AD829" s="65"/>
      <c r="AE829" s="65"/>
      <c r="AF829" s="65"/>
      <c r="AG829" s="65"/>
      <c r="AH829" s="65"/>
      <c r="AI829" s="65"/>
      <c r="AJ829" s="65"/>
      <c r="AK829" s="65"/>
      <c r="AL829" s="65"/>
      <c r="AM829" s="65"/>
    </row>
    <row r="830">
      <c r="AB830" s="65"/>
      <c r="AC830" s="65"/>
      <c r="AD830" s="65"/>
      <c r="AE830" s="65"/>
      <c r="AF830" s="65"/>
      <c r="AG830" s="65"/>
      <c r="AH830" s="65"/>
      <c r="AI830" s="65"/>
      <c r="AJ830" s="65"/>
      <c r="AK830" s="65"/>
      <c r="AL830" s="65"/>
      <c r="AM830" s="65"/>
    </row>
    <row r="831">
      <c r="AB831" s="65"/>
      <c r="AC831" s="65"/>
      <c r="AD831" s="65"/>
      <c r="AE831" s="65"/>
      <c r="AF831" s="65"/>
      <c r="AG831" s="65"/>
      <c r="AH831" s="65"/>
      <c r="AI831" s="65"/>
      <c r="AJ831" s="65"/>
      <c r="AK831" s="65"/>
      <c r="AL831" s="65"/>
      <c r="AM831" s="65"/>
    </row>
    <row r="832">
      <c r="AB832" s="65"/>
      <c r="AC832" s="65"/>
      <c r="AD832" s="65"/>
      <c r="AE832" s="65"/>
      <c r="AF832" s="65"/>
      <c r="AG832" s="65"/>
      <c r="AH832" s="65"/>
      <c r="AI832" s="65"/>
      <c r="AJ832" s="65"/>
      <c r="AK832" s="65"/>
      <c r="AL832" s="65"/>
      <c r="AM832" s="65"/>
    </row>
    <row r="833">
      <c r="AB833" s="65"/>
      <c r="AC833" s="65"/>
      <c r="AD833" s="65"/>
      <c r="AE833" s="65"/>
      <c r="AF833" s="65"/>
      <c r="AG833" s="65"/>
      <c r="AH833" s="65"/>
      <c r="AI833" s="65"/>
      <c r="AJ833" s="65"/>
      <c r="AK833" s="65"/>
      <c r="AL833" s="65"/>
      <c r="AM833" s="65"/>
    </row>
    <row r="834">
      <c r="AB834" s="65"/>
      <c r="AC834" s="65"/>
      <c r="AD834" s="65"/>
      <c r="AE834" s="65"/>
      <c r="AF834" s="65"/>
      <c r="AG834" s="65"/>
      <c r="AH834" s="65"/>
      <c r="AI834" s="65"/>
      <c r="AJ834" s="65"/>
      <c r="AK834" s="65"/>
      <c r="AL834" s="65"/>
      <c r="AM834" s="65"/>
    </row>
    <row r="835">
      <c r="AB835" s="65"/>
      <c r="AC835" s="65"/>
      <c r="AD835" s="65"/>
      <c r="AE835" s="65"/>
      <c r="AF835" s="65"/>
      <c r="AG835" s="65"/>
      <c r="AH835" s="65"/>
      <c r="AI835" s="65"/>
      <c r="AJ835" s="65"/>
      <c r="AK835" s="65"/>
      <c r="AL835" s="65"/>
      <c r="AM835" s="65"/>
    </row>
    <row r="836">
      <c r="AB836" s="65"/>
      <c r="AC836" s="65"/>
      <c r="AD836" s="65"/>
      <c r="AE836" s="65"/>
      <c r="AF836" s="65"/>
      <c r="AG836" s="65"/>
      <c r="AH836" s="65"/>
      <c r="AI836" s="65"/>
      <c r="AJ836" s="65"/>
      <c r="AK836" s="65"/>
      <c r="AL836" s="65"/>
      <c r="AM836" s="65"/>
    </row>
    <row r="837">
      <c r="AB837" s="65"/>
      <c r="AC837" s="65"/>
      <c r="AD837" s="65"/>
      <c r="AE837" s="65"/>
      <c r="AF837" s="65"/>
      <c r="AG837" s="65"/>
      <c r="AH837" s="65"/>
      <c r="AI837" s="65"/>
      <c r="AJ837" s="65"/>
      <c r="AK837" s="65"/>
      <c r="AL837" s="65"/>
      <c r="AM837" s="65"/>
    </row>
    <row r="838">
      <c r="AB838" s="65"/>
      <c r="AC838" s="65"/>
      <c r="AD838" s="65"/>
      <c r="AE838" s="65"/>
      <c r="AF838" s="65"/>
      <c r="AG838" s="65"/>
      <c r="AH838" s="65"/>
      <c r="AI838" s="65"/>
      <c r="AJ838" s="65"/>
      <c r="AK838" s="65"/>
      <c r="AL838" s="65"/>
      <c r="AM838" s="65"/>
    </row>
    <row r="839">
      <c r="AB839" s="65"/>
      <c r="AC839" s="65"/>
      <c r="AD839" s="65"/>
      <c r="AE839" s="65"/>
      <c r="AF839" s="65"/>
      <c r="AG839" s="65"/>
      <c r="AH839" s="65"/>
      <c r="AI839" s="65"/>
      <c r="AJ839" s="65"/>
      <c r="AK839" s="65"/>
      <c r="AL839" s="65"/>
      <c r="AM839" s="65"/>
    </row>
    <row r="840">
      <c r="AB840" s="65"/>
      <c r="AC840" s="65"/>
      <c r="AD840" s="65"/>
      <c r="AE840" s="65"/>
      <c r="AF840" s="65"/>
      <c r="AG840" s="65"/>
      <c r="AH840" s="65"/>
      <c r="AI840" s="65"/>
      <c r="AJ840" s="65"/>
      <c r="AK840" s="65"/>
      <c r="AL840" s="65"/>
      <c r="AM840" s="65"/>
    </row>
    <row r="841">
      <c r="AB841" s="65"/>
      <c r="AC841" s="65"/>
      <c r="AD841" s="65"/>
      <c r="AE841" s="65"/>
      <c r="AF841" s="65"/>
      <c r="AG841" s="65"/>
      <c r="AH841" s="65"/>
      <c r="AI841" s="65"/>
      <c r="AJ841" s="65"/>
      <c r="AK841" s="65"/>
      <c r="AL841" s="65"/>
      <c r="AM841" s="65"/>
    </row>
    <row r="842">
      <c r="AB842" s="65"/>
      <c r="AC842" s="65"/>
      <c r="AD842" s="65"/>
      <c r="AE842" s="65"/>
      <c r="AF842" s="65"/>
      <c r="AG842" s="65"/>
      <c r="AH842" s="65"/>
      <c r="AI842" s="65"/>
      <c r="AJ842" s="65"/>
      <c r="AK842" s="65"/>
      <c r="AL842" s="65"/>
      <c r="AM842" s="65"/>
    </row>
    <row r="843">
      <c r="AB843" s="65"/>
      <c r="AC843" s="65"/>
      <c r="AD843" s="65"/>
      <c r="AE843" s="65"/>
      <c r="AF843" s="65"/>
      <c r="AG843" s="65"/>
      <c r="AH843" s="65"/>
      <c r="AI843" s="65"/>
      <c r="AJ843" s="65"/>
      <c r="AK843" s="65"/>
      <c r="AL843" s="65"/>
      <c r="AM843" s="65"/>
    </row>
    <row r="844">
      <c r="AB844" s="65"/>
      <c r="AC844" s="65"/>
      <c r="AD844" s="65"/>
      <c r="AE844" s="65"/>
      <c r="AF844" s="65"/>
      <c r="AG844" s="65"/>
      <c r="AH844" s="65"/>
      <c r="AI844" s="65"/>
      <c r="AJ844" s="65"/>
      <c r="AK844" s="65"/>
      <c r="AL844" s="65"/>
      <c r="AM844" s="65"/>
    </row>
    <row r="845">
      <c r="AB845" s="65"/>
      <c r="AC845" s="65"/>
      <c r="AD845" s="65"/>
      <c r="AE845" s="65"/>
      <c r="AF845" s="65"/>
      <c r="AG845" s="65"/>
      <c r="AH845" s="65"/>
      <c r="AI845" s="65"/>
      <c r="AJ845" s="65"/>
      <c r="AK845" s="65"/>
      <c r="AL845" s="65"/>
      <c r="AM845" s="65"/>
    </row>
    <row r="846">
      <c r="AB846" s="65"/>
      <c r="AC846" s="65"/>
      <c r="AD846" s="65"/>
      <c r="AE846" s="65"/>
      <c r="AF846" s="65"/>
      <c r="AG846" s="65"/>
      <c r="AH846" s="65"/>
      <c r="AI846" s="65"/>
      <c r="AJ846" s="65"/>
      <c r="AK846" s="65"/>
      <c r="AL846" s="65"/>
      <c r="AM846" s="65"/>
    </row>
    <row r="847">
      <c r="AB847" s="65"/>
      <c r="AC847" s="65"/>
      <c r="AD847" s="65"/>
      <c r="AE847" s="65"/>
      <c r="AF847" s="65"/>
      <c r="AG847" s="65"/>
      <c r="AH847" s="65"/>
      <c r="AI847" s="65"/>
      <c r="AJ847" s="65"/>
      <c r="AK847" s="65"/>
      <c r="AL847" s="65"/>
      <c r="AM847" s="65"/>
    </row>
    <row r="848">
      <c r="AB848" s="65"/>
      <c r="AC848" s="65"/>
      <c r="AD848" s="65"/>
      <c r="AE848" s="65"/>
      <c r="AF848" s="65"/>
      <c r="AG848" s="65"/>
      <c r="AH848" s="65"/>
      <c r="AI848" s="65"/>
      <c r="AJ848" s="65"/>
      <c r="AK848" s="65"/>
      <c r="AL848" s="65"/>
      <c r="AM848" s="65"/>
    </row>
    <row r="849">
      <c r="AB849" s="65"/>
      <c r="AC849" s="65"/>
      <c r="AD849" s="65"/>
      <c r="AE849" s="65"/>
      <c r="AF849" s="65"/>
      <c r="AG849" s="65"/>
      <c r="AH849" s="65"/>
      <c r="AI849" s="65"/>
      <c r="AJ849" s="65"/>
      <c r="AK849" s="65"/>
      <c r="AL849" s="65"/>
      <c r="AM849" s="65"/>
    </row>
    <row r="850">
      <c r="AB850" s="65"/>
      <c r="AC850" s="65"/>
      <c r="AD850" s="65"/>
      <c r="AE850" s="65"/>
      <c r="AF850" s="65"/>
      <c r="AG850" s="65"/>
      <c r="AH850" s="65"/>
      <c r="AI850" s="65"/>
      <c r="AJ850" s="65"/>
      <c r="AK850" s="65"/>
      <c r="AL850" s="65"/>
      <c r="AM850" s="65"/>
    </row>
    <row r="851">
      <c r="AB851" s="65"/>
      <c r="AC851" s="65"/>
      <c r="AD851" s="65"/>
      <c r="AE851" s="65"/>
      <c r="AF851" s="65"/>
      <c r="AG851" s="65"/>
      <c r="AH851" s="65"/>
      <c r="AI851" s="65"/>
      <c r="AJ851" s="65"/>
      <c r="AK851" s="65"/>
      <c r="AL851" s="65"/>
      <c r="AM851" s="65"/>
    </row>
    <row r="852">
      <c r="AB852" s="65"/>
      <c r="AC852" s="65"/>
      <c r="AD852" s="65"/>
      <c r="AE852" s="65"/>
      <c r="AF852" s="65"/>
      <c r="AG852" s="65"/>
      <c r="AH852" s="65"/>
      <c r="AI852" s="65"/>
      <c r="AJ852" s="65"/>
      <c r="AK852" s="65"/>
      <c r="AL852" s="65"/>
      <c r="AM852" s="65"/>
    </row>
    <row r="853">
      <c r="AB853" s="65"/>
      <c r="AC853" s="65"/>
      <c r="AD853" s="65"/>
      <c r="AE853" s="65"/>
      <c r="AF853" s="65"/>
      <c r="AG853" s="65"/>
      <c r="AH853" s="65"/>
      <c r="AI853" s="65"/>
      <c r="AJ853" s="65"/>
      <c r="AK853" s="65"/>
      <c r="AL853" s="65"/>
      <c r="AM853" s="65"/>
    </row>
    <row r="854">
      <c r="AB854" s="65"/>
      <c r="AC854" s="65"/>
      <c r="AD854" s="65"/>
      <c r="AE854" s="65"/>
      <c r="AF854" s="65"/>
      <c r="AG854" s="65"/>
      <c r="AH854" s="65"/>
      <c r="AI854" s="65"/>
      <c r="AJ854" s="65"/>
      <c r="AK854" s="65"/>
      <c r="AL854" s="65"/>
      <c r="AM854" s="65"/>
    </row>
    <row r="855">
      <c r="AB855" s="65"/>
      <c r="AC855" s="65"/>
      <c r="AD855" s="65"/>
      <c r="AE855" s="65"/>
      <c r="AF855" s="65"/>
      <c r="AG855" s="65"/>
      <c r="AH855" s="65"/>
      <c r="AI855" s="65"/>
      <c r="AJ855" s="65"/>
      <c r="AK855" s="65"/>
      <c r="AL855" s="65"/>
      <c r="AM855" s="65"/>
    </row>
    <row r="856">
      <c r="AB856" s="65"/>
      <c r="AC856" s="65"/>
      <c r="AD856" s="65"/>
      <c r="AE856" s="65"/>
      <c r="AF856" s="65"/>
      <c r="AG856" s="65"/>
      <c r="AH856" s="65"/>
      <c r="AI856" s="65"/>
      <c r="AJ856" s="65"/>
      <c r="AK856" s="65"/>
      <c r="AL856" s="65"/>
      <c r="AM856" s="65"/>
    </row>
    <row r="857">
      <c r="AB857" s="65"/>
      <c r="AC857" s="65"/>
      <c r="AD857" s="65"/>
      <c r="AE857" s="65"/>
      <c r="AF857" s="65"/>
      <c r="AG857" s="65"/>
      <c r="AH857" s="65"/>
      <c r="AI857" s="65"/>
      <c r="AJ857" s="65"/>
      <c r="AK857" s="65"/>
      <c r="AL857" s="65"/>
      <c r="AM857" s="65"/>
    </row>
    <row r="858">
      <c r="AB858" s="65"/>
      <c r="AC858" s="65"/>
      <c r="AD858" s="65"/>
      <c r="AE858" s="65"/>
      <c r="AF858" s="65"/>
      <c r="AG858" s="65"/>
      <c r="AH858" s="65"/>
      <c r="AI858" s="65"/>
      <c r="AJ858" s="65"/>
      <c r="AK858" s="65"/>
      <c r="AL858" s="65"/>
      <c r="AM858" s="65"/>
    </row>
    <row r="859">
      <c r="AB859" s="65"/>
      <c r="AC859" s="65"/>
      <c r="AD859" s="65"/>
      <c r="AE859" s="65"/>
      <c r="AF859" s="65"/>
      <c r="AG859" s="65"/>
      <c r="AH859" s="65"/>
      <c r="AI859" s="65"/>
      <c r="AJ859" s="65"/>
      <c r="AK859" s="65"/>
      <c r="AL859" s="65"/>
      <c r="AM859" s="65"/>
    </row>
    <row r="860">
      <c r="AB860" s="65"/>
      <c r="AC860" s="65"/>
      <c r="AD860" s="65"/>
      <c r="AE860" s="65"/>
      <c r="AF860" s="65"/>
      <c r="AG860" s="65"/>
      <c r="AH860" s="65"/>
      <c r="AI860" s="65"/>
      <c r="AJ860" s="65"/>
      <c r="AK860" s="65"/>
      <c r="AL860" s="65"/>
      <c r="AM860" s="65"/>
    </row>
    <row r="861">
      <c r="AB861" s="65"/>
      <c r="AC861" s="65"/>
      <c r="AD861" s="65"/>
      <c r="AE861" s="65"/>
      <c r="AF861" s="65"/>
      <c r="AG861" s="65"/>
      <c r="AH861" s="65"/>
      <c r="AI861" s="65"/>
      <c r="AJ861" s="65"/>
      <c r="AK861" s="65"/>
      <c r="AL861" s="65"/>
      <c r="AM861" s="65"/>
    </row>
    <row r="862">
      <c r="AB862" s="65"/>
      <c r="AC862" s="65"/>
      <c r="AD862" s="65"/>
      <c r="AE862" s="65"/>
      <c r="AF862" s="65"/>
      <c r="AG862" s="65"/>
      <c r="AH862" s="65"/>
      <c r="AI862" s="65"/>
      <c r="AJ862" s="65"/>
      <c r="AK862" s="65"/>
      <c r="AL862" s="65"/>
      <c r="AM862" s="65"/>
    </row>
    <row r="863">
      <c r="AB863" s="65"/>
      <c r="AC863" s="65"/>
      <c r="AD863" s="65"/>
      <c r="AE863" s="65"/>
      <c r="AF863" s="65"/>
      <c r="AG863" s="65"/>
      <c r="AH863" s="65"/>
      <c r="AI863" s="65"/>
      <c r="AJ863" s="65"/>
      <c r="AK863" s="65"/>
      <c r="AL863" s="65"/>
      <c r="AM863" s="65"/>
    </row>
    <row r="864">
      <c r="AB864" s="65"/>
      <c r="AC864" s="65"/>
      <c r="AD864" s="65"/>
      <c r="AE864" s="65"/>
      <c r="AF864" s="65"/>
      <c r="AG864" s="65"/>
      <c r="AH864" s="65"/>
      <c r="AI864" s="65"/>
      <c r="AJ864" s="65"/>
      <c r="AK864" s="65"/>
      <c r="AL864" s="65"/>
      <c r="AM864" s="65"/>
    </row>
    <row r="865">
      <c r="AB865" s="65"/>
      <c r="AC865" s="65"/>
      <c r="AD865" s="65"/>
      <c r="AE865" s="65"/>
      <c r="AF865" s="65"/>
      <c r="AG865" s="65"/>
      <c r="AH865" s="65"/>
      <c r="AI865" s="65"/>
      <c r="AJ865" s="65"/>
      <c r="AK865" s="65"/>
      <c r="AL865" s="65"/>
      <c r="AM865" s="65"/>
    </row>
    <row r="866">
      <c r="AB866" s="65"/>
      <c r="AC866" s="65"/>
      <c r="AD866" s="65"/>
      <c r="AE866" s="65"/>
      <c r="AF866" s="65"/>
      <c r="AG866" s="65"/>
      <c r="AH866" s="65"/>
      <c r="AI866" s="65"/>
      <c r="AJ866" s="65"/>
      <c r="AK866" s="65"/>
      <c r="AL866" s="65"/>
      <c r="AM866" s="65"/>
    </row>
    <row r="867">
      <c r="AB867" s="65"/>
      <c r="AC867" s="65"/>
      <c r="AD867" s="65"/>
      <c r="AE867" s="65"/>
      <c r="AF867" s="65"/>
      <c r="AG867" s="65"/>
      <c r="AH867" s="65"/>
      <c r="AI867" s="65"/>
      <c r="AJ867" s="65"/>
      <c r="AK867" s="65"/>
      <c r="AL867" s="65"/>
      <c r="AM867" s="65"/>
    </row>
    <row r="868">
      <c r="AB868" s="65"/>
      <c r="AC868" s="65"/>
      <c r="AD868" s="65"/>
      <c r="AE868" s="65"/>
      <c r="AF868" s="65"/>
      <c r="AG868" s="65"/>
      <c r="AH868" s="65"/>
      <c r="AI868" s="65"/>
      <c r="AJ868" s="65"/>
      <c r="AK868" s="65"/>
      <c r="AL868" s="65"/>
      <c r="AM868" s="65"/>
    </row>
    <row r="869">
      <c r="AB869" s="65"/>
      <c r="AC869" s="65"/>
      <c r="AD869" s="65"/>
      <c r="AE869" s="65"/>
      <c r="AF869" s="65"/>
      <c r="AG869" s="65"/>
      <c r="AH869" s="65"/>
      <c r="AI869" s="65"/>
      <c r="AJ869" s="65"/>
      <c r="AK869" s="65"/>
      <c r="AL869" s="65"/>
      <c r="AM869" s="65"/>
    </row>
    <row r="870">
      <c r="AB870" s="65"/>
      <c r="AC870" s="65"/>
      <c r="AD870" s="65"/>
      <c r="AE870" s="65"/>
      <c r="AF870" s="65"/>
      <c r="AG870" s="65"/>
      <c r="AH870" s="65"/>
      <c r="AI870" s="65"/>
      <c r="AJ870" s="65"/>
      <c r="AK870" s="65"/>
      <c r="AL870" s="65"/>
      <c r="AM870" s="65"/>
    </row>
    <row r="871">
      <c r="AB871" s="65"/>
      <c r="AC871" s="65"/>
      <c r="AD871" s="65"/>
      <c r="AE871" s="65"/>
      <c r="AF871" s="65"/>
      <c r="AG871" s="65"/>
      <c r="AH871" s="65"/>
      <c r="AI871" s="65"/>
      <c r="AJ871" s="65"/>
      <c r="AK871" s="65"/>
      <c r="AL871" s="65"/>
      <c r="AM871" s="65"/>
    </row>
    <row r="872">
      <c r="AB872" s="65"/>
      <c r="AC872" s="65"/>
      <c r="AD872" s="65"/>
      <c r="AE872" s="65"/>
      <c r="AF872" s="65"/>
      <c r="AG872" s="65"/>
      <c r="AH872" s="65"/>
      <c r="AI872" s="65"/>
      <c r="AJ872" s="65"/>
      <c r="AK872" s="65"/>
      <c r="AL872" s="65"/>
      <c r="AM872" s="65"/>
    </row>
    <row r="873">
      <c r="AB873" s="65"/>
      <c r="AC873" s="65"/>
      <c r="AD873" s="65"/>
      <c r="AE873" s="65"/>
      <c r="AF873" s="65"/>
      <c r="AG873" s="65"/>
      <c r="AH873" s="65"/>
      <c r="AI873" s="65"/>
      <c r="AJ873" s="65"/>
      <c r="AK873" s="65"/>
      <c r="AL873" s="65"/>
      <c r="AM873" s="65"/>
    </row>
    <row r="874">
      <c r="AB874" s="65"/>
      <c r="AC874" s="65"/>
      <c r="AD874" s="65"/>
      <c r="AE874" s="65"/>
      <c r="AF874" s="65"/>
      <c r="AG874" s="65"/>
      <c r="AH874" s="65"/>
      <c r="AI874" s="65"/>
      <c r="AJ874" s="65"/>
      <c r="AK874" s="65"/>
      <c r="AL874" s="65"/>
      <c r="AM874" s="65"/>
    </row>
    <row r="875">
      <c r="AB875" s="65"/>
      <c r="AC875" s="65"/>
      <c r="AD875" s="65"/>
      <c r="AE875" s="65"/>
      <c r="AF875" s="65"/>
      <c r="AG875" s="65"/>
      <c r="AH875" s="65"/>
      <c r="AI875" s="65"/>
      <c r="AJ875" s="65"/>
      <c r="AK875" s="65"/>
      <c r="AL875" s="65"/>
      <c r="AM875" s="65"/>
    </row>
    <row r="876">
      <c r="AB876" s="65"/>
      <c r="AC876" s="65"/>
      <c r="AD876" s="65"/>
      <c r="AE876" s="65"/>
      <c r="AF876" s="65"/>
      <c r="AG876" s="65"/>
      <c r="AH876" s="65"/>
      <c r="AI876" s="65"/>
      <c r="AJ876" s="65"/>
      <c r="AK876" s="65"/>
      <c r="AL876" s="65"/>
      <c r="AM876" s="65"/>
    </row>
    <row r="877">
      <c r="AB877" s="65"/>
      <c r="AC877" s="65"/>
      <c r="AD877" s="65"/>
      <c r="AE877" s="65"/>
      <c r="AF877" s="65"/>
      <c r="AG877" s="65"/>
      <c r="AH877" s="65"/>
      <c r="AI877" s="65"/>
      <c r="AJ877" s="65"/>
      <c r="AK877" s="65"/>
      <c r="AL877" s="65"/>
      <c r="AM877" s="65"/>
    </row>
    <row r="878">
      <c r="AB878" s="65"/>
      <c r="AC878" s="65"/>
      <c r="AD878" s="65"/>
      <c r="AE878" s="65"/>
      <c r="AF878" s="65"/>
      <c r="AG878" s="65"/>
      <c r="AH878" s="65"/>
      <c r="AI878" s="65"/>
      <c r="AJ878" s="65"/>
      <c r="AK878" s="65"/>
      <c r="AL878" s="65"/>
      <c r="AM878" s="65"/>
    </row>
    <row r="879">
      <c r="AB879" s="65"/>
      <c r="AC879" s="65"/>
      <c r="AD879" s="65"/>
      <c r="AE879" s="65"/>
      <c r="AF879" s="65"/>
      <c r="AG879" s="65"/>
      <c r="AH879" s="65"/>
      <c r="AI879" s="65"/>
      <c r="AJ879" s="65"/>
      <c r="AK879" s="65"/>
      <c r="AL879" s="65"/>
      <c r="AM879" s="65"/>
    </row>
    <row r="880">
      <c r="AB880" s="65"/>
      <c r="AC880" s="65"/>
      <c r="AD880" s="65"/>
      <c r="AE880" s="65"/>
      <c r="AF880" s="65"/>
      <c r="AG880" s="65"/>
      <c r="AH880" s="65"/>
      <c r="AI880" s="65"/>
      <c r="AJ880" s="65"/>
      <c r="AK880" s="65"/>
      <c r="AL880" s="65"/>
      <c r="AM880" s="65"/>
    </row>
    <row r="881">
      <c r="AB881" s="65"/>
      <c r="AC881" s="65"/>
      <c r="AD881" s="65"/>
      <c r="AE881" s="65"/>
      <c r="AF881" s="65"/>
      <c r="AG881" s="65"/>
      <c r="AH881" s="65"/>
      <c r="AI881" s="65"/>
      <c r="AJ881" s="65"/>
      <c r="AK881" s="65"/>
      <c r="AL881" s="65"/>
      <c r="AM881" s="65"/>
    </row>
    <row r="882">
      <c r="AB882" s="65"/>
      <c r="AC882" s="65"/>
      <c r="AD882" s="65"/>
      <c r="AE882" s="65"/>
      <c r="AF882" s="65"/>
      <c r="AG882" s="65"/>
      <c r="AH882" s="65"/>
      <c r="AI882" s="65"/>
      <c r="AJ882" s="65"/>
      <c r="AK882" s="65"/>
      <c r="AL882" s="65"/>
      <c r="AM882" s="65"/>
    </row>
    <row r="883">
      <c r="AB883" s="65"/>
      <c r="AC883" s="65"/>
      <c r="AD883" s="65"/>
      <c r="AE883" s="65"/>
      <c r="AF883" s="65"/>
      <c r="AG883" s="65"/>
      <c r="AH883" s="65"/>
      <c r="AI883" s="65"/>
      <c r="AJ883" s="65"/>
      <c r="AK883" s="65"/>
      <c r="AL883" s="65"/>
      <c r="AM883" s="65"/>
    </row>
    <row r="884">
      <c r="AB884" s="65"/>
      <c r="AC884" s="65"/>
      <c r="AD884" s="65"/>
      <c r="AE884" s="65"/>
      <c r="AF884" s="65"/>
      <c r="AG884" s="65"/>
      <c r="AH884" s="65"/>
      <c r="AI884" s="65"/>
      <c r="AJ884" s="65"/>
      <c r="AK884" s="65"/>
      <c r="AL884" s="65"/>
      <c r="AM884" s="65"/>
    </row>
    <row r="885">
      <c r="AB885" s="65"/>
      <c r="AC885" s="65"/>
      <c r="AD885" s="65"/>
      <c r="AE885" s="65"/>
      <c r="AF885" s="65"/>
      <c r="AG885" s="65"/>
      <c r="AH885" s="65"/>
      <c r="AI885" s="65"/>
      <c r="AJ885" s="65"/>
      <c r="AK885" s="65"/>
      <c r="AL885" s="65"/>
      <c r="AM885" s="65"/>
    </row>
    <row r="886">
      <c r="AB886" s="65"/>
      <c r="AC886" s="65"/>
      <c r="AD886" s="65"/>
      <c r="AE886" s="65"/>
      <c r="AF886" s="65"/>
      <c r="AG886" s="65"/>
      <c r="AH886" s="65"/>
      <c r="AI886" s="65"/>
      <c r="AJ886" s="65"/>
      <c r="AK886" s="65"/>
      <c r="AL886" s="65"/>
      <c r="AM886" s="65"/>
    </row>
    <row r="887">
      <c r="AB887" s="65"/>
      <c r="AC887" s="65"/>
      <c r="AD887" s="65"/>
      <c r="AE887" s="65"/>
      <c r="AF887" s="65"/>
      <c r="AG887" s="65"/>
      <c r="AH887" s="65"/>
      <c r="AI887" s="65"/>
      <c r="AJ887" s="65"/>
      <c r="AK887" s="65"/>
      <c r="AL887" s="65"/>
      <c r="AM887" s="65"/>
    </row>
    <row r="888">
      <c r="AB888" s="65"/>
      <c r="AC888" s="65"/>
      <c r="AD888" s="65"/>
      <c r="AE888" s="65"/>
      <c r="AF888" s="65"/>
      <c r="AG888" s="65"/>
      <c r="AH888" s="65"/>
      <c r="AI888" s="65"/>
      <c r="AJ888" s="65"/>
      <c r="AK888" s="65"/>
      <c r="AL888" s="65"/>
      <c r="AM888" s="65"/>
    </row>
    <row r="889">
      <c r="AB889" s="65"/>
      <c r="AC889" s="65"/>
      <c r="AD889" s="65"/>
      <c r="AE889" s="65"/>
      <c r="AF889" s="65"/>
      <c r="AG889" s="65"/>
      <c r="AH889" s="65"/>
      <c r="AI889" s="65"/>
      <c r="AJ889" s="65"/>
      <c r="AK889" s="65"/>
      <c r="AL889" s="65"/>
      <c r="AM889" s="65"/>
    </row>
    <row r="890">
      <c r="AB890" s="65"/>
      <c r="AC890" s="65"/>
      <c r="AD890" s="65"/>
      <c r="AE890" s="65"/>
      <c r="AF890" s="65"/>
      <c r="AG890" s="65"/>
      <c r="AH890" s="65"/>
      <c r="AI890" s="65"/>
      <c r="AJ890" s="65"/>
      <c r="AK890" s="65"/>
      <c r="AL890" s="65"/>
      <c r="AM890" s="65"/>
    </row>
    <row r="891">
      <c r="AB891" s="65"/>
      <c r="AC891" s="65"/>
      <c r="AD891" s="65"/>
      <c r="AE891" s="65"/>
      <c r="AF891" s="65"/>
      <c r="AG891" s="65"/>
      <c r="AH891" s="65"/>
      <c r="AI891" s="65"/>
      <c r="AJ891" s="65"/>
      <c r="AK891" s="65"/>
      <c r="AL891" s="65"/>
      <c r="AM891" s="65"/>
    </row>
    <row r="892">
      <c r="AB892" s="65"/>
      <c r="AC892" s="65"/>
      <c r="AD892" s="65"/>
      <c r="AE892" s="65"/>
      <c r="AF892" s="65"/>
      <c r="AG892" s="65"/>
      <c r="AH892" s="65"/>
      <c r="AI892" s="65"/>
      <c r="AJ892" s="65"/>
      <c r="AK892" s="65"/>
      <c r="AL892" s="65"/>
      <c r="AM892" s="65"/>
    </row>
    <row r="893">
      <c r="AB893" s="65"/>
      <c r="AC893" s="65"/>
      <c r="AD893" s="65"/>
      <c r="AE893" s="65"/>
      <c r="AF893" s="65"/>
      <c r="AG893" s="65"/>
      <c r="AH893" s="65"/>
      <c r="AI893" s="65"/>
      <c r="AJ893" s="65"/>
      <c r="AK893" s="65"/>
      <c r="AL893" s="65"/>
      <c r="AM893" s="65"/>
    </row>
    <row r="894">
      <c r="AB894" s="65"/>
      <c r="AC894" s="65"/>
      <c r="AD894" s="65"/>
      <c r="AE894" s="65"/>
      <c r="AF894" s="65"/>
      <c r="AG894" s="65"/>
      <c r="AH894" s="65"/>
      <c r="AI894" s="65"/>
      <c r="AJ894" s="65"/>
      <c r="AK894" s="65"/>
      <c r="AL894" s="65"/>
      <c r="AM894" s="65"/>
    </row>
    <row r="895">
      <c r="AB895" s="65"/>
      <c r="AC895" s="65"/>
      <c r="AD895" s="65"/>
      <c r="AE895" s="65"/>
      <c r="AF895" s="65"/>
      <c r="AG895" s="65"/>
      <c r="AH895" s="65"/>
      <c r="AI895" s="65"/>
      <c r="AJ895" s="65"/>
      <c r="AK895" s="65"/>
      <c r="AL895" s="65"/>
      <c r="AM895" s="65"/>
    </row>
    <row r="896">
      <c r="AB896" s="65"/>
      <c r="AC896" s="65"/>
      <c r="AD896" s="65"/>
      <c r="AE896" s="65"/>
      <c r="AF896" s="65"/>
      <c r="AG896" s="65"/>
      <c r="AH896" s="65"/>
      <c r="AI896" s="65"/>
      <c r="AJ896" s="65"/>
      <c r="AK896" s="65"/>
      <c r="AL896" s="65"/>
      <c r="AM896" s="65"/>
    </row>
    <row r="897">
      <c r="AB897" s="65"/>
      <c r="AC897" s="65"/>
      <c r="AD897" s="65"/>
      <c r="AE897" s="65"/>
      <c r="AF897" s="65"/>
      <c r="AG897" s="65"/>
      <c r="AH897" s="65"/>
      <c r="AI897" s="65"/>
      <c r="AJ897" s="65"/>
      <c r="AK897" s="65"/>
      <c r="AL897" s="65"/>
      <c r="AM897" s="65"/>
    </row>
    <row r="898">
      <c r="AB898" s="65"/>
      <c r="AC898" s="65"/>
      <c r="AD898" s="65"/>
      <c r="AE898" s="65"/>
      <c r="AF898" s="65"/>
      <c r="AG898" s="65"/>
      <c r="AH898" s="65"/>
      <c r="AI898" s="65"/>
      <c r="AJ898" s="65"/>
      <c r="AK898" s="65"/>
      <c r="AL898" s="65"/>
      <c r="AM898" s="65"/>
    </row>
    <row r="899">
      <c r="AB899" s="65"/>
      <c r="AC899" s="65"/>
      <c r="AD899" s="65"/>
      <c r="AE899" s="65"/>
      <c r="AF899" s="65"/>
      <c r="AG899" s="65"/>
      <c r="AH899" s="65"/>
      <c r="AI899" s="65"/>
      <c r="AJ899" s="65"/>
      <c r="AK899" s="65"/>
      <c r="AL899" s="65"/>
      <c r="AM899" s="65"/>
    </row>
    <row r="900">
      <c r="AB900" s="65"/>
      <c r="AC900" s="65"/>
      <c r="AD900" s="65"/>
      <c r="AE900" s="65"/>
      <c r="AF900" s="65"/>
      <c r="AG900" s="65"/>
      <c r="AH900" s="65"/>
      <c r="AI900" s="65"/>
      <c r="AJ900" s="65"/>
      <c r="AK900" s="65"/>
      <c r="AL900" s="65"/>
      <c r="AM900" s="65"/>
    </row>
    <row r="901">
      <c r="AB901" s="65"/>
      <c r="AC901" s="65"/>
      <c r="AD901" s="65"/>
      <c r="AE901" s="65"/>
      <c r="AF901" s="65"/>
      <c r="AG901" s="65"/>
      <c r="AH901" s="65"/>
      <c r="AI901" s="65"/>
      <c r="AJ901" s="65"/>
      <c r="AK901" s="65"/>
      <c r="AL901" s="65"/>
      <c r="AM901" s="65"/>
    </row>
    <row r="902">
      <c r="AB902" s="65"/>
      <c r="AC902" s="65"/>
      <c r="AD902" s="65"/>
      <c r="AE902" s="65"/>
      <c r="AF902" s="65"/>
      <c r="AG902" s="65"/>
      <c r="AH902" s="65"/>
      <c r="AI902" s="65"/>
      <c r="AJ902" s="65"/>
      <c r="AK902" s="65"/>
      <c r="AL902" s="65"/>
      <c r="AM902" s="65"/>
    </row>
    <row r="903">
      <c r="AB903" s="65"/>
      <c r="AC903" s="65"/>
      <c r="AD903" s="65"/>
      <c r="AE903" s="65"/>
      <c r="AF903" s="65"/>
      <c r="AG903" s="65"/>
      <c r="AH903" s="65"/>
      <c r="AI903" s="65"/>
      <c r="AJ903" s="65"/>
      <c r="AK903" s="65"/>
      <c r="AL903" s="65"/>
      <c r="AM903" s="65"/>
    </row>
    <row r="904">
      <c r="AB904" s="65"/>
      <c r="AC904" s="65"/>
      <c r="AD904" s="65"/>
      <c r="AE904" s="65"/>
      <c r="AF904" s="65"/>
      <c r="AG904" s="65"/>
      <c r="AH904" s="65"/>
      <c r="AI904" s="65"/>
      <c r="AJ904" s="65"/>
      <c r="AK904" s="65"/>
      <c r="AL904" s="65"/>
      <c r="AM904" s="65"/>
    </row>
    <row r="905">
      <c r="AB905" s="65"/>
      <c r="AC905" s="65"/>
      <c r="AD905" s="65"/>
      <c r="AE905" s="65"/>
      <c r="AF905" s="65"/>
      <c r="AG905" s="65"/>
      <c r="AH905" s="65"/>
      <c r="AI905" s="65"/>
      <c r="AJ905" s="65"/>
      <c r="AK905" s="65"/>
      <c r="AL905" s="65"/>
      <c r="AM905" s="65"/>
    </row>
    <row r="906">
      <c r="AB906" s="65"/>
      <c r="AC906" s="65"/>
      <c r="AD906" s="65"/>
      <c r="AE906" s="65"/>
      <c r="AF906" s="65"/>
      <c r="AG906" s="65"/>
      <c r="AH906" s="65"/>
      <c r="AI906" s="65"/>
      <c r="AJ906" s="65"/>
      <c r="AK906" s="65"/>
      <c r="AL906" s="65"/>
      <c r="AM906" s="65"/>
    </row>
    <row r="907">
      <c r="AB907" s="65"/>
      <c r="AC907" s="65"/>
      <c r="AD907" s="65"/>
      <c r="AE907" s="65"/>
      <c r="AF907" s="65"/>
      <c r="AG907" s="65"/>
      <c r="AH907" s="65"/>
      <c r="AI907" s="65"/>
      <c r="AJ907" s="65"/>
      <c r="AK907" s="65"/>
      <c r="AL907" s="65"/>
      <c r="AM907" s="65"/>
    </row>
    <row r="908">
      <c r="AB908" s="65"/>
      <c r="AC908" s="65"/>
      <c r="AD908" s="65"/>
      <c r="AE908" s="65"/>
      <c r="AF908" s="65"/>
      <c r="AG908" s="65"/>
      <c r="AH908" s="65"/>
      <c r="AI908" s="65"/>
      <c r="AJ908" s="65"/>
      <c r="AK908" s="65"/>
      <c r="AL908" s="65"/>
      <c r="AM908" s="65"/>
    </row>
    <row r="909">
      <c r="AB909" s="65"/>
      <c r="AC909" s="65"/>
      <c r="AD909" s="65"/>
      <c r="AE909" s="65"/>
      <c r="AF909" s="65"/>
      <c r="AG909" s="65"/>
      <c r="AH909" s="65"/>
      <c r="AI909" s="65"/>
      <c r="AJ909" s="65"/>
      <c r="AK909" s="65"/>
      <c r="AL909" s="65"/>
      <c r="AM909" s="65"/>
    </row>
    <row r="910">
      <c r="AB910" s="65"/>
      <c r="AC910" s="65"/>
      <c r="AD910" s="65"/>
      <c r="AE910" s="65"/>
      <c r="AF910" s="65"/>
      <c r="AG910" s="65"/>
      <c r="AH910" s="65"/>
      <c r="AI910" s="65"/>
      <c r="AJ910" s="65"/>
      <c r="AK910" s="65"/>
      <c r="AL910" s="65"/>
      <c r="AM910" s="65"/>
    </row>
    <row r="911">
      <c r="AB911" s="65"/>
      <c r="AC911" s="65"/>
      <c r="AD911" s="65"/>
      <c r="AE911" s="65"/>
      <c r="AF911" s="65"/>
      <c r="AG911" s="65"/>
      <c r="AH911" s="65"/>
      <c r="AI911" s="65"/>
      <c r="AJ911" s="65"/>
      <c r="AK911" s="65"/>
      <c r="AL911" s="65"/>
      <c r="AM911" s="65"/>
    </row>
    <row r="912">
      <c r="AB912" s="65"/>
      <c r="AC912" s="65"/>
      <c r="AD912" s="65"/>
      <c r="AE912" s="65"/>
      <c r="AF912" s="65"/>
      <c r="AG912" s="65"/>
      <c r="AH912" s="65"/>
      <c r="AI912" s="65"/>
      <c r="AJ912" s="65"/>
      <c r="AK912" s="65"/>
      <c r="AL912" s="65"/>
      <c r="AM912" s="65"/>
    </row>
    <row r="913">
      <c r="AB913" s="65"/>
      <c r="AC913" s="65"/>
      <c r="AD913" s="65"/>
      <c r="AE913" s="65"/>
      <c r="AF913" s="65"/>
      <c r="AG913" s="65"/>
      <c r="AH913" s="65"/>
      <c r="AI913" s="65"/>
      <c r="AJ913" s="65"/>
      <c r="AK913" s="65"/>
      <c r="AL913" s="65"/>
      <c r="AM913" s="65"/>
    </row>
    <row r="914">
      <c r="AB914" s="65"/>
      <c r="AC914" s="65"/>
      <c r="AD914" s="65"/>
      <c r="AE914" s="65"/>
      <c r="AF914" s="65"/>
      <c r="AG914" s="65"/>
      <c r="AH914" s="65"/>
      <c r="AI914" s="65"/>
      <c r="AJ914" s="65"/>
      <c r="AK914" s="65"/>
      <c r="AL914" s="65"/>
      <c r="AM914" s="65"/>
    </row>
    <row r="915">
      <c r="AB915" s="65"/>
      <c r="AC915" s="65"/>
      <c r="AD915" s="65"/>
      <c r="AE915" s="65"/>
      <c r="AF915" s="65"/>
      <c r="AG915" s="65"/>
      <c r="AH915" s="65"/>
      <c r="AI915" s="65"/>
      <c r="AJ915" s="65"/>
      <c r="AK915" s="65"/>
      <c r="AL915" s="65"/>
      <c r="AM915" s="65"/>
    </row>
    <row r="916">
      <c r="AB916" s="65"/>
      <c r="AC916" s="65"/>
      <c r="AD916" s="65"/>
      <c r="AE916" s="65"/>
      <c r="AF916" s="65"/>
      <c r="AG916" s="65"/>
      <c r="AH916" s="65"/>
      <c r="AI916" s="65"/>
      <c r="AJ916" s="65"/>
      <c r="AK916" s="65"/>
      <c r="AL916" s="65"/>
      <c r="AM916" s="65"/>
    </row>
    <row r="917">
      <c r="AB917" s="65"/>
      <c r="AC917" s="65"/>
      <c r="AD917" s="65"/>
      <c r="AE917" s="65"/>
      <c r="AF917" s="65"/>
      <c r="AG917" s="65"/>
      <c r="AH917" s="65"/>
      <c r="AI917" s="65"/>
      <c r="AJ917" s="65"/>
      <c r="AK917" s="65"/>
      <c r="AL917" s="65"/>
      <c r="AM917" s="65"/>
    </row>
    <row r="918">
      <c r="AB918" s="65"/>
      <c r="AC918" s="65"/>
      <c r="AD918" s="65"/>
      <c r="AE918" s="65"/>
      <c r="AF918" s="65"/>
      <c r="AG918" s="65"/>
      <c r="AH918" s="65"/>
      <c r="AI918" s="65"/>
      <c r="AJ918" s="65"/>
      <c r="AK918" s="65"/>
      <c r="AL918" s="65"/>
      <c r="AM918" s="65"/>
    </row>
    <row r="919">
      <c r="AB919" s="65"/>
      <c r="AC919" s="65"/>
      <c r="AD919" s="65"/>
      <c r="AE919" s="65"/>
      <c r="AF919" s="65"/>
      <c r="AG919" s="65"/>
      <c r="AH919" s="65"/>
      <c r="AI919" s="65"/>
      <c r="AJ919" s="65"/>
      <c r="AK919" s="65"/>
      <c r="AL919" s="65"/>
      <c r="AM919" s="65"/>
    </row>
    <row r="920">
      <c r="AB920" s="65"/>
      <c r="AC920" s="65"/>
      <c r="AD920" s="65"/>
      <c r="AE920" s="65"/>
      <c r="AF920" s="65"/>
      <c r="AG920" s="65"/>
      <c r="AH920" s="65"/>
      <c r="AI920" s="65"/>
      <c r="AJ920" s="65"/>
      <c r="AK920" s="65"/>
      <c r="AL920" s="65"/>
      <c r="AM920" s="65"/>
    </row>
    <row r="921">
      <c r="AB921" s="65"/>
      <c r="AC921" s="65"/>
      <c r="AD921" s="65"/>
      <c r="AE921" s="65"/>
      <c r="AF921" s="65"/>
      <c r="AG921" s="65"/>
      <c r="AH921" s="65"/>
      <c r="AI921" s="65"/>
      <c r="AJ921" s="65"/>
      <c r="AK921" s="65"/>
      <c r="AL921" s="65"/>
      <c r="AM921" s="65"/>
    </row>
    <row r="922">
      <c r="AB922" s="65"/>
      <c r="AC922" s="65"/>
      <c r="AD922" s="65"/>
      <c r="AE922" s="65"/>
      <c r="AF922" s="65"/>
      <c r="AG922" s="65"/>
      <c r="AH922" s="65"/>
      <c r="AI922" s="65"/>
      <c r="AJ922" s="65"/>
      <c r="AK922" s="65"/>
      <c r="AL922" s="65"/>
      <c r="AM922" s="65"/>
    </row>
    <row r="923">
      <c r="AB923" s="65"/>
      <c r="AC923" s="65"/>
      <c r="AD923" s="65"/>
      <c r="AE923" s="65"/>
      <c r="AF923" s="65"/>
      <c r="AG923" s="65"/>
      <c r="AH923" s="65"/>
      <c r="AI923" s="65"/>
      <c r="AJ923" s="65"/>
      <c r="AK923" s="65"/>
      <c r="AL923" s="65"/>
      <c r="AM923" s="65"/>
    </row>
    <row r="924">
      <c r="AB924" s="65"/>
      <c r="AC924" s="65"/>
      <c r="AD924" s="65"/>
      <c r="AE924" s="65"/>
      <c r="AF924" s="65"/>
      <c r="AG924" s="65"/>
      <c r="AH924" s="65"/>
      <c r="AI924" s="65"/>
      <c r="AJ924" s="65"/>
      <c r="AK924" s="65"/>
      <c r="AL924" s="65"/>
      <c r="AM924" s="65"/>
    </row>
    <row r="925">
      <c r="AB925" s="65"/>
      <c r="AC925" s="65"/>
      <c r="AD925" s="65"/>
      <c r="AE925" s="65"/>
      <c r="AF925" s="65"/>
      <c r="AG925" s="65"/>
      <c r="AH925" s="65"/>
      <c r="AI925" s="65"/>
      <c r="AJ925" s="65"/>
      <c r="AK925" s="65"/>
      <c r="AL925" s="65"/>
      <c r="AM925" s="65"/>
    </row>
    <row r="926">
      <c r="AB926" s="65"/>
      <c r="AC926" s="65"/>
      <c r="AD926" s="65"/>
      <c r="AE926" s="65"/>
      <c r="AF926" s="65"/>
      <c r="AG926" s="65"/>
      <c r="AH926" s="65"/>
      <c r="AI926" s="65"/>
      <c r="AJ926" s="65"/>
      <c r="AK926" s="65"/>
      <c r="AL926" s="65"/>
      <c r="AM926" s="65"/>
    </row>
    <row r="927">
      <c r="AB927" s="65"/>
      <c r="AC927" s="65"/>
      <c r="AD927" s="65"/>
      <c r="AE927" s="65"/>
      <c r="AF927" s="65"/>
      <c r="AG927" s="65"/>
      <c r="AH927" s="65"/>
      <c r="AI927" s="65"/>
      <c r="AJ927" s="65"/>
      <c r="AK927" s="65"/>
      <c r="AL927" s="65"/>
      <c r="AM927" s="65"/>
    </row>
    <row r="928">
      <c r="AB928" s="65"/>
      <c r="AC928" s="65"/>
      <c r="AD928" s="65"/>
      <c r="AE928" s="65"/>
      <c r="AF928" s="65"/>
      <c r="AG928" s="65"/>
      <c r="AH928" s="65"/>
      <c r="AI928" s="65"/>
      <c r="AJ928" s="65"/>
      <c r="AK928" s="65"/>
      <c r="AL928" s="65"/>
      <c r="AM928" s="65"/>
    </row>
    <row r="929">
      <c r="AB929" s="65"/>
      <c r="AC929" s="65"/>
      <c r="AD929" s="65"/>
      <c r="AE929" s="65"/>
      <c r="AF929" s="65"/>
      <c r="AG929" s="65"/>
      <c r="AH929" s="65"/>
      <c r="AI929" s="65"/>
      <c r="AJ929" s="65"/>
      <c r="AK929" s="65"/>
      <c r="AL929" s="65"/>
      <c r="AM929" s="65"/>
    </row>
    <row r="930">
      <c r="AB930" s="65"/>
      <c r="AC930" s="65"/>
      <c r="AD930" s="65"/>
      <c r="AE930" s="65"/>
      <c r="AF930" s="65"/>
      <c r="AG930" s="65"/>
      <c r="AH930" s="65"/>
      <c r="AI930" s="65"/>
      <c r="AJ930" s="65"/>
      <c r="AK930" s="65"/>
      <c r="AL930" s="65"/>
      <c r="AM930" s="65"/>
    </row>
    <row r="931">
      <c r="AB931" s="65"/>
      <c r="AC931" s="65"/>
      <c r="AD931" s="65"/>
      <c r="AE931" s="65"/>
      <c r="AF931" s="65"/>
      <c r="AG931" s="65"/>
      <c r="AH931" s="65"/>
      <c r="AI931" s="65"/>
      <c r="AJ931" s="65"/>
      <c r="AK931" s="65"/>
      <c r="AL931" s="65"/>
      <c r="AM931" s="65"/>
    </row>
    <row r="932">
      <c r="AB932" s="65"/>
      <c r="AC932" s="65"/>
      <c r="AD932" s="65"/>
      <c r="AE932" s="65"/>
      <c r="AF932" s="65"/>
      <c r="AG932" s="65"/>
      <c r="AH932" s="65"/>
      <c r="AI932" s="65"/>
      <c r="AJ932" s="65"/>
      <c r="AK932" s="65"/>
      <c r="AL932" s="65"/>
      <c r="AM932" s="65"/>
    </row>
    <row r="933">
      <c r="AB933" s="65"/>
      <c r="AC933" s="65"/>
      <c r="AD933" s="65"/>
      <c r="AE933" s="65"/>
      <c r="AF933" s="65"/>
      <c r="AG933" s="65"/>
      <c r="AH933" s="65"/>
      <c r="AI933" s="65"/>
      <c r="AJ933" s="65"/>
      <c r="AK933" s="65"/>
      <c r="AL933" s="65"/>
      <c r="AM933" s="65"/>
    </row>
    <row r="934">
      <c r="AB934" s="65"/>
      <c r="AC934" s="65"/>
      <c r="AD934" s="65"/>
      <c r="AE934" s="65"/>
      <c r="AF934" s="65"/>
      <c r="AG934" s="65"/>
      <c r="AH934" s="65"/>
      <c r="AI934" s="65"/>
      <c r="AJ934" s="65"/>
      <c r="AK934" s="65"/>
      <c r="AL934" s="65"/>
      <c r="AM934" s="65"/>
    </row>
    <row r="935">
      <c r="AB935" s="65"/>
      <c r="AC935" s="65"/>
      <c r="AD935" s="65"/>
      <c r="AE935" s="65"/>
      <c r="AF935" s="65"/>
      <c r="AG935" s="65"/>
      <c r="AH935" s="65"/>
      <c r="AI935" s="65"/>
      <c r="AJ935" s="65"/>
      <c r="AK935" s="65"/>
      <c r="AL935" s="65"/>
      <c r="AM935" s="65"/>
    </row>
    <row r="936">
      <c r="AB936" s="65"/>
      <c r="AC936" s="65"/>
      <c r="AD936" s="65"/>
      <c r="AE936" s="65"/>
      <c r="AF936" s="65"/>
      <c r="AG936" s="65"/>
      <c r="AH936" s="65"/>
      <c r="AI936" s="65"/>
      <c r="AJ936" s="65"/>
      <c r="AK936" s="65"/>
      <c r="AL936" s="65"/>
      <c r="AM936" s="65"/>
    </row>
    <row r="937">
      <c r="AB937" s="65"/>
      <c r="AC937" s="65"/>
      <c r="AD937" s="65"/>
      <c r="AE937" s="65"/>
      <c r="AF937" s="65"/>
      <c r="AG937" s="65"/>
      <c r="AH937" s="65"/>
      <c r="AI937" s="65"/>
      <c r="AJ937" s="65"/>
      <c r="AK937" s="65"/>
      <c r="AL937" s="65"/>
      <c r="AM937" s="65"/>
    </row>
    <row r="938">
      <c r="AB938" s="65"/>
      <c r="AC938" s="65"/>
      <c r="AD938" s="65"/>
      <c r="AE938" s="65"/>
      <c r="AF938" s="65"/>
      <c r="AG938" s="65"/>
      <c r="AH938" s="65"/>
      <c r="AI938" s="65"/>
      <c r="AJ938" s="65"/>
      <c r="AK938" s="65"/>
      <c r="AL938" s="65"/>
      <c r="AM938" s="65"/>
    </row>
    <row r="939">
      <c r="AB939" s="65"/>
      <c r="AC939" s="65"/>
      <c r="AD939" s="65"/>
      <c r="AE939" s="65"/>
      <c r="AF939" s="65"/>
      <c r="AG939" s="65"/>
      <c r="AH939" s="65"/>
      <c r="AI939" s="65"/>
      <c r="AJ939" s="65"/>
      <c r="AK939" s="65"/>
      <c r="AL939" s="65"/>
      <c r="AM939" s="65"/>
    </row>
    <row r="940">
      <c r="AB940" s="65"/>
      <c r="AC940" s="65"/>
      <c r="AD940" s="65"/>
      <c r="AE940" s="65"/>
      <c r="AF940" s="65"/>
      <c r="AG940" s="65"/>
      <c r="AH940" s="65"/>
      <c r="AI940" s="65"/>
      <c r="AJ940" s="65"/>
      <c r="AK940" s="65"/>
      <c r="AL940" s="65"/>
      <c r="AM940" s="65"/>
    </row>
    <row r="941">
      <c r="AB941" s="65"/>
      <c r="AC941" s="65"/>
      <c r="AD941" s="65"/>
      <c r="AE941" s="65"/>
      <c r="AF941" s="65"/>
      <c r="AG941" s="65"/>
      <c r="AH941" s="65"/>
      <c r="AI941" s="65"/>
      <c r="AJ941" s="65"/>
      <c r="AK941" s="65"/>
      <c r="AL941" s="65"/>
      <c r="AM941" s="65"/>
    </row>
    <row r="942">
      <c r="AB942" s="65"/>
      <c r="AC942" s="65"/>
      <c r="AD942" s="65"/>
      <c r="AE942" s="65"/>
      <c r="AF942" s="65"/>
      <c r="AG942" s="65"/>
      <c r="AH942" s="65"/>
      <c r="AI942" s="65"/>
      <c r="AJ942" s="65"/>
      <c r="AK942" s="65"/>
      <c r="AL942" s="65"/>
      <c r="AM942" s="65"/>
    </row>
    <row r="943">
      <c r="AB943" s="65"/>
      <c r="AC943" s="65"/>
      <c r="AD943" s="65"/>
      <c r="AE943" s="65"/>
      <c r="AF943" s="65"/>
      <c r="AG943" s="65"/>
      <c r="AH943" s="65"/>
      <c r="AI943" s="65"/>
      <c r="AJ943" s="65"/>
      <c r="AK943" s="65"/>
      <c r="AL943" s="65"/>
      <c r="AM943" s="65"/>
    </row>
    <row r="944">
      <c r="AB944" s="65"/>
      <c r="AC944" s="65"/>
      <c r="AD944" s="65"/>
      <c r="AE944" s="65"/>
      <c r="AF944" s="65"/>
      <c r="AG944" s="65"/>
      <c r="AH944" s="65"/>
      <c r="AI944" s="65"/>
      <c r="AJ944" s="65"/>
      <c r="AK944" s="65"/>
      <c r="AL944" s="65"/>
      <c r="AM944" s="65"/>
    </row>
    <row r="945">
      <c r="AB945" s="65"/>
      <c r="AC945" s="65"/>
      <c r="AD945" s="65"/>
      <c r="AE945" s="65"/>
      <c r="AF945" s="65"/>
      <c r="AG945" s="65"/>
      <c r="AH945" s="65"/>
      <c r="AI945" s="65"/>
      <c r="AJ945" s="65"/>
      <c r="AK945" s="65"/>
      <c r="AL945" s="65"/>
      <c r="AM945" s="65"/>
    </row>
    <row r="946">
      <c r="AB946" s="65"/>
      <c r="AC946" s="65"/>
      <c r="AD946" s="65"/>
      <c r="AE946" s="65"/>
      <c r="AF946" s="65"/>
      <c r="AG946" s="65"/>
      <c r="AH946" s="65"/>
      <c r="AI946" s="65"/>
      <c r="AJ946" s="65"/>
      <c r="AK946" s="65"/>
      <c r="AL946" s="65"/>
      <c r="AM946" s="65"/>
    </row>
    <row r="947">
      <c r="AB947" s="65"/>
      <c r="AC947" s="65"/>
      <c r="AD947" s="65"/>
      <c r="AE947" s="65"/>
      <c r="AF947" s="65"/>
      <c r="AG947" s="65"/>
      <c r="AH947" s="65"/>
      <c r="AI947" s="65"/>
      <c r="AJ947" s="65"/>
      <c r="AK947" s="65"/>
      <c r="AL947" s="65"/>
      <c r="AM947" s="65"/>
    </row>
    <row r="948">
      <c r="AB948" s="65"/>
      <c r="AC948" s="65"/>
      <c r="AD948" s="65"/>
      <c r="AE948" s="65"/>
      <c r="AF948" s="65"/>
      <c r="AG948" s="65"/>
      <c r="AH948" s="65"/>
      <c r="AI948" s="65"/>
      <c r="AJ948" s="65"/>
      <c r="AK948" s="65"/>
      <c r="AL948" s="65"/>
      <c r="AM948" s="65"/>
    </row>
    <row r="949">
      <c r="AB949" s="65"/>
      <c r="AC949" s="65"/>
      <c r="AD949" s="65"/>
      <c r="AE949" s="65"/>
      <c r="AF949" s="65"/>
      <c r="AG949" s="65"/>
      <c r="AH949" s="65"/>
      <c r="AI949" s="65"/>
      <c r="AJ949" s="65"/>
      <c r="AK949" s="65"/>
      <c r="AL949" s="65"/>
      <c r="AM949" s="65"/>
    </row>
    <row r="950">
      <c r="AB950" s="65"/>
      <c r="AC950" s="65"/>
      <c r="AD950" s="65"/>
      <c r="AE950" s="65"/>
      <c r="AF950" s="65"/>
      <c r="AG950" s="65"/>
      <c r="AH950" s="65"/>
      <c r="AI950" s="65"/>
      <c r="AJ950" s="65"/>
      <c r="AK950" s="65"/>
      <c r="AL950" s="65"/>
      <c r="AM950" s="65"/>
    </row>
    <row r="951">
      <c r="AB951" s="65"/>
      <c r="AC951" s="65"/>
      <c r="AD951" s="65"/>
      <c r="AE951" s="65"/>
      <c r="AF951" s="65"/>
      <c r="AG951" s="65"/>
      <c r="AH951" s="65"/>
      <c r="AI951" s="65"/>
      <c r="AJ951" s="65"/>
      <c r="AK951" s="65"/>
      <c r="AL951" s="65"/>
      <c r="AM951" s="65"/>
    </row>
    <row r="952">
      <c r="AB952" s="65"/>
      <c r="AC952" s="65"/>
      <c r="AD952" s="65"/>
      <c r="AE952" s="65"/>
      <c r="AF952" s="65"/>
      <c r="AG952" s="65"/>
      <c r="AH952" s="65"/>
      <c r="AI952" s="65"/>
      <c r="AJ952" s="65"/>
      <c r="AK952" s="65"/>
      <c r="AL952" s="65"/>
      <c r="AM952" s="65"/>
    </row>
    <row r="953">
      <c r="AB953" s="65"/>
      <c r="AC953" s="65"/>
      <c r="AD953" s="65"/>
      <c r="AE953" s="65"/>
      <c r="AF953" s="65"/>
      <c r="AG953" s="65"/>
      <c r="AH953" s="65"/>
      <c r="AI953" s="65"/>
      <c r="AJ953" s="65"/>
      <c r="AK953" s="65"/>
      <c r="AL953" s="65"/>
      <c r="AM953" s="65"/>
    </row>
    <row r="954">
      <c r="AB954" s="65"/>
      <c r="AC954" s="65"/>
      <c r="AD954" s="65"/>
      <c r="AE954" s="65"/>
      <c r="AF954" s="65"/>
      <c r="AG954" s="65"/>
      <c r="AH954" s="65"/>
      <c r="AI954" s="65"/>
      <c r="AJ954" s="65"/>
      <c r="AK954" s="65"/>
      <c r="AL954" s="65"/>
      <c r="AM954" s="65"/>
    </row>
    <row r="955">
      <c r="AB955" s="65"/>
      <c r="AC955" s="65"/>
      <c r="AD955" s="65"/>
      <c r="AE955" s="65"/>
      <c r="AF955" s="65"/>
      <c r="AG955" s="65"/>
      <c r="AH955" s="65"/>
      <c r="AI955" s="65"/>
      <c r="AJ955" s="65"/>
      <c r="AK955" s="65"/>
      <c r="AL955" s="65"/>
      <c r="AM955" s="65"/>
    </row>
    <row r="956">
      <c r="AB956" s="65"/>
      <c r="AC956" s="65"/>
      <c r="AD956" s="65"/>
      <c r="AE956" s="65"/>
      <c r="AF956" s="65"/>
      <c r="AG956" s="65"/>
      <c r="AH956" s="65"/>
      <c r="AI956" s="65"/>
      <c r="AJ956" s="65"/>
      <c r="AK956" s="65"/>
      <c r="AL956" s="65"/>
      <c r="AM956" s="65"/>
    </row>
    <row r="957">
      <c r="AB957" s="65"/>
      <c r="AC957" s="65"/>
      <c r="AD957" s="65"/>
      <c r="AE957" s="65"/>
      <c r="AF957" s="65"/>
      <c r="AG957" s="65"/>
      <c r="AH957" s="65"/>
      <c r="AI957" s="65"/>
      <c r="AJ957" s="65"/>
      <c r="AK957" s="65"/>
      <c r="AL957" s="65"/>
      <c r="AM957" s="65"/>
    </row>
    <row r="958">
      <c r="AB958" s="65"/>
      <c r="AC958" s="65"/>
      <c r="AD958" s="65"/>
      <c r="AE958" s="65"/>
      <c r="AF958" s="65"/>
      <c r="AG958" s="65"/>
      <c r="AH958" s="65"/>
      <c r="AI958" s="65"/>
      <c r="AJ958" s="65"/>
      <c r="AK958" s="65"/>
      <c r="AL958" s="65"/>
      <c r="AM958" s="65"/>
    </row>
    <row r="959">
      <c r="AB959" s="65"/>
      <c r="AC959" s="65"/>
      <c r="AD959" s="65"/>
      <c r="AE959" s="65"/>
      <c r="AF959" s="65"/>
      <c r="AG959" s="65"/>
      <c r="AH959" s="65"/>
      <c r="AI959" s="65"/>
      <c r="AJ959" s="65"/>
      <c r="AK959" s="65"/>
      <c r="AL959" s="65"/>
      <c r="AM959" s="65"/>
    </row>
    <row r="960">
      <c r="AB960" s="65"/>
      <c r="AC960" s="65"/>
      <c r="AD960" s="65"/>
      <c r="AE960" s="65"/>
      <c r="AF960" s="65"/>
      <c r="AG960" s="65"/>
      <c r="AH960" s="65"/>
      <c r="AI960" s="65"/>
      <c r="AJ960" s="65"/>
      <c r="AK960" s="65"/>
      <c r="AL960" s="65"/>
      <c r="AM960" s="65"/>
    </row>
    <row r="961">
      <c r="AB961" s="65"/>
      <c r="AC961" s="65"/>
      <c r="AD961" s="65"/>
      <c r="AE961" s="65"/>
      <c r="AF961" s="65"/>
      <c r="AG961" s="65"/>
      <c r="AH961" s="65"/>
      <c r="AI961" s="65"/>
      <c r="AJ961" s="65"/>
      <c r="AK961" s="65"/>
      <c r="AL961" s="65"/>
      <c r="AM961" s="65"/>
    </row>
    <row r="962">
      <c r="AB962" s="65"/>
      <c r="AC962" s="65"/>
      <c r="AD962" s="65"/>
      <c r="AE962" s="65"/>
      <c r="AF962" s="65"/>
      <c r="AG962" s="65"/>
      <c r="AH962" s="65"/>
      <c r="AI962" s="65"/>
      <c r="AJ962" s="65"/>
      <c r="AK962" s="65"/>
      <c r="AL962" s="65"/>
      <c r="AM962" s="65"/>
    </row>
    <row r="963">
      <c r="AB963" s="65"/>
      <c r="AC963" s="65"/>
      <c r="AD963" s="65"/>
      <c r="AE963" s="65"/>
      <c r="AF963" s="65"/>
      <c r="AG963" s="65"/>
      <c r="AH963" s="65"/>
      <c r="AI963" s="65"/>
      <c r="AJ963" s="65"/>
      <c r="AK963" s="65"/>
      <c r="AL963" s="65"/>
      <c r="AM963" s="65"/>
    </row>
    <row r="964">
      <c r="AB964" s="65"/>
      <c r="AC964" s="65"/>
      <c r="AD964" s="65"/>
      <c r="AE964" s="65"/>
      <c r="AF964" s="65"/>
      <c r="AG964" s="65"/>
      <c r="AH964" s="65"/>
      <c r="AI964" s="65"/>
      <c r="AJ964" s="65"/>
      <c r="AK964" s="65"/>
      <c r="AL964" s="65"/>
      <c r="AM964" s="65"/>
    </row>
    <row r="965">
      <c r="AB965" s="65"/>
      <c r="AC965" s="65"/>
      <c r="AD965" s="65"/>
      <c r="AE965" s="65"/>
      <c r="AF965" s="65"/>
      <c r="AG965" s="65"/>
      <c r="AH965" s="65"/>
      <c r="AI965" s="65"/>
      <c r="AJ965" s="65"/>
      <c r="AK965" s="65"/>
      <c r="AL965" s="65"/>
      <c r="AM965" s="65"/>
    </row>
    <row r="966">
      <c r="AB966" s="65"/>
      <c r="AC966" s="65"/>
      <c r="AD966" s="65"/>
      <c r="AE966" s="65"/>
      <c r="AF966" s="65"/>
      <c r="AG966" s="65"/>
      <c r="AH966" s="65"/>
      <c r="AI966" s="65"/>
      <c r="AJ966" s="65"/>
      <c r="AK966" s="65"/>
      <c r="AL966" s="65"/>
      <c r="AM966" s="65"/>
    </row>
    <row r="967">
      <c r="AB967" s="65"/>
      <c r="AC967" s="65"/>
      <c r="AD967" s="65"/>
      <c r="AE967" s="65"/>
      <c r="AF967" s="65"/>
      <c r="AG967" s="65"/>
      <c r="AH967" s="65"/>
      <c r="AI967" s="65"/>
      <c r="AJ967" s="65"/>
      <c r="AK967" s="65"/>
      <c r="AL967" s="65"/>
      <c r="AM967" s="65"/>
    </row>
    <row r="968">
      <c r="AB968" s="65"/>
      <c r="AC968" s="65"/>
      <c r="AD968" s="65"/>
      <c r="AE968" s="65"/>
      <c r="AF968" s="65"/>
      <c r="AG968" s="65"/>
      <c r="AH968" s="65"/>
      <c r="AI968" s="65"/>
      <c r="AJ968" s="65"/>
      <c r="AK968" s="65"/>
      <c r="AL968" s="65"/>
      <c r="AM968" s="65"/>
    </row>
    <row r="969">
      <c r="AB969" s="65"/>
      <c r="AC969" s="65"/>
      <c r="AD969" s="65"/>
      <c r="AE969" s="65"/>
      <c r="AF969" s="65"/>
      <c r="AG969" s="65"/>
      <c r="AH969" s="65"/>
      <c r="AI969" s="65"/>
      <c r="AJ969" s="65"/>
      <c r="AK969" s="65"/>
      <c r="AL969" s="65"/>
      <c r="AM969" s="65"/>
    </row>
    <row r="970">
      <c r="AB970" s="65"/>
      <c r="AC970" s="65"/>
      <c r="AD970" s="65"/>
      <c r="AE970" s="65"/>
      <c r="AF970" s="65"/>
      <c r="AG970" s="65"/>
      <c r="AH970" s="65"/>
      <c r="AI970" s="65"/>
      <c r="AJ970" s="65"/>
      <c r="AK970" s="65"/>
      <c r="AL970" s="65"/>
      <c r="AM970" s="65"/>
    </row>
    <row r="971">
      <c r="AB971" s="65"/>
      <c r="AC971" s="65"/>
      <c r="AD971" s="65"/>
      <c r="AE971" s="65"/>
      <c r="AF971" s="65"/>
      <c r="AG971" s="65"/>
      <c r="AH971" s="65"/>
      <c r="AI971" s="65"/>
      <c r="AJ971" s="65"/>
      <c r="AK971" s="65"/>
      <c r="AL971" s="65"/>
      <c r="AM971" s="65"/>
    </row>
    <row r="972">
      <c r="AB972" s="65"/>
      <c r="AC972" s="65"/>
      <c r="AD972" s="65"/>
      <c r="AE972" s="65"/>
      <c r="AF972" s="65"/>
      <c r="AG972" s="65"/>
      <c r="AH972" s="65"/>
      <c r="AI972" s="65"/>
      <c r="AJ972" s="65"/>
      <c r="AK972" s="65"/>
      <c r="AL972" s="65"/>
      <c r="AM972" s="65"/>
    </row>
    <row r="973">
      <c r="AB973" s="65"/>
      <c r="AC973" s="65"/>
      <c r="AD973" s="65"/>
      <c r="AE973" s="65"/>
      <c r="AF973" s="65"/>
      <c r="AG973" s="65"/>
      <c r="AH973" s="65"/>
      <c r="AI973" s="65"/>
      <c r="AJ973" s="65"/>
      <c r="AK973" s="65"/>
      <c r="AL973" s="65"/>
      <c r="AM973" s="65"/>
    </row>
    <row r="974">
      <c r="AB974" s="65"/>
      <c r="AC974" s="65"/>
      <c r="AD974" s="65"/>
      <c r="AE974" s="65"/>
      <c r="AF974" s="65"/>
      <c r="AG974" s="65"/>
      <c r="AH974" s="65"/>
      <c r="AI974" s="65"/>
      <c r="AJ974" s="65"/>
      <c r="AK974" s="65"/>
      <c r="AL974" s="65"/>
      <c r="AM974" s="65"/>
    </row>
    <row r="975">
      <c r="AB975" s="65"/>
      <c r="AC975" s="65"/>
      <c r="AD975" s="65"/>
      <c r="AE975" s="65"/>
      <c r="AF975" s="65"/>
      <c r="AG975" s="65"/>
      <c r="AH975" s="65"/>
      <c r="AI975" s="65"/>
      <c r="AJ975" s="65"/>
      <c r="AK975" s="65"/>
      <c r="AL975" s="65"/>
      <c r="AM975" s="65"/>
    </row>
    <row r="976">
      <c r="AB976" s="65"/>
      <c r="AC976" s="65"/>
      <c r="AD976" s="65"/>
      <c r="AE976" s="65"/>
      <c r="AF976" s="65"/>
      <c r="AG976" s="65"/>
      <c r="AH976" s="65"/>
      <c r="AI976" s="65"/>
      <c r="AJ976" s="65"/>
      <c r="AK976" s="65"/>
      <c r="AL976" s="65"/>
      <c r="AM976" s="65"/>
    </row>
    <row r="977">
      <c r="AB977" s="65"/>
      <c r="AC977" s="65"/>
      <c r="AD977" s="65"/>
      <c r="AE977" s="65"/>
      <c r="AF977" s="65"/>
      <c r="AG977" s="65"/>
      <c r="AH977" s="65"/>
      <c r="AI977" s="65"/>
      <c r="AJ977" s="65"/>
      <c r="AK977" s="65"/>
      <c r="AL977" s="65"/>
      <c r="AM977" s="65"/>
    </row>
    <row r="978">
      <c r="AB978" s="65"/>
      <c r="AC978" s="65"/>
      <c r="AD978" s="65"/>
      <c r="AE978" s="65"/>
      <c r="AF978" s="65"/>
      <c r="AG978" s="65"/>
      <c r="AH978" s="65"/>
      <c r="AI978" s="65"/>
      <c r="AJ978" s="65"/>
      <c r="AK978" s="65"/>
      <c r="AL978" s="65"/>
      <c r="AM978" s="65"/>
    </row>
    <row r="979">
      <c r="AB979" s="65"/>
      <c r="AC979" s="65"/>
      <c r="AD979" s="65"/>
      <c r="AE979" s="65"/>
      <c r="AF979" s="65"/>
      <c r="AG979" s="65"/>
      <c r="AH979" s="65"/>
      <c r="AI979" s="65"/>
      <c r="AJ979" s="65"/>
      <c r="AK979" s="65"/>
      <c r="AL979" s="65"/>
      <c r="AM979" s="65"/>
    </row>
    <row r="980">
      <c r="AB980" s="65"/>
      <c r="AC980" s="65"/>
      <c r="AD980" s="65"/>
      <c r="AE980" s="65"/>
      <c r="AF980" s="65"/>
      <c r="AG980" s="65"/>
      <c r="AH980" s="65"/>
      <c r="AI980" s="65"/>
      <c r="AJ980" s="65"/>
      <c r="AK980" s="65"/>
      <c r="AL980" s="65"/>
      <c r="AM980" s="65"/>
    </row>
    <row r="981">
      <c r="AB981" s="65"/>
      <c r="AC981" s="65"/>
      <c r="AD981" s="65"/>
      <c r="AE981" s="65"/>
      <c r="AF981" s="65"/>
      <c r="AG981" s="65"/>
      <c r="AH981" s="65"/>
      <c r="AI981" s="65"/>
      <c r="AJ981" s="65"/>
      <c r="AK981" s="65"/>
      <c r="AL981" s="65"/>
      <c r="AM981" s="65"/>
    </row>
    <row r="982">
      <c r="AB982" s="65"/>
      <c r="AC982" s="65"/>
      <c r="AD982" s="65"/>
      <c r="AE982" s="65"/>
      <c r="AF982" s="65"/>
      <c r="AG982" s="65"/>
      <c r="AH982" s="65"/>
      <c r="AI982" s="65"/>
      <c r="AJ982" s="65"/>
      <c r="AK982" s="65"/>
      <c r="AL982" s="65"/>
      <c r="AM982" s="65"/>
    </row>
    <row r="983">
      <c r="AB983" s="65"/>
      <c r="AC983" s="65"/>
      <c r="AD983" s="65"/>
      <c r="AE983" s="65"/>
      <c r="AF983" s="65"/>
      <c r="AG983" s="65"/>
      <c r="AH983" s="65"/>
      <c r="AI983" s="65"/>
      <c r="AJ983" s="65"/>
      <c r="AK983" s="65"/>
      <c r="AL983" s="65"/>
      <c r="AM983" s="65"/>
    </row>
    <row r="984">
      <c r="AB984" s="65"/>
      <c r="AC984" s="65"/>
      <c r="AD984" s="65"/>
      <c r="AE984" s="65"/>
      <c r="AF984" s="65"/>
      <c r="AG984" s="65"/>
      <c r="AH984" s="65"/>
      <c r="AI984" s="65"/>
      <c r="AJ984" s="65"/>
      <c r="AK984" s="65"/>
      <c r="AL984" s="65"/>
      <c r="AM984" s="65"/>
    </row>
    <row r="985">
      <c r="AB985" s="65"/>
      <c r="AC985" s="65"/>
      <c r="AD985" s="65"/>
      <c r="AE985" s="65"/>
      <c r="AF985" s="65"/>
      <c r="AG985" s="65"/>
      <c r="AH985" s="65"/>
      <c r="AI985" s="65"/>
      <c r="AJ985" s="65"/>
      <c r="AK985" s="65"/>
      <c r="AL985" s="65"/>
      <c r="AM985" s="65"/>
    </row>
    <row r="986">
      <c r="AB986" s="65"/>
      <c r="AC986" s="65"/>
      <c r="AD986" s="65"/>
      <c r="AE986" s="65"/>
      <c r="AF986" s="65"/>
      <c r="AG986" s="65"/>
      <c r="AH986" s="65"/>
      <c r="AI986" s="65"/>
      <c r="AJ986" s="65"/>
      <c r="AK986" s="65"/>
      <c r="AL986" s="65"/>
      <c r="AM986" s="65"/>
    </row>
    <row r="987">
      <c r="AB987" s="65"/>
      <c r="AC987" s="65"/>
      <c r="AD987" s="65"/>
      <c r="AE987" s="65"/>
      <c r="AF987" s="65"/>
      <c r="AG987" s="65"/>
      <c r="AH987" s="65"/>
      <c r="AI987" s="65"/>
      <c r="AJ987" s="65"/>
      <c r="AK987" s="65"/>
      <c r="AL987" s="65"/>
      <c r="AM987" s="65"/>
    </row>
    <row r="988">
      <c r="AB988" s="65"/>
      <c r="AC988" s="65"/>
      <c r="AD988" s="65"/>
      <c r="AE988" s="65"/>
      <c r="AF988" s="65"/>
      <c r="AG988" s="65"/>
      <c r="AH988" s="65"/>
      <c r="AI988" s="65"/>
      <c r="AJ988" s="65"/>
      <c r="AK988" s="65"/>
      <c r="AL988" s="65"/>
      <c r="AM988" s="65"/>
    </row>
    <row r="989">
      <c r="AB989" s="65"/>
      <c r="AC989" s="65"/>
      <c r="AD989" s="65"/>
      <c r="AE989" s="65"/>
      <c r="AF989" s="65"/>
      <c r="AG989" s="65"/>
      <c r="AH989" s="65"/>
      <c r="AI989" s="65"/>
      <c r="AJ989" s="65"/>
      <c r="AK989" s="65"/>
      <c r="AL989" s="65"/>
      <c r="AM989" s="65"/>
    </row>
    <row r="990">
      <c r="AB990" s="65"/>
      <c r="AC990" s="65"/>
      <c r="AD990" s="65"/>
      <c r="AE990" s="65"/>
      <c r="AF990" s="65"/>
      <c r="AG990" s="65"/>
      <c r="AH990" s="65"/>
      <c r="AI990" s="65"/>
      <c r="AJ990" s="65"/>
      <c r="AK990" s="65"/>
      <c r="AL990" s="65"/>
      <c r="AM990" s="65"/>
    </row>
    <row r="991">
      <c r="AB991" s="65"/>
      <c r="AC991" s="65"/>
      <c r="AD991" s="65"/>
      <c r="AE991" s="65"/>
      <c r="AF991" s="65"/>
      <c r="AG991" s="65"/>
      <c r="AH991" s="65"/>
      <c r="AI991" s="65"/>
      <c r="AJ991" s="65"/>
      <c r="AK991" s="65"/>
      <c r="AL991" s="65"/>
      <c r="AM991" s="65"/>
    </row>
    <row r="992">
      <c r="AB992" s="65"/>
      <c r="AC992" s="65"/>
      <c r="AD992" s="65"/>
      <c r="AE992" s="65"/>
      <c r="AF992" s="65"/>
      <c r="AG992" s="65"/>
      <c r="AH992" s="65"/>
      <c r="AI992" s="65"/>
      <c r="AJ992" s="65"/>
      <c r="AK992" s="65"/>
      <c r="AL992" s="65"/>
      <c r="AM992" s="65"/>
    </row>
    <row r="993">
      <c r="AB993" s="65"/>
      <c r="AC993" s="65"/>
      <c r="AD993" s="65"/>
      <c r="AE993" s="65"/>
      <c r="AF993" s="65"/>
      <c r="AG993" s="65"/>
      <c r="AH993" s="65"/>
      <c r="AI993" s="65"/>
      <c r="AJ993" s="65"/>
      <c r="AK993" s="65"/>
      <c r="AL993" s="65"/>
      <c r="AM993" s="65"/>
    </row>
    <row r="994">
      <c r="AB994" s="65"/>
      <c r="AC994" s="65"/>
      <c r="AD994" s="65"/>
      <c r="AE994" s="65"/>
      <c r="AF994" s="65"/>
      <c r="AG994" s="65"/>
      <c r="AH994" s="65"/>
      <c r="AI994" s="65"/>
      <c r="AJ994" s="65"/>
      <c r="AK994" s="65"/>
      <c r="AL994" s="65"/>
      <c r="AM994" s="65"/>
    </row>
    <row r="995">
      <c r="AB995" s="65"/>
      <c r="AC995" s="65"/>
      <c r="AD995" s="65"/>
      <c r="AE995" s="65"/>
      <c r="AF995" s="65"/>
      <c r="AG995" s="65"/>
      <c r="AH995" s="65"/>
      <c r="AI995" s="65"/>
      <c r="AJ995" s="65"/>
      <c r="AK995" s="65"/>
      <c r="AL995" s="65"/>
      <c r="AM995" s="65"/>
    </row>
    <row r="996">
      <c r="AB996" s="65"/>
      <c r="AC996" s="65"/>
      <c r="AD996" s="65"/>
      <c r="AE996" s="65"/>
      <c r="AF996" s="65"/>
      <c r="AG996" s="65"/>
      <c r="AH996" s="65"/>
      <c r="AI996" s="65"/>
      <c r="AJ996" s="65"/>
      <c r="AK996" s="65"/>
      <c r="AL996" s="65"/>
      <c r="AM996" s="65"/>
    </row>
    <row r="997">
      <c r="AB997" s="65"/>
      <c r="AC997" s="65"/>
      <c r="AD997" s="65"/>
      <c r="AE997" s="65"/>
      <c r="AF997" s="65"/>
      <c r="AG997" s="65"/>
      <c r="AH997" s="65"/>
      <c r="AI997" s="65"/>
      <c r="AJ997" s="65"/>
      <c r="AK997" s="65"/>
      <c r="AL997" s="65"/>
      <c r="AM997" s="65"/>
    </row>
    <row r="998">
      <c r="AB998" s="65"/>
      <c r="AC998" s="65"/>
      <c r="AD998" s="65"/>
      <c r="AE998" s="65"/>
      <c r="AF998" s="65"/>
      <c r="AG998" s="65"/>
      <c r="AH998" s="65"/>
      <c r="AI998" s="65"/>
      <c r="AJ998" s="65"/>
      <c r="AK998" s="65"/>
      <c r="AL998" s="65"/>
      <c r="AM998" s="65"/>
    </row>
    <row r="999">
      <c r="AB999" s="65"/>
      <c r="AC999" s="65"/>
      <c r="AD999" s="65"/>
      <c r="AE999" s="65"/>
      <c r="AF999" s="65"/>
      <c r="AG999" s="65"/>
      <c r="AH999" s="65"/>
      <c r="AI999" s="65"/>
      <c r="AJ999" s="65"/>
      <c r="AK999" s="65"/>
      <c r="AL999" s="65"/>
      <c r="AM999" s="65"/>
    </row>
    <row r="1000">
      <c r="AB1000" s="65"/>
      <c r="AC1000" s="65"/>
      <c r="AD1000" s="65"/>
      <c r="AE1000" s="65"/>
      <c r="AF1000" s="65"/>
      <c r="AG1000" s="65"/>
      <c r="AH1000" s="65"/>
      <c r="AI1000" s="65"/>
      <c r="AJ1000" s="65"/>
      <c r="AK1000" s="65"/>
      <c r="AL1000" s="65"/>
      <c r="AM1000" s="65"/>
    </row>
  </sheetData>
  <autoFilter ref="$A$1:$CI$16"/>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2.25"/>
    <col customWidth="1" min="2" max="11" width="23.13"/>
    <col customWidth="1" min="12" max="21" width="16.88"/>
    <col customWidth="1" min="22" max="26" width="7.88"/>
  </cols>
  <sheetData>
    <row r="1">
      <c r="A1" s="3" t="s">
        <v>270</v>
      </c>
      <c r="B1" s="58" t="s">
        <v>271</v>
      </c>
      <c r="C1" s="58" t="s">
        <v>272</v>
      </c>
      <c r="D1" s="58" t="s">
        <v>273</v>
      </c>
      <c r="E1" s="58" t="s">
        <v>274</v>
      </c>
      <c r="F1" s="58" t="s">
        <v>275</v>
      </c>
      <c r="G1" s="58" t="s">
        <v>276</v>
      </c>
      <c r="H1" s="58" t="s">
        <v>277</v>
      </c>
      <c r="I1" s="58" t="s">
        <v>278</v>
      </c>
      <c r="J1" s="58" t="s">
        <v>279</v>
      </c>
      <c r="K1" s="58" t="s">
        <v>280</v>
      </c>
      <c r="L1" s="59" t="s">
        <v>20</v>
      </c>
      <c r="M1" s="59" t="s">
        <v>29</v>
      </c>
      <c r="N1" s="59" t="s">
        <v>37</v>
      </c>
      <c r="O1" s="59" t="s">
        <v>46</v>
      </c>
      <c r="P1" s="59" t="s">
        <v>57</v>
      </c>
      <c r="Q1" s="59" t="s">
        <v>65</v>
      </c>
      <c r="R1" s="59" t="s">
        <v>72</v>
      </c>
      <c r="S1" s="59" t="s">
        <v>75</v>
      </c>
      <c r="T1" s="59" t="s">
        <v>77</v>
      </c>
      <c r="U1" s="59" t="s">
        <v>79</v>
      </c>
    </row>
    <row r="2">
      <c r="A2" s="60">
        <v>46023.0</v>
      </c>
      <c r="B2" s="61">
        <f t="array" ref="B2:K13">TRANSPOSE('AM '!D2:O11)</f>
        <v>55696074.24</v>
      </c>
      <c r="C2" s="61">
        <v>5.569607423518381E7</v>
      </c>
      <c r="D2" s="61">
        <v>5.569607423518381E7</v>
      </c>
      <c r="E2" s="61">
        <v>5.569607423518381E7</v>
      </c>
      <c r="F2" s="61">
        <v>5.569607423518381E7</v>
      </c>
      <c r="G2" s="61">
        <v>5.569607423518381E7</v>
      </c>
      <c r="H2" s="61">
        <v>2.784803711759191E7</v>
      </c>
      <c r="I2" s="61">
        <v>2.784803711759191E7</v>
      </c>
      <c r="J2" s="61">
        <v>2.784803711759191E7</v>
      </c>
      <c r="K2" s="61">
        <v>2.784803711759191E7</v>
      </c>
      <c r="L2" s="62">
        <f t="array" ref="L2:U13">TRANSPOSE('AM '!BL2:BW11)</f>
        <v>56000000</v>
      </c>
      <c r="M2" s="62">
        <v>8.354411135277572E7</v>
      </c>
      <c r="N2" s="62">
        <v>8.354411135277574E7</v>
      </c>
      <c r="O2" s="62">
        <v>8.354411135277572E7</v>
      </c>
      <c r="P2" s="62">
        <v>8.354411135277571E7</v>
      </c>
      <c r="Q2" s="62">
        <v>8.354411135277571E7</v>
      </c>
      <c r="R2" s="62">
        <v>1.3924018558795955E7</v>
      </c>
      <c r="S2" s="62">
        <v>1.3924018558795953E7</v>
      </c>
      <c r="T2" s="62">
        <v>1.2236258733487355E7</v>
      </c>
      <c r="U2" s="62">
        <v>1.3566992441903751E7</v>
      </c>
    </row>
    <row r="3">
      <c r="A3" s="60">
        <v>46054.0</v>
      </c>
      <c r="B3" s="61">
        <v>6.962009279397978E7</v>
      </c>
      <c r="C3" s="61">
        <v>6.962009279397978E7</v>
      </c>
      <c r="D3" s="61">
        <v>6.962009279397978E7</v>
      </c>
      <c r="E3" s="61">
        <v>6.962009279397978E7</v>
      </c>
      <c r="F3" s="61">
        <v>6.962009279397978E7</v>
      </c>
      <c r="G3" s="61">
        <v>6.962009279397978E7</v>
      </c>
      <c r="H3" s="61">
        <v>3.481004639698989E7</v>
      </c>
      <c r="I3" s="61">
        <v>3.481004639698989E7</v>
      </c>
      <c r="J3" s="61">
        <v>3.481004639698989E7</v>
      </c>
      <c r="K3" s="61">
        <v>3.481004639698989E7</v>
      </c>
      <c r="L3" s="62">
        <v>8.0E7</v>
      </c>
      <c r="M3" s="62">
        <v>8.354411135277574E7</v>
      </c>
      <c r="N3" s="62">
        <v>8.354411135277575E7</v>
      </c>
      <c r="O3" s="62">
        <v>8.354411135277574E7</v>
      </c>
      <c r="P3" s="62">
        <v>8.354411135277572E7</v>
      </c>
      <c r="Q3" s="62">
        <v>8.354411135277572E7</v>
      </c>
      <c r="R3" s="62">
        <v>6962009.279397979</v>
      </c>
      <c r="S3" s="62">
        <v>6962009.279397978</v>
      </c>
      <c r="T3" s="62">
        <v>6118129.366743677</v>
      </c>
      <c r="U3" s="62">
        <v>6783496.220951877</v>
      </c>
    </row>
    <row r="4">
      <c r="A4" s="60">
        <v>46082.0</v>
      </c>
      <c r="B4" s="61">
        <v>8.354411135277572E7</v>
      </c>
      <c r="C4" s="61">
        <v>8.354411135277572E7</v>
      </c>
      <c r="D4" s="61">
        <v>8.354411135277572E7</v>
      </c>
      <c r="E4" s="61">
        <v>8.354411135277572E7</v>
      </c>
      <c r="F4" s="61">
        <v>8.354411135277572E7</v>
      </c>
      <c r="G4" s="61">
        <v>8.354411135277572E7</v>
      </c>
      <c r="H4" s="61">
        <v>4.177205567638786E7</v>
      </c>
      <c r="I4" s="61">
        <v>4.177205567638786E7</v>
      </c>
      <c r="J4" s="61">
        <v>4.177205567638786E7</v>
      </c>
      <c r="K4" s="61">
        <v>4.177205567638786E7</v>
      </c>
      <c r="L4" s="62">
        <v>8.4000002E7</v>
      </c>
      <c r="M4" s="62">
        <v>1.6708822270555145E8</v>
      </c>
      <c r="N4" s="62">
        <v>1.6708822270555148E8</v>
      </c>
      <c r="O4" s="62">
        <v>1.6708822270555145E8</v>
      </c>
      <c r="P4" s="62">
        <v>1.6708822270555142E8</v>
      </c>
      <c r="Q4" s="62">
        <v>1.6708822270555142E8</v>
      </c>
      <c r="R4" s="62">
        <v>4177205.567638786</v>
      </c>
      <c r="S4" s="62">
        <v>4177205.567638786</v>
      </c>
      <c r="T4" s="62">
        <v>3670877.620046207</v>
      </c>
      <c r="U4" s="62">
        <v>4070097.732571125</v>
      </c>
    </row>
    <row r="5">
      <c r="A5" s="60">
        <v>46113.0</v>
      </c>
      <c r="B5" s="61">
        <v>9.74681299115717E7</v>
      </c>
      <c r="C5" s="61">
        <v>9.74681299115717E7</v>
      </c>
      <c r="D5" s="61">
        <v>9.74681299115717E7</v>
      </c>
      <c r="E5" s="61">
        <v>9.74681299115717E7</v>
      </c>
      <c r="F5" s="61">
        <v>9.74681299115717E7</v>
      </c>
      <c r="G5" s="61">
        <v>9.74681299115717E7</v>
      </c>
      <c r="H5" s="61">
        <v>4.873406495578585E7</v>
      </c>
      <c r="I5" s="61">
        <v>4.873406495578585E7</v>
      </c>
      <c r="J5" s="61">
        <v>4.873406495578585E7</v>
      </c>
      <c r="K5" s="61">
        <v>4.873406495578585E7</v>
      </c>
      <c r="L5" s="62">
        <v>8.4000001E7</v>
      </c>
      <c r="M5" s="62">
        <v>1.3645538187620038E8</v>
      </c>
      <c r="N5" s="62">
        <v>1.3645538187620038E8</v>
      </c>
      <c r="O5" s="62">
        <v>1.3645538187620038E8</v>
      </c>
      <c r="P5" s="62">
        <v>1.364553818762004E8</v>
      </c>
      <c r="Q5" s="62">
        <v>1.364553818762004E8</v>
      </c>
      <c r="R5" s="62">
        <v>4.873406495578585E7</v>
      </c>
      <c r="S5" s="62">
        <v>4.873406495578584E7</v>
      </c>
      <c r="T5" s="62">
        <v>4.282690556720576E7</v>
      </c>
      <c r="U5" s="62">
        <v>4.7484473546663135E7</v>
      </c>
    </row>
    <row r="6">
      <c r="A6" s="60">
        <v>46143.0</v>
      </c>
      <c r="B6" s="61">
        <v>1.1139214847036763E8</v>
      </c>
      <c r="C6" s="61">
        <v>1.1139214847036763E8</v>
      </c>
      <c r="D6" s="61">
        <v>1.1139214847036763E8</v>
      </c>
      <c r="E6" s="61">
        <v>1.1139214847036763E8</v>
      </c>
      <c r="F6" s="61">
        <v>1.1139214847036763E8</v>
      </c>
      <c r="G6" s="61">
        <v>1.1139214847036763E8</v>
      </c>
      <c r="H6" s="61">
        <v>5.569607423518382E7</v>
      </c>
      <c r="I6" s="61">
        <v>5.569607423518382E7</v>
      </c>
      <c r="J6" s="61">
        <v>5.569607423518382E7</v>
      </c>
      <c r="K6" s="61">
        <v>5.569607423518382E7</v>
      </c>
      <c r="L6" s="62">
        <v>9.0999999E7</v>
      </c>
      <c r="M6" s="62">
        <v>1.225313633174044E8</v>
      </c>
      <c r="N6" s="62">
        <v>1.2253136331740443E8</v>
      </c>
      <c r="O6" s="62">
        <v>1.225313633174044E8</v>
      </c>
      <c r="P6" s="62">
        <v>1.2253136331740437E8</v>
      </c>
      <c r="Q6" s="62">
        <v>1.2253136331740439E8</v>
      </c>
      <c r="R6" s="62">
        <v>1.1139214847036764E7</v>
      </c>
      <c r="S6" s="62">
        <v>1.1139214847036762E7</v>
      </c>
      <c r="T6" s="62">
        <v>9789006.986789886</v>
      </c>
      <c r="U6" s="62">
        <v>1.0853593953523004E7</v>
      </c>
    </row>
    <row r="7">
      <c r="A7" s="60">
        <v>46174.0</v>
      </c>
      <c r="B7" s="61">
        <v>1.253161670291636E8</v>
      </c>
      <c r="C7" s="61">
        <v>1.253161670291636E8</v>
      </c>
      <c r="D7" s="61">
        <v>1.253161670291636E8</v>
      </c>
      <c r="E7" s="61">
        <v>1.253161670291636E8</v>
      </c>
      <c r="F7" s="61">
        <v>1.253161670291636E8</v>
      </c>
      <c r="G7" s="61">
        <v>1.253161670291636E8</v>
      </c>
      <c r="H7" s="61">
        <v>6.26580835145818E7</v>
      </c>
      <c r="I7" s="61">
        <v>6.26580835145818E7</v>
      </c>
      <c r="J7" s="61">
        <v>6.26580835145818E7</v>
      </c>
      <c r="K7" s="61">
        <v>6.26580835145818E7</v>
      </c>
      <c r="L7" s="62">
        <v>9.6804206E7</v>
      </c>
      <c r="M7" s="62">
        <v>3.13290417572909E8</v>
      </c>
      <c r="N7" s="62">
        <v>3.13290417572909E8</v>
      </c>
      <c r="O7" s="62">
        <v>3.1329041757290894E8</v>
      </c>
      <c r="P7" s="62">
        <v>3.13290417572909E8</v>
      </c>
      <c r="Q7" s="62">
        <v>3.13290417572909E8</v>
      </c>
      <c r="R7" s="62">
        <v>313290.41757290903</v>
      </c>
      <c r="S7" s="62">
        <v>313290.41757290903</v>
      </c>
      <c r="T7" s="62">
        <v>275315.8215034655</v>
      </c>
      <c r="U7" s="62">
        <v>305257.3299428344</v>
      </c>
    </row>
    <row r="8">
      <c r="A8" s="60">
        <v>46204.0</v>
      </c>
      <c r="B8" s="61">
        <v>1.253161670291636E8</v>
      </c>
      <c r="C8" s="61">
        <v>1.253161670291636E8</v>
      </c>
      <c r="D8" s="61">
        <v>1.253161670291636E8</v>
      </c>
      <c r="E8" s="61">
        <v>1.253161670291636E8</v>
      </c>
      <c r="F8" s="61">
        <v>1.253161670291636E8</v>
      </c>
      <c r="G8" s="61">
        <v>1.253161670291636E8</v>
      </c>
      <c r="H8" s="61">
        <v>6.26580835145818E7</v>
      </c>
      <c r="I8" s="61">
        <v>6.26580835145818E7</v>
      </c>
      <c r="J8" s="61">
        <v>6.26580835145818E7</v>
      </c>
      <c r="K8" s="61">
        <v>6.26580835145818E7</v>
      </c>
      <c r="L8" s="62">
        <v>2.5E8</v>
      </c>
      <c r="M8" s="62">
        <v>2.882271841670763E8</v>
      </c>
      <c r="N8" s="62">
        <v>2.882271841670763E8</v>
      </c>
      <c r="O8" s="62">
        <v>2.882271841670763E8</v>
      </c>
      <c r="P8" s="62">
        <v>2.882271841670762E8</v>
      </c>
      <c r="Q8" s="62">
        <v>2.882271841670763E8</v>
      </c>
      <c r="R8" s="62">
        <v>4.19809159547698E7</v>
      </c>
      <c r="S8" s="62">
        <v>4.19809159547698E7</v>
      </c>
      <c r="T8" s="62">
        <v>3.689232008146437E7</v>
      </c>
      <c r="U8" s="62">
        <v>4.090448221233981E7</v>
      </c>
    </row>
    <row r="9">
      <c r="A9" s="60">
        <v>46235.0</v>
      </c>
      <c r="B9" s="61">
        <v>1.253161670291636E8</v>
      </c>
      <c r="C9" s="61">
        <v>1.253161670291636E8</v>
      </c>
      <c r="D9" s="61">
        <v>1.253161670291636E8</v>
      </c>
      <c r="E9" s="61">
        <v>1.253161670291636E8</v>
      </c>
      <c r="F9" s="61">
        <v>1.253161670291636E8</v>
      </c>
      <c r="G9" s="61">
        <v>1.253161670291636E8</v>
      </c>
      <c r="H9" s="61">
        <v>6.26580835145818E7</v>
      </c>
      <c r="I9" s="61">
        <v>6.26580835145818E7</v>
      </c>
      <c r="J9" s="61">
        <v>6.26580835145818E7</v>
      </c>
      <c r="K9" s="61">
        <v>6.26580835145818E7</v>
      </c>
      <c r="L9" s="62">
        <v>0.0</v>
      </c>
      <c r="M9" s="62">
        <v>0.0</v>
      </c>
      <c r="N9" s="62">
        <v>0.0</v>
      </c>
      <c r="O9" s="62">
        <v>0.0</v>
      </c>
      <c r="P9" s="62">
        <v>0.0</v>
      </c>
      <c r="Q9" s="62">
        <v>0.0</v>
      </c>
      <c r="R9" s="62">
        <v>0.0</v>
      </c>
      <c r="S9" s="62">
        <v>0.0</v>
      </c>
      <c r="T9" s="62">
        <v>0.0</v>
      </c>
      <c r="U9" s="62">
        <v>0.0</v>
      </c>
    </row>
    <row r="10">
      <c r="A10" s="60">
        <v>46266.0</v>
      </c>
      <c r="B10" s="61">
        <v>1.3924018558795956E8</v>
      </c>
      <c r="C10" s="61">
        <v>1.3924018558795956E8</v>
      </c>
      <c r="D10" s="61">
        <v>1.3924018558795956E8</v>
      </c>
      <c r="E10" s="61">
        <v>1.3924018558795956E8</v>
      </c>
      <c r="F10" s="61">
        <v>1.3924018558795956E8</v>
      </c>
      <c r="G10" s="61">
        <v>1.3924018558795956E8</v>
      </c>
      <c r="H10" s="61">
        <v>6.962009279397978E7</v>
      </c>
      <c r="I10" s="61">
        <v>6.962009279397978E7</v>
      </c>
      <c r="J10" s="61">
        <v>6.962009279397978E7</v>
      </c>
      <c r="K10" s="61">
        <v>6.962009279397978E7</v>
      </c>
      <c r="L10" s="62">
        <v>0.0</v>
      </c>
      <c r="M10" s="62">
        <v>0.0</v>
      </c>
      <c r="N10" s="62">
        <v>0.0</v>
      </c>
      <c r="O10" s="62">
        <v>0.0</v>
      </c>
      <c r="P10" s="62">
        <v>0.0</v>
      </c>
      <c r="Q10" s="62">
        <v>0.0</v>
      </c>
      <c r="R10" s="62">
        <v>0.0</v>
      </c>
      <c r="S10" s="62">
        <v>0.0</v>
      </c>
      <c r="T10" s="62">
        <v>0.0</v>
      </c>
      <c r="U10" s="62">
        <v>0.0</v>
      </c>
    </row>
    <row r="11">
      <c r="A11" s="63">
        <v>46296.0</v>
      </c>
      <c r="B11" s="61">
        <v>1.3924018558795956E8</v>
      </c>
      <c r="C11" s="61">
        <v>1.3924018558795956E8</v>
      </c>
      <c r="D11" s="61">
        <v>1.3924018558795956E8</v>
      </c>
      <c r="E11" s="61">
        <v>1.3924018558795956E8</v>
      </c>
      <c r="F11" s="61">
        <v>1.3924018558795956E8</v>
      </c>
      <c r="G11" s="61">
        <v>1.3924018558795956E8</v>
      </c>
      <c r="H11" s="61">
        <v>6.962009279397978E7</v>
      </c>
      <c r="I11" s="61">
        <v>6.962009279397978E7</v>
      </c>
      <c r="J11" s="61">
        <v>6.962009279397978E7</v>
      </c>
      <c r="K11" s="61">
        <v>6.962009279397978E7</v>
      </c>
      <c r="L11" s="62">
        <v>0.0</v>
      </c>
      <c r="M11" s="62">
        <v>0.0</v>
      </c>
      <c r="N11" s="62">
        <v>0.0</v>
      </c>
      <c r="O11" s="62">
        <v>0.0</v>
      </c>
      <c r="P11" s="62">
        <v>0.0</v>
      </c>
      <c r="Q11" s="62">
        <v>0.0</v>
      </c>
      <c r="R11" s="62">
        <v>0.0</v>
      </c>
      <c r="S11" s="62">
        <v>0.0</v>
      </c>
      <c r="T11" s="62">
        <v>0.0</v>
      </c>
      <c r="U11" s="62">
        <v>0.0</v>
      </c>
    </row>
    <row r="12">
      <c r="A12" s="63">
        <v>46327.0</v>
      </c>
      <c r="B12" s="61">
        <v>1.5316420414675552E8</v>
      </c>
      <c r="C12" s="61">
        <v>1.5316420414675552E8</v>
      </c>
      <c r="D12" s="61">
        <v>1.5316420414675552E8</v>
      </c>
      <c r="E12" s="61">
        <v>1.5316420414675552E8</v>
      </c>
      <c r="F12" s="61">
        <v>1.5316420414675552E8</v>
      </c>
      <c r="G12" s="61">
        <v>1.5316420414675552E8</v>
      </c>
      <c r="H12" s="61">
        <v>7.658210207337776E7</v>
      </c>
      <c r="I12" s="61">
        <v>7.658210207337776E7</v>
      </c>
      <c r="J12" s="61">
        <v>7.658210207337776E7</v>
      </c>
      <c r="K12" s="61">
        <v>7.658210207337776E7</v>
      </c>
      <c r="L12" s="62">
        <v>0.0</v>
      </c>
      <c r="M12" s="62">
        <v>0.0</v>
      </c>
      <c r="N12" s="62">
        <v>0.0</v>
      </c>
      <c r="O12" s="62">
        <v>0.0</v>
      </c>
      <c r="P12" s="62">
        <v>0.0</v>
      </c>
      <c r="Q12" s="62">
        <v>0.0</v>
      </c>
      <c r="R12" s="62">
        <v>0.0</v>
      </c>
      <c r="S12" s="62">
        <v>0.0</v>
      </c>
      <c r="T12" s="62">
        <v>0.0</v>
      </c>
      <c r="U12" s="62">
        <v>0.0</v>
      </c>
    </row>
    <row r="13">
      <c r="A13" s="63">
        <v>46357.0</v>
      </c>
      <c r="B13" s="61">
        <v>1.6708822270555145E8</v>
      </c>
      <c r="C13" s="61">
        <v>1.6708822270555145E8</v>
      </c>
      <c r="D13" s="61">
        <v>1.6708822270555145E8</v>
      </c>
      <c r="E13" s="61">
        <v>1.6708822270555145E8</v>
      </c>
      <c r="F13" s="61">
        <v>1.6708822270555145E8</v>
      </c>
      <c r="G13" s="61">
        <v>1.6708822270555145E8</v>
      </c>
      <c r="H13" s="61">
        <v>8.354411135277572E7</v>
      </c>
      <c r="I13" s="61">
        <v>8.354411135277572E7</v>
      </c>
      <c r="J13" s="61">
        <v>8.354411135277572E7</v>
      </c>
      <c r="K13" s="61">
        <v>8.354411135277572E7</v>
      </c>
      <c r="L13" s="62">
        <v>0.0</v>
      </c>
      <c r="M13" s="62">
        <v>0.0</v>
      </c>
      <c r="N13" s="62">
        <v>0.0</v>
      </c>
      <c r="O13" s="62">
        <v>0.0</v>
      </c>
      <c r="P13" s="62">
        <v>0.0</v>
      </c>
      <c r="Q13" s="62">
        <v>0.0</v>
      </c>
      <c r="R13" s="62">
        <v>0.0</v>
      </c>
      <c r="S13" s="62">
        <v>0.0</v>
      </c>
      <c r="T13" s="62">
        <v>0.0</v>
      </c>
      <c r="U13" s="62">
        <v>0.0</v>
      </c>
    </row>
    <row r="14">
      <c r="L14" s="64"/>
      <c r="M14" s="64"/>
      <c r="N14" s="64"/>
      <c r="O14" s="64"/>
      <c r="P14" s="64"/>
      <c r="Q14" s="64"/>
      <c r="R14" s="64"/>
      <c r="S14" s="64"/>
      <c r="T14" s="64"/>
      <c r="U14" s="64"/>
    </row>
    <row r="15">
      <c r="L15" s="64"/>
      <c r="M15" s="64"/>
      <c r="N15" s="64"/>
      <c r="O15" s="64"/>
      <c r="P15" s="64"/>
      <c r="Q15" s="64"/>
      <c r="R15" s="64"/>
      <c r="S15" s="64"/>
      <c r="T15" s="64"/>
      <c r="U15" s="64"/>
    </row>
    <row r="16">
      <c r="L16" s="64"/>
      <c r="M16" s="64"/>
      <c r="N16" s="64"/>
      <c r="O16" s="64"/>
      <c r="P16" s="64"/>
      <c r="Q16" s="64"/>
      <c r="R16" s="64"/>
      <c r="S16" s="64"/>
      <c r="T16" s="64"/>
      <c r="U16" s="64"/>
    </row>
    <row r="17">
      <c r="L17" s="64"/>
      <c r="M17" s="64"/>
      <c r="N17" s="64"/>
      <c r="O17" s="64"/>
      <c r="P17" s="64"/>
      <c r="Q17" s="64"/>
      <c r="R17" s="64"/>
      <c r="S17" s="64"/>
      <c r="T17" s="64"/>
      <c r="U17" s="64"/>
    </row>
    <row r="18">
      <c r="L18" s="64"/>
      <c r="M18" s="64"/>
      <c r="N18" s="64"/>
      <c r="O18" s="64"/>
      <c r="P18" s="64"/>
      <c r="Q18" s="64"/>
      <c r="R18" s="64"/>
      <c r="S18" s="64"/>
      <c r="T18" s="64"/>
      <c r="U18" s="64"/>
    </row>
    <row r="19">
      <c r="L19" s="64"/>
      <c r="M19" s="64"/>
      <c r="N19" s="64"/>
      <c r="O19" s="64"/>
      <c r="P19" s="64"/>
      <c r="Q19" s="64"/>
      <c r="R19" s="64"/>
      <c r="S19" s="64"/>
      <c r="T19" s="64"/>
      <c r="U19" s="64"/>
    </row>
    <row r="20">
      <c r="L20" s="64"/>
      <c r="M20" s="64"/>
      <c r="N20" s="64"/>
      <c r="O20" s="64"/>
      <c r="P20" s="64"/>
      <c r="Q20" s="64"/>
      <c r="R20" s="64"/>
      <c r="S20" s="64"/>
      <c r="T20" s="64"/>
      <c r="U20" s="64"/>
    </row>
    <row r="21">
      <c r="L21" s="64"/>
      <c r="M21" s="64"/>
      <c r="N21" s="64"/>
      <c r="O21" s="64"/>
      <c r="P21" s="64"/>
      <c r="Q21" s="64"/>
      <c r="R21" s="64"/>
      <c r="S21" s="64"/>
      <c r="T21" s="64"/>
      <c r="U21" s="64"/>
    </row>
    <row r="22">
      <c r="L22" s="64"/>
      <c r="M22" s="64"/>
      <c r="N22" s="64"/>
      <c r="O22" s="64"/>
      <c r="P22" s="64"/>
      <c r="Q22" s="64"/>
      <c r="R22" s="64"/>
      <c r="S22" s="64"/>
      <c r="T22" s="64"/>
      <c r="U22" s="64"/>
    </row>
    <row r="23">
      <c r="L23" s="64"/>
      <c r="M23" s="64"/>
      <c r="N23" s="64"/>
      <c r="O23" s="64"/>
      <c r="P23" s="64"/>
      <c r="Q23" s="64"/>
      <c r="R23" s="64"/>
      <c r="S23" s="64"/>
      <c r="T23" s="64"/>
      <c r="U23" s="64"/>
    </row>
    <row r="24">
      <c r="L24" s="64"/>
      <c r="M24" s="64"/>
      <c r="N24" s="64"/>
      <c r="O24" s="64"/>
      <c r="P24" s="64"/>
      <c r="Q24" s="64"/>
      <c r="R24" s="64"/>
      <c r="S24" s="64"/>
      <c r="T24" s="64"/>
      <c r="U24" s="64"/>
    </row>
    <row r="25">
      <c r="L25" s="64"/>
      <c r="M25" s="64"/>
      <c r="N25" s="64"/>
      <c r="O25" s="64"/>
      <c r="P25" s="64"/>
      <c r="Q25" s="64"/>
      <c r="R25" s="64"/>
      <c r="S25" s="64"/>
      <c r="T25" s="64"/>
      <c r="U25" s="64"/>
    </row>
    <row r="26">
      <c r="L26" s="64"/>
      <c r="M26" s="64"/>
      <c r="N26" s="64"/>
      <c r="O26" s="64"/>
      <c r="P26" s="64"/>
      <c r="Q26" s="64"/>
      <c r="R26" s="64"/>
      <c r="S26" s="64"/>
      <c r="T26" s="64"/>
      <c r="U26" s="64"/>
    </row>
    <row r="27">
      <c r="L27" s="64"/>
      <c r="M27" s="64"/>
      <c r="N27" s="64"/>
      <c r="O27" s="64"/>
      <c r="P27" s="64"/>
      <c r="Q27" s="64"/>
      <c r="R27" s="64"/>
      <c r="S27" s="64"/>
      <c r="T27" s="64"/>
      <c r="U27" s="64"/>
    </row>
    <row r="28">
      <c r="L28" s="64"/>
      <c r="M28" s="64"/>
      <c r="N28" s="64"/>
      <c r="O28" s="64"/>
      <c r="P28" s="64"/>
      <c r="Q28" s="64"/>
      <c r="R28" s="64"/>
      <c r="S28" s="64"/>
      <c r="T28" s="64"/>
      <c r="U28" s="64"/>
    </row>
    <row r="29">
      <c r="L29" s="64"/>
      <c r="M29" s="64"/>
      <c r="N29" s="64"/>
      <c r="O29" s="64"/>
      <c r="P29" s="64"/>
      <c r="Q29" s="64"/>
      <c r="R29" s="64"/>
      <c r="S29" s="64"/>
      <c r="T29" s="64"/>
      <c r="U29" s="64"/>
    </row>
    <row r="30">
      <c r="L30" s="64"/>
      <c r="M30" s="64"/>
      <c r="N30" s="64"/>
      <c r="O30" s="64"/>
      <c r="P30" s="64"/>
      <c r="Q30" s="64"/>
      <c r="R30" s="64"/>
      <c r="S30" s="64"/>
      <c r="T30" s="64"/>
      <c r="U30" s="64"/>
    </row>
    <row r="31">
      <c r="L31" s="64"/>
      <c r="M31" s="64"/>
      <c r="N31" s="64"/>
      <c r="O31" s="64"/>
      <c r="P31" s="64"/>
      <c r="Q31" s="64"/>
      <c r="R31" s="64"/>
      <c r="S31" s="64"/>
      <c r="T31" s="64"/>
      <c r="U31" s="64"/>
    </row>
    <row r="32">
      <c r="L32" s="64"/>
      <c r="M32" s="64"/>
      <c r="N32" s="64"/>
      <c r="O32" s="64"/>
      <c r="P32" s="64"/>
      <c r="Q32" s="64"/>
      <c r="R32" s="64"/>
      <c r="S32" s="64"/>
      <c r="T32" s="64"/>
      <c r="U32" s="64"/>
    </row>
    <row r="33">
      <c r="L33" s="64"/>
      <c r="M33" s="64"/>
      <c r="N33" s="64"/>
      <c r="O33" s="64"/>
      <c r="P33" s="64"/>
      <c r="Q33" s="64"/>
      <c r="R33" s="64"/>
      <c r="S33" s="64"/>
      <c r="T33" s="64"/>
      <c r="U33" s="64"/>
    </row>
    <row r="34">
      <c r="L34" s="64"/>
      <c r="M34" s="64"/>
      <c r="N34" s="64"/>
      <c r="O34" s="64"/>
      <c r="P34" s="64"/>
      <c r="Q34" s="64"/>
      <c r="R34" s="64"/>
      <c r="S34" s="64"/>
      <c r="T34" s="64"/>
      <c r="U34" s="64"/>
    </row>
    <row r="35">
      <c r="L35" s="64"/>
      <c r="M35" s="64"/>
      <c r="N35" s="64"/>
      <c r="O35" s="64"/>
      <c r="P35" s="64"/>
      <c r="Q35" s="64"/>
      <c r="R35" s="64"/>
      <c r="S35" s="64"/>
      <c r="T35" s="64"/>
      <c r="U35" s="64"/>
    </row>
    <row r="36">
      <c r="L36" s="64"/>
      <c r="M36" s="64"/>
      <c r="N36" s="64"/>
      <c r="O36" s="64"/>
      <c r="P36" s="64"/>
      <c r="Q36" s="64"/>
      <c r="R36" s="64"/>
      <c r="S36" s="64"/>
      <c r="T36" s="64"/>
      <c r="U36" s="64"/>
    </row>
    <row r="37">
      <c r="L37" s="64"/>
      <c r="M37" s="64"/>
      <c r="N37" s="64"/>
      <c r="O37" s="64"/>
      <c r="P37" s="64"/>
      <c r="Q37" s="64"/>
      <c r="R37" s="64"/>
      <c r="S37" s="64"/>
      <c r="T37" s="64"/>
      <c r="U37" s="64"/>
    </row>
    <row r="38">
      <c r="L38" s="64"/>
      <c r="M38" s="64"/>
      <c r="N38" s="64"/>
      <c r="O38" s="64"/>
      <c r="P38" s="64"/>
      <c r="Q38" s="64"/>
      <c r="R38" s="64"/>
      <c r="S38" s="64"/>
      <c r="T38" s="64"/>
      <c r="U38" s="64"/>
    </row>
    <row r="39">
      <c r="L39" s="64"/>
      <c r="M39" s="64"/>
      <c r="N39" s="64"/>
      <c r="O39" s="64"/>
      <c r="P39" s="64"/>
      <c r="Q39" s="64"/>
      <c r="R39" s="64"/>
      <c r="S39" s="64"/>
      <c r="T39" s="64"/>
      <c r="U39" s="64"/>
    </row>
    <row r="40">
      <c r="L40" s="64"/>
      <c r="M40" s="64"/>
      <c r="N40" s="64"/>
      <c r="O40" s="64"/>
      <c r="P40" s="64"/>
      <c r="Q40" s="64"/>
      <c r="R40" s="64"/>
      <c r="S40" s="64"/>
      <c r="T40" s="64"/>
      <c r="U40" s="64"/>
    </row>
    <row r="41">
      <c r="L41" s="64"/>
      <c r="M41" s="64"/>
      <c r="N41" s="64"/>
      <c r="O41" s="64"/>
      <c r="P41" s="64"/>
      <c r="Q41" s="64"/>
      <c r="R41" s="64"/>
      <c r="S41" s="64"/>
      <c r="T41" s="64"/>
      <c r="U41" s="64"/>
    </row>
    <row r="42">
      <c r="L42" s="64"/>
      <c r="M42" s="64"/>
      <c r="N42" s="64"/>
      <c r="O42" s="64"/>
      <c r="P42" s="64"/>
      <c r="Q42" s="64"/>
      <c r="R42" s="64"/>
      <c r="S42" s="64"/>
      <c r="T42" s="64"/>
      <c r="U42" s="64"/>
    </row>
    <row r="43">
      <c r="L43" s="64"/>
      <c r="M43" s="64"/>
      <c r="N43" s="64"/>
      <c r="O43" s="64"/>
      <c r="P43" s="64"/>
      <c r="Q43" s="64"/>
      <c r="R43" s="64"/>
      <c r="S43" s="64"/>
      <c r="T43" s="64"/>
      <c r="U43" s="64"/>
    </row>
    <row r="44">
      <c r="L44" s="64"/>
      <c r="M44" s="64"/>
      <c r="N44" s="64"/>
      <c r="O44" s="64"/>
      <c r="P44" s="64"/>
      <c r="Q44" s="64"/>
      <c r="R44" s="64"/>
      <c r="S44" s="64"/>
      <c r="T44" s="64"/>
      <c r="U44" s="64"/>
    </row>
    <row r="45">
      <c r="L45" s="64"/>
      <c r="M45" s="64"/>
      <c r="N45" s="64"/>
      <c r="O45" s="64"/>
      <c r="P45" s="64"/>
      <c r="Q45" s="64"/>
      <c r="R45" s="64"/>
      <c r="S45" s="64"/>
      <c r="T45" s="64"/>
      <c r="U45" s="64"/>
    </row>
    <row r="46">
      <c r="L46" s="64"/>
      <c r="M46" s="64"/>
      <c r="N46" s="64"/>
      <c r="O46" s="64"/>
      <c r="P46" s="64"/>
      <c r="Q46" s="64"/>
      <c r="R46" s="64"/>
      <c r="S46" s="64"/>
      <c r="T46" s="64"/>
      <c r="U46" s="64"/>
    </row>
    <row r="47">
      <c r="L47" s="64"/>
      <c r="M47" s="64"/>
      <c r="N47" s="64"/>
      <c r="O47" s="64"/>
      <c r="P47" s="64"/>
      <c r="Q47" s="64"/>
      <c r="R47" s="64"/>
      <c r="S47" s="64"/>
      <c r="T47" s="64"/>
      <c r="U47" s="64"/>
    </row>
    <row r="48">
      <c r="L48" s="64"/>
      <c r="M48" s="64"/>
      <c r="N48" s="64"/>
      <c r="O48" s="64"/>
      <c r="P48" s="64"/>
      <c r="Q48" s="64"/>
      <c r="R48" s="64"/>
      <c r="S48" s="64"/>
      <c r="T48" s="64"/>
      <c r="U48" s="64"/>
    </row>
    <row r="49">
      <c r="L49" s="64"/>
      <c r="M49" s="64"/>
      <c r="N49" s="64"/>
      <c r="O49" s="64"/>
      <c r="P49" s="64"/>
      <c r="Q49" s="64"/>
      <c r="R49" s="64"/>
      <c r="S49" s="64"/>
      <c r="T49" s="64"/>
      <c r="U49" s="64"/>
    </row>
    <row r="50">
      <c r="L50" s="64"/>
      <c r="M50" s="64"/>
      <c r="N50" s="64"/>
      <c r="O50" s="64"/>
      <c r="P50" s="64"/>
      <c r="Q50" s="64"/>
      <c r="R50" s="64"/>
      <c r="S50" s="64"/>
      <c r="T50" s="64"/>
      <c r="U50" s="64"/>
    </row>
    <row r="51">
      <c r="L51" s="64"/>
      <c r="M51" s="64"/>
      <c r="N51" s="64"/>
      <c r="O51" s="64"/>
      <c r="P51" s="64"/>
      <c r="Q51" s="64"/>
      <c r="R51" s="64"/>
      <c r="S51" s="64"/>
      <c r="T51" s="64"/>
      <c r="U51" s="64"/>
    </row>
    <row r="52">
      <c r="L52" s="64"/>
      <c r="M52" s="64"/>
      <c r="N52" s="64"/>
      <c r="O52" s="64"/>
      <c r="P52" s="64"/>
      <c r="Q52" s="64"/>
      <c r="R52" s="64"/>
      <c r="S52" s="64"/>
      <c r="T52" s="64"/>
      <c r="U52" s="64"/>
    </row>
    <row r="53">
      <c r="L53" s="64"/>
      <c r="M53" s="64"/>
      <c r="N53" s="64"/>
      <c r="O53" s="64"/>
      <c r="P53" s="64"/>
      <c r="Q53" s="64"/>
      <c r="R53" s="64"/>
      <c r="S53" s="64"/>
      <c r="T53" s="64"/>
      <c r="U53" s="64"/>
    </row>
    <row r="54">
      <c r="L54" s="64"/>
      <c r="M54" s="64"/>
      <c r="N54" s="64"/>
      <c r="O54" s="64"/>
      <c r="P54" s="64"/>
      <c r="Q54" s="64"/>
      <c r="R54" s="64"/>
      <c r="S54" s="64"/>
      <c r="T54" s="64"/>
      <c r="U54" s="64"/>
    </row>
    <row r="55">
      <c r="L55" s="64"/>
      <c r="M55" s="64"/>
      <c r="N55" s="64"/>
      <c r="O55" s="64"/>
      <c r="P55" s="64"/>
      <c r="Q55" s="64"/>
      <c r="R55" s="64"/>
      <c r="S55" s="64"/>
      <c r="T55" s="64"/>
      <c r="U55" s="64"/>
    </row>
    <row r="56">
      <c r="L56" s="64"/>
      <c r="M56" s="64"/>
      <c r="N56" s="64"/>
      <c r="O56" s="64"/>
      <c r="P56" s="64"/>
      <c r="Q56" s="64"/>
      <c r="R56" s="64"/>
      <c r="S56" s="64"/>
      <c r="T56" s="64"/>
      <c r="U56" s="64"/>
    </row>
    <row r="57">
      <c r="L57" s="64"/>
      <c r="M57" s="64"/>
      <c r="N57" s="64"/>
      <c r="O57" s="64"/>
      <c r="P57" s="64"/>
      <c r="Q57" s="64"/>
      <c r="R57" s="64"/>
      <c r="S57" s="64"/>
      <c r="T57" s="64"/>
      <c r="U57" s="64"/>
    </row>
    <row r="58">
      <c r="L58" s="64"/>
      <c r="M58" s="64"/>
      <c r="N58" s="64"/>
      <c r="O58" s="64"/>
      <c r="P58" s="64"/>
      <c r="Q58" s="64"/>
      <c r="R58" s="64"/>
      <c r="S58" s="64"/>
      <c r="T58" s="64"/>
      <c r="U58" s="64"/>
    </row>
    <row r="59">
      <c r="L59" s="64"/>
      <c r="M59" s="64"/>
      <c r="N59" s="64"/>
      <c r="O59" s="64"/>
      <c r="P59" s="64"/>
      <c r="Q59" s="64"/>
      <c r="R59" s="64"/>
      <c r="S59" s="64"/>
      <c r="T59" s="64"/>
      <c r="U59" s="64"/>
    </row>
    <row r="60">
      <c r="L60" s="64"/>
      <c r="M60" s="64"/>
      <c r="N60" s="64"/>
      <c r="O60" s="64"/>
      <c r="P60" s="64"/>
      <c r="Q60" s="64"/>
      <c r="R60" s="64"/>
      <c r="S60" s="64"/>
      <c r="T60" s="64"/>
      <c r="U60" s="64"/>
    </row>
    <row r="61">
      <c r="L61" s="64"/>
      <c r="M61" s="64"/>
      <c r="N61" s="64"/>
      <c r="O61" s="64"/>
      <c r="P61" s="64"/>
      <c r="Q61" s="64"/>
      <c r="R61" s="64"/>
      <c r="S61" s="64"/>
      <c r="T61" s="64"/>
      <c r="U61" s="64"/>
    </row>
    <row r="62">
      <c r="L62" s="64"/>
      <c r="M62" s="64"/>
      <c r="N62" s="64"/>
      <c r="O62" s="64"/>
      <c r="P62" s="64"/>
      <c r="Q62" s="64"/>
      <c r="R62" s="64"/>
      <c r="S62" s="64"/>
      <c r="T62" s="64"/>
      <c r="U62" s="64"/>
    </row>
    <row r="63">
      <c r="L63" s="64"/>
      <c r="M63" s="64"/>
      <c r="N63" s="64"/>
      <c r="O63" s="64"/>
      <c r="P63" s="64"/>
      <c r="Q63" s="64"/>
      <c r="R63" s="64"/>
      <c r="S63" s="64"/>
      <c r="T63" s="64"/>
      <c r="U63" s="64"/>
    </row>
    <row r="64">
      <c r="L64" s="64"/>
      <c r="M64" s="64"/>
      <c r="N64" s="64"/>
      <c r="O64" s="64"/>
      <c r="P64" s="64"/>
      <c r="Q64" s="64"/>
      <c r="R64" s="64"/>
      <c r="S64" s="64"/>
      <c r="T64" s="64"/>
      <c r="U64" s="64"/>
    </row>
    <row r="65">
      <c r="L65" s="64"/>
      <c r="M65" s="64"/>
      <c r="N65" s="64"/>
      <c r="O65" s="64"/>
      <c r="P65" s="64"/>
      <c r="Q65" s="64"/>
      <c r="R65" s="64"/>
      <c r="S65" s="64"/>
      <c r="T65" s="64"/>
      <c r="U65" s="64"/>
    </row>
    <row r="66">
      <c r="L66" s="64"/>
      <c r="M66" s="64"/>
      <c r="N66" s="64"/>
      <c r="O66" s="64"/>
      <c r="P66" s="64"/>
      <c r="Q66" s="64"/>
      <c r="R66" s="64"/>
      <c r="S66" s="64"/>
      <c r="T66" s="64"/>
      <c r="U66" s="64"/>
    </row>
    <row r="67">
      <c r="L67" s="64"/>
      <c r="M67" s="64"/>
      <c r="N67" s="64"/>
      <c r="O67" s="64"/>
      <c r="P67" s="64"/>
      <c r="Q67" s="64"/>
      <c r="R67" s="64"/>
      <c r="S67" s="64"/>
      <c r="T67" s="64"/>
      <c r="U67" s="64"/>
    </row>
    <row r="68">
      <c r="L68" s="64"/>
      <c r="M68" s="64"/>
      <c r="N68" s="64"/>
      <c r="O68" s="64"/>
      <c r="P68" s="64"/>
      <c r="Q68" s="64"/>
      <c r="R68" s="64"/>
      <c r="S68" s="64"/>
      <c r="T68" s="64"/>
      <c r="U68" s="64"/>
    </row>
    <row r="69">
      <c r="L69" s="64"/>
      <c r="M69" s="64"/>
      <c r="N69" s="64"/>
      <c r="O69" s="64"/>
      <c r="P69" s="64"/>
      <c r="Q69" s="64"/>
      <c r="R69" s="64"/>
      <c r="S69" s="64"/>
      <c r="T69" s="64"/>
      <c r="U69" s="64"/>
    </row>
    <row r="70">
      <c r="L70" s="64"/>
      <c r="M70" s="64"/>
      <c r="N70" s="64"/>
      <c r="O70" s="64"/>
      <c r="P70" s="64"/>
      <c r="Q70" s="64"/>
      <c r="R70" s="64"/>
      <c r="S70" s="64"/>
      <c r="T70" s="64"/>
      <c r="U70" s="64"/>
    </row>
    <row r="71">
      <c r="L71" s="64"/>
      <c r="M71" s="64"/>
      <c r="N71" s="64"/>
      <c r="O71" s="64"/>
      <c r="P71" s="64"/>
      <c r="Q71" s="64"/>
      <c r="R71" s="64"/>
      <c r="S71" s="64"/>
      <c r="T71" s="64"/>
      <c r="U71" s="64"/>
    </row>
    <row r="72">
      <c r="L72" s="64"/>
      <c r="M72" s="64"/>
      <c r="N72" s="64"/>
      <c r="O72" s="64"/>
      <c r="P72" s="64"/>
      <c r="Q72" s="64"/>
      <c r="R72" s="64"/>
      <c r="S72" s="64"/>
      <c r="T72" s="64"/>
      <c r="U72" s="64"/>
    </row>
    <row r="73">
      <c r="L73" s="64"/>
      <c r="M73" s="64"/>
      <c r="N73" s="64"/>
      <c r="O73" s="64"/>
      <c r="P73" s="64"/>
      <c r="Q73" s="64"/>
      <c r="R73" s="64"/>
      <c r="S73" s="64"/>
      <c r="T73" s="64"/>
      <c r="U73" s="64"/>
    </row>
    <row r="74">
      <c r="L74" s="64"/>
      <c r="M74" s="64"/>
      <c r="N74" s="64"/>
      <c r="O74" s="64"/>
      <c r="P74" s="64"/>
      <c r="Q74" s="64"/>
      <c r="R74" s="64"/>
      <c r="S74" s="64"/>
      <c r="T74" s="64"/>
      <c r="U74" s="64"/>
    </row>
    <row r="75">
      <c r="L75" s="64"/>
      <c r="M75" s="64"/>
      <c r="N75" s="64"/>
      <c r="O75" s="64"/>
      <c r="P75" s="64"/>
      <c r="Q75" s="64"/>
      <c r="R75" s="64"/>
      <c r="S75" s="64"/>
      <c r="T75" s="64"/>
      <c r="U75" s="64"/>
    </row>
    <row r="76">
      <c r="L76" s="64"/>
      <c r="M76" s="64"/>
      <c r="N76" s="64"/>
      <c r="O76" s="64"/>
      <c r="P76" s="64"/>
      <c r="Q76" s="64"/>
      <c r="R76" s="64"/>
      <c r="S76" s="64"/>
      <c r="T76" s="64"/>
      <c r="U76" s="64"/>
    </row>
    <row r="77">
      <c r="L77" s="64"/>
      <c r="M77" s="64"/>
      <c r="N77" s="64"/>
      <c r="O77" s="64"/>
      <c r="P77" s="64"/>
      <c r="Q77" s="64"/>
      <c r="R77" s="64"/>
      <c r="S77" s="64"/>
      <c r="T77" s="64"/>
      <c r="U77" s="64"/>
    </row>
    <row r="78">
      <c r="L78" s="64"/>
      <c r="M78" s="64"/>
      <c r="N78" s="64"/>
      <c r="O78" s="64"/>
      <c r="P78" s="64"/>
      <c r="Q78" s="64"/>
      <c r="R78" s="64"/>
      <c r="S78" s="64"/>
      <c r="T78" s="64"/>
      <c r="U78" s="64"/>
    </row>
    <row r="79">
      <c r="L79" s="64"/>
      <c r="M79" s="64"/>
      <c r="N79" s="64"/>
      <c r="O79" s="64"/>
      <c r="P79" s="64"/>
      <c r="Q79" s="64"/>
      <c r="R79" s="64"/>
      <c r="S79" s="64"/>
      <c r="T79" s="64"/>
      <c r="U79" s="64"/>
    </row>
    <row r="80">
      <c r="L80" s="64"/>
      <c r="M80" s="64"/>
      <c r="N80" s="64"/>
      <c r="O80" s="64"/>
      <c r="P80" s="64"/>
      <c r="Q80" s="64"/>
      <c r="R80" s="64"/>
      <c r="S80" s="64"/>
      <c r="T80" s="64"/>
      <c r="U80" s="64"/>
    </row>
    <row r="81">
      <c r="L81" s="64"/>
      <c r="M81" s="64"/>
      <c r="N81" s="64"/>
      <c r="O81" s="64"/>
      <c r="P81" s="64"/>
      <c r="Q81" s="64"/>
      <c r="R81" s="64"/>
      <c r="S81" s="64"/>
      <c r="T81" s="64"/>
      <c r="U81" s="64"/>
    </row>
    <row r="82">
      <c r="L82" s="64"/>
      <c r="M82" s="64"/>
      <c r="N82" s="64"/>
      <c r="O82" s="64"/>
      <c r="P82" s="64"/>
      <c r="Q82" s="64"/>
      <c r="R82" s="64"/>
      <c r="S82" s="64"/>
      <c r="T82" s="64"/>
      <c r="U82" s="64"/>
    </row>
    <row r="83">
      <c r="L83" s="64"/>
      <c r="M83" s="64"/>
      <c r="N83" s="64"/>
      <c r="O83" s="64"/>
      <c r="P83" s="64"/>
      <c r="Q83" s="64"/>
      <c r="R83" s="64"/>
      <c r="S83" s="64"/>
      <c r="T83" s="64"/>
      <c r="U83" s="64"/>
    </row>
    <row r="84">
      <c r="L84" s="64"/>
      <c r="M84" s="64"/>
      <c r="N84" s="64"/>
      <c r="O84" s="64"/>
      <c r="P84" s="64"/>
      <c r="Q84" s="64"/>
      <c r="R84" s="64"/>
      <c r="S84" s="64"/>
      <c r="T84" s="64"/>
      <c r="U84" s="64"/>
    </row>
    <row r="85">
      <c r="L85" s="64"/>
      <c r="M85" s="64"/>
      <c r="N85" s="64"/>
      <c r="O85" s="64"/>
      <c r="P85" s="64"/>
      <c r="Q85" s="64"/>
      <c r="R85" s="64"/>
      <c r="S85" s="64"/>
      <c r="T85" s="64"/>
      <c r="U85" s="64"/>
    </row>
    <row r="86">
      <c r="L86" s="64"/>
      <c r="M86" s="64"/>
      <c r="N86" s="64"/>
      <c r="O86" s="64"/>
      <c r="P86" s="64"/>
      <c r="Q86" s="64"/>
      <c r="R86" s="64"/>
      <c r="S86" s="64"/>
      <c r="T86" s="64"/>
      <c r="U86" s="64"/>
    </row>
    <row r="87">
      <c r="L87" s="64"/>
      <c r="M87" s="64"/>
      <c r="N87" s="64"/>
      <c r="O87" s="64"/>
      <c r="P87" s="64"/>
      <c r="Q87" s="64"/>
      <c r="R87" s="64"/>
      <c r="S87" s="64"/>
      <c r="T87" s="64"/>
      <c r="U87" s="64"/>
    </row>
    <row r="88">
      <c r="L88" s="64"/>
      <c r="M88" s="64"/>
      <c r="N88" s="64"/>
      <c r="O88" s="64"/>
      <c r="P88" s="64"/>
      <c r="Q88" s="64"/>
      <c r="R88" s="64"/>
      <c r="S88" s="64"/>
      <c r="T88" s="64"/>
      <c r="U88" s="64"/>
    </row>
    <row r="89">
      <c r="L89" s="64"/>
      <c r="M89" s="64"/>
      <c r="N89" s="64"/>
      <c r="O89" s="64"/>
      <c r="P89" s="64"/>
      <c r="Q89" s="64"/>
      <c r="R89" s="64"/>
      <c r="S89" s="64"/>
      <c r="T89" s="64"/>
      <c r="U89" s="64"/>
    </row>
    <row r="90">
      <c r="L90" s="64"/>
      <c r="M90" s="64"/>
      <c r="N90" s="64"/>
      <c r="O90" s="64"/>
      <c r="P90" s="64"/>
      <c r="Q90" s="64"/>
      <c r="R90" s="64"/>
      <c r="S90" s="64"/>
      <c r="T90" s="64"/>
      <c r="U90" s="64"/>
    </row>
    <row r="91">
      <c r="L91" s="64"/>
      <c r="M91" s="64"/>
      <c r="N91" s="64"/>
      <c r="O91" s="64"/>
      <c r="P91" s="64"/>
      <c r="Q91" s="64"/>
      <c r="R91" s="64"/>
      <c r="S91" s="64"/>
      <c r="T91" s="64"/>
      <c r="U91" s="64"/>
    </row>
    <row r="92">
      <c r="L92" s="64"/>
      <c r="M92" s="64"/>
      <c r="N92" s="64"/>
      <c r="O92" s="64"/>
      <c r="P92" s="64"/>
      <c r="Q92" s="64"/>
      <c r="R92" s="64"/>
      <c r="S92" s="64"/>
      <c r="T92" s="64"/>
      <c r="U92" s="64"/>
    </row>
    <row r="93">
      <c r="L93" s="64"/>
      <c r="M93" s="64"/>
      <c r="N93" s="64"/>
      <c r="O93" s="64"/>
      <c r="P93" s="64"/>
      <c r="Q93" s="64"/>
      <c r="R93" s="64"/>
      <c r="S93" s="64"/>
      <c r="T93" s="64"/>
      <c r="U93" s="64"/>
    </row>
    <row r="94">
      <c r="L94" s="64"/>
      <c r="M94" s="64"/>
      <c r="N94" s="64"/>
      <c r="O94" s="64"/>
      <c r="P94" s="64"/>
      <c r="Q94" s="64"/>
      <c r="R94" s="64"/>
      <c r="S94" s="64"/>
      <c r="T94" s="64"/>
      <c r="U94" s="64"/>
    </row>
    <row r="95">
      <c r="L95" s="64"/>
      <c r="M95" s="64"/>
      <c r="N95" s="64"/>
      <c r="O95" s="64"/>
      <c r="P95" s="64"/>
      <c r="Q95" s="64"/>
      <c r="R95" s="64"/>
      <c r="S95" s="64"/>
      <c r="T95" s="64"/>
      <c r="U95" s="64"/>
    </row>
    <row r="96">
      <c r="L96" s="64"/>
      <c r="M96" s="64"/>
      <c r="N96" s="64"/>
      <c r="O96" s="64"/>
      <c r="P96" s="64"/>
      <c r="Q96" s="64"/>
      <c r="R96" s="64"/>
      <c r="S96" s="64"/>
      <c r="T96" s="64"/>
      <c r="U96" s="64"/>
    </row>
    <row r="97">
      <c r="L97" s="64"/>
      <c r="M97" s="64"/>
      <c r="N97" s="64"/>
      <c r="O97" s="64"/>
      <c r="P97" s="64"/>
      <c r="Q97" s="64"/>
      <c r="R97" s="64"/>
      <c r="S97" s="64"/>
      <c r="T97" s="64"/>
      <c r="U97" s="64"/>
    </row>
    <row r="98">
      <c r="L98" s="64"/>
      <c r="M98" s="64"/>
      <c r="N98" s="64"/>
      <c r="O98" s="64"/>
      <c r="P98" s="64"/>
      <c r="Q98" s="64"/>
      <c r="R98" s="64"/>
      <c r="S98" s="64"/>
      <c r="T98" s="64"/>
      <c r="U98" s="64"/>
    </row>
    <row r="99">
      <c r="L99" s="64"/>
      <c r="M99" s="64"/>
      <c r="N99" s="64"/>
      <c r="O99" s="64"/>
      <c r="P99" s="64"/>
      <c r="Q99" s="64"/>
      <c r="R99" s="64"/>
      <c r="S99" s="64"/>
      <c r="T99" s="64"/>
      <c r="U99" s="64"/>
    </row>
    <row r="100">
      <c r="L100" s="64"/>
      <c r="M100" s="64"/>
      <c r="N100" s="64"/>
      <c r="O100" s="64"/>
      <c r="P100" s="64"/>
      <c r="Q100" s="64"/>
      <c r="R100" s="64"/>
      <c r="S100" s="64"/>
      <c r="T100" s="64"/>
      <c r="U100" s="64"/>
    </row>
    <row r="101">
      <c r="L101" s="64"/>
      <c r="M101" s="64"/>
      <c r="N101" s="64"/>
      <c r="O101" s="64"/>
      <c r="P101" s="64"/>
      <c r="Q101" s="64"/>
      <c r="R101" s="64"/>
      <c r="S101" s="64"/>
      <c r="T101" s="64"/>
      <c r="U101" s="64"/>
    </row>
    <row r="102">
      <c r="L102" s="64"/>
      <c r="M102" s="64"/>
      <c r="N102" s="64"/>
      <c r="O102" s="64"/>
      <c r="P102" s="64"/>
      <c r="Q102" s="64"/>
      <c r="R102" s="64"/>
      <c r="S102" s="64"/>
      <c r="T102" s="64"/>
      <c r="U102" s="64"/>
    </row>
    <row r="103">
      <c r="L103" s="64"/>
      <c r="M103" s="64"/>
      <c r="N103" s="64"/>
      <c r="O103" s="64"/>
      <c r="P103" s="64"/>
      <c r="Q103" s="64"/>
      <c r="R103" s="64"/>
      <c r="S103" s="64"/>
      <c r="T103" s="64"/>
      <c r="U103" s="64"/>
    </row>
    <row r="104">
      <c r="L104" s="64"/>
      <c r="M104" s="64"/>
      <c r="N104" s="64"/>
      <c r="O104" s="64"/>
      <c r="P104" s="64"/>
      <c r="Q104" s="64"/>
      <c r="R104" s="64"/>
      <c r="S104" s="64"/>
      <c r="T104" s="64"/>
      <c r="U104" s="64"/>
    </row>
    <row r="105">
      <c r="L105" s="64"/>
      <c r="M105" s="64"/>
      <c r="N105" s="64"/>
      <c r="O105" s="64"/>
      <c r="P105" s="64"/>
      <c r="Q105" s="64"/>
      <c r="R105" s="64"/>
      <c r="S105" s="64"/>
      <c r="T105" s="64"/>
      <c r="U105" s="64"/>
    </row>
    <row r="106">
      <c r="L106" s="64"/>
      <c r="M106" s="64"/>
      <c r="N106" s="64"/>
      <c r="O106" s="64"/>
      <c r="P106" s="64"/>
      <c r="Q106" s="64"/>
      <c r="R106" s="64"/>
      <c r="S106" s="64"/>
      <c r="T106" s="64"/>
      <c r="U106" s="64"/>
    </row>
    <row r="107">
      <c r="L107" s="64"/>
      <c r="M107" s="64"/>
      <c r="N107" s="64"/>
      <c r="O107" s="64"/>
      <c r="P107" s="64"/>
      <c r="Q107" s="64"/>
      <c r="R107" s="64"/>
      <c r="S107" s="64"/>
      <c r="T107" s="64"/>
      <c r="U107" s="64"/>
    </row>
    <row r="108">
      <c r="L108" s="64"/>
      <c r="M108" s="64"/>
      <c r="N108" s="64"/>
      <c r="O108" s="64"/>
      <c r="P108" s="64"/>
      <c r="Q108" s="64"/>
      <c r="R108" s="64"/>
      <c r="S108" s="64"/>
      <c r="T108" s="64"/>
      <c r="U108" s="64"/>
    </row>
    <row r="109">
      <c r="L109" s="64"/>
      <c r="M109" s="64"/>
      <c r="N109" s="64"/>
      <c r="O109" s="64"/>
      <c r="P109" s="64"/>
      <c r="Q109" s="64"/>
      <c r="R109" s="64"/>
      <c r="S109" s="64"/>
      <c r="T109" s="64"/>
      <c r="U109" s="64"/>
    </row>
    <row r="110">
      <c r="L110" s="64"/>
      <c r="M110" s="64"/>
      <c r="N110" s="64"/>
      <c r="O110" s="64"/>
      <c r="P110" s="64"/>
      <c r="Q110" s="64"/>
      <c r="R110" s="64"/>
      <c r="S110" s="64"/>
      <c r="T110" s="64"/>
      <c r="U110" s="64"/>
    </row>
    <row r="111">
      <c r="L111" s="64"/>
      <c r="M111" s="64"/>
      <c r="N111" s="64"/>
      <c r="O111" s="64"/>
      <c r="P111" s="64"/>
      <c r="Q111" s="64"/>
      <c r="R111" s="64"/>
      <c r="S111" s="64"/>
      <c r="T111" s="64"/>
      <c r="U111" s="64"/>
    </row>
    <row r="112">
      <c r="L112" s="64"/>
      <c r="M112" s="64"/>
      <c r="N112" s="64"/>
      <c r="O112" s="64"/>
      <c r="P112" s="64"/>
      <c r="Q112" s="64"/>
      <c r="R112" s="64"/>
      <c r="S112" s="64"/>
      <c r="T112" s="64"/>
      <c r="U112" s="64"/>
    </row>
    <row r="113">
      <c r="L113" s="64"/>
      <c r="M113" s="64"/>
      <c r="N113" s="64"/>
      <c r="O113" s="64"/>
      <c r="P113" s="64"/>
      <c r="Q113" s="64"/>
      <c r="R113" s="64"/>
      <c r="S113" s="64"/>
      <c r="T113" s="64"/>
      <c r="U113" s="64"/>
    </row>
    <row r="114">
      <c r="L114" s="64"/>
      <c r="M114" s="64"/>
      <c r="N114" s="64"/>
      <c r="O114" s="64"/>
      <c r="P114" s="64"/>
      <c r="Q114" s="64"/>
      <c r="R114" s="64"/>
      <c r="S114" s="64"/>
      <c r="T114" s="64"/>
      <c r="U114" s="64"/>
    </row>
    <row r="115">
      <c r="L115" s="64"/>
      <c r="M115" s="64"/>
      <c r="N115" s="64"/>
      <c r="O115" s="64"/>
      <c r="P115" s="64"/>
      <c r="Q115" s="64"/>
      <c r="R115" s="64"/>
      <c r="S115" s="64"/>
      <c r="T115" s="64"/>
      <c r="U115" s="64"/>
    </row>
    <row r="116">
      <c r="L116" s="64"/>
      <c r="M116" s="64"/>
      <c r="N116" s="64"/>
      <c r="O116" s="64"/>
      <c r="P116" s="64"/>
      <c r="Q116" s="64"/>
      <c r="R116" s="64"/>
      <c r="S116" s="64"/>
      <c r="T116" s="64"/>
      <c r="U116" s="64"/>
    </row>
    <row r="117">
      <c r="L117" s="64"/>
      <c r="M117" s="64"/>
      <c r="N117" s="64"/>
      <c r="O117" s="64"/>
      <c r="P117" s="64"/>
      <c r="Q117" s="64"/>
      <c r="R117" s="64"/>
      <c r="S117" s="64"/>
      <c r="T117" s="64"/>
      <c r="U117" s="64"/>
    </row>
    <row r="118">
      <c r="L118" s="64"/>
      <c r="M118" s="64"/>
      <c r="N118" s="64"/>
      <c r="O118" s="64"/>
      <c r="P118" s="64"/>
      <c r="Q118" s="64"/>
      <c r="R118" s="64"/>
      <c r="S118" s="64"/>
      <c r="T118" s="64"/>
      <c r="U118" s="64"/>
    </row>
    <row r="119">
      <c r="L119" s="64"/>
      <c r="M119" s="64"/>
      <c r="N119" s="64"/>
      <c r="O119" s="64"/>
      <c r="P119" s="64"/>
      <c r="Q119" s="64"/>
      <c r="R119" s="64"/>
      <c r="S119" s="64"/>
      <c r="T119" s="64"/>
      <c r="U119" s="64"/>
    </row>
    <row r="120">
      <c r="L120" s="64"/>
      <c r="M120" s="64"/>
      <c r="N120" s="64"/>
      <c r="O120" s="64"/>
      <c r="P120" s="64"/>
      <c r="Q120" s="64"/>
      <c r="R120" s="64"/>
      <c r="S120" s="64"/>
      <c r="T120" s="64"/>
      <c r="U120" s="64"/>
    </row>
    <row r="121">
      <c r="L121" s="64"/>
      <c r="M121" s="64"/>
      <c r="N121" s="64"/>
      <c r="O121" s="64"/>
      <c r="P121" s="64"/>
      <c r="Q121" s="64"/>
      <c r="R121" s="64"/>
      <c r="S121" s="64"/>
      <c r="T121" s="64"/>
      <c r="U121" s="64"/>
    </row>
    <row r="122">
      <c r="L122" s="64"/>
      <c r="M122" s="64"/>
      <c r="N122" s="64"/>
      <c r="O122" s="64"/>
      <c r="P122" s="64"/>
      <c r="Q122" s="64"/>
      <c r="R122" s="64"/>
      <c r="S122" s="64"/>
      <c r="T122" s="64"/>
      <c r="U122" s="64"/>
    </row>
    <row r="123">
      <c r="L123" s="64"/>
      <c r="M123" s="64"/>
      <c r="N123" s="64"/>
      <c r="O123" s="64"/>
      <c r="P123" s="64"/>
      <c r="Q123" s="64"/>
      <c r="R123" s="64"/>
      <c r="S123" s="64"/>
      <c r="T123" s="64"/>
      <c r="U123" s="64"/>
    </row>
    <row r="124">
      <c r="L124" s="64"/>
      <c r="M124" s="64"/>
      <c r="N124" s="64"/>
      <c r="O124" s="64"/>
      <c r="P124" s="64"/>
      <c r="Q124" s="64"/>
      <c r="R124" s="64"/>
      <c r="S124" s="64"/>
      <c r="T124" s="64"/>
      <c r="U124" s="64"/>
    </row>
    <row r="125">
      <c r="L125" s="64"/>
      <c r="M125" s="64"/>
      <c r="N125" s="64"/>
      <c r="O125" s="64"/>
      <c r="P125" s="64"/>
      <c r="Q125" s="64"/>
      <c r="R125" s="64"/>
      <c r="S125" s="64"/>
      <c r="T125" s="64"/>
      <c r="U125" s="64"/>
    </row>
    <row r="126">
      <c r="L126" s="64"/>
      <c r="M126" s="64"/>
      <c r="N126" s="64"/>
      <c r="O126" s="64"/>
      <c r="P126" s="64"/>
      <c r="Q126" s="64"/>
      <c r="R126" s="64"/>
      <c r="S126" s="64"/>
      <c r="T126" s="64"/>
      <c r="U126" s="64"/>
    </row>
    <row r="127">
      <c r="L127" s="64"/>
      <c r="M127" s="64"/>
      <c r="N127" s="64"/>
      <c r="O127" s="64"/>
      <c r="P127" s="64"/>
      <c r="Q127" s="64"/>
      <c r="R127" s="64"/>
      <c r="S127" s="64"/>
      <c r="T127" s="64"/>
      <c r="U127" s="64"/>
    </row>
    <row r="128">
      <c r="L128" s="64"/>
      <c r="M128" s="64"/>
      <c r="N128" s="64"/>
      <c r="O128" s="64"/>
      <c r="P128" s="64"/>
      <c r="Q128" s="64"/>
      <c r="R128" s="64"/>
      <c r="S128" s="64"/>
      <c r="T128" s="64"/>
      <c r="U128" s="64"/>
    </row>
    <row r="129">
      <c r="L129" s="64"/>
      <c r="M129" s="64"/>
      <c r="N129" s="64"/>
      <c r="O129" s="64"/>
      <c r="P129" s="64"/>
      <c r="Q129" s="64"/>
      <c r="R129" s="64"/>
      <c r="S129" s="64"/>
      <c r="T129" s="64"/>
      <c r="U129" s="64"/>
    </row>
    <row r="130">
      <c r="L130" s="64"/>
      <c r="M130" s="64"/>
      <c r="N130" s="64"/>
      <c r="O130" s="64"/>
      <c r="P130" s="64"/>
      <c r="Q130" s="64"/>
      <c r="R130" s="64"/>
      <c r="S130" s="64"/>
      <c r="T130" s="64"/>
      <c r="U130" s="64"/>
    </row>
    <row r="131">
      <c r="L131" s="64"/>
      <c r="M131" s="64"/>
      <c r="N131" s="64"/>
      <c r="O131" s="64"/>
      <c r="P131" s="64"/>
      <c r="Q131" s="64"/>
      <c r="R131" s="64"/>
      <c r="S131" s="64"/>
      <c r="T131" s="64"/>
      <c r="U131" s="64"/>
    </row>
    <row r="132">
      <c r="L132" s="64"/>
      <c r="M132" s="64"/>
      <c r="N132" s="64"/>
      <c r="O132" s="64"/>
      <c r="P132" s="64"/>
      <c r="Q132" s="64"/>
      <c r="R132" s="64"/>
      <c r="S132" s="64"/>
      <c r="T132" s="64"/>
      <c r="U132" s="64"/>
    </row>
    <row r="133">
      <c r="L133" s="64"/>
      <c r="M133" s="64"/>
      <c r="N133" s="64"/>
      <c r="O133" s="64"/>
      <c r="P133" s="64"/>
      <c r="Q133" s="64"/>
      <c r="R133" s="64"/>
      <c r="S133" s="64"/>
      <c r="T133" s="64"/>
      <c r="U133" s="64"/>
    </row>
    <row r="134">
      <c r="L134" s="64"/>
      <c r="M134" s="64"/>
      <c r="N134" s="64"/>
      <c r="O134" s="64"/>
      <c r="P134" s="64"/>
      <c r="Q134" s="64"/>
      <c r="R134" s="64"/>
      <c r="S134" s="64"/>
      <c r="T134" s="64"/>
      <c r="U134" s="64"/>
    </row>
    <row r="135">
      <c r="L135" s="64"/>
      <c r="M135" s="64"/>
      <c r="N135" s="64"/>
      <c r="O135" s="64"/>
      <c r="P135" s="64"/>
      <c r="Q135" s="64"/>
      <c r="R135" s="64"/>
      <c r="S135" s="64"/>
      <c r="T135" s="64"/>
      <c r="U135" s="64"/>
    </row>
    <row r="136">
      <c r="L136" s="64"/>
      <c r="M136" s="64"/>
      <c r="N136" s="64"/>
      <c r="O136" s="64"/>
      <c r="P136" s="64"/>
      <c r="Q136" s="64"/>
      <c r="R136" s="64"/>
      <c r="S136" s="64"/>
      <c r="T136" s="64"/>
      <c r="U136" s="64"/>
    </row>
    <row r="137">
      <c r="L137" s="64"/>
      <c r="M137" s="64"/>
      <c r="N137" s="64"/>
      <c r="O137" s="64"/>
      <c r="P137" s="64"/>
      <c r="Q137" s="64"/>
      <c r="R137" s="64"/>
      <c r="S137" s="64"/>
      <c r="T137" s="64"/>
      <c r="U137" s="64"/>
    </row>
    <row r="138">
      <c r="L138" s="64"/>
      <c r="M138" s="64"/>
      <c r="N138" s="64"/>
      <c r="O138" s="64"/>
      <c r="P138" s="64"/>
      <c r="Q138" s="64"/>
      <c r="R138" s="64"/>
      <c r="S138" s="64"/>
      <c r="T138" s="64"/>
      <c r="U138" s="64"/>
    </row>
    <row r="139">
      <c r="L139" s="64"/>
      <c r="M139" s="64"/>
      <c r="N139" s="64"/>
      <c r="O139" s="64"/>
      <c r="P139" s="64"/>
      <c r="Q139" s="64"/>
      <c r="R139" s="64"/>
      <c r="S139" s="64"/>
      <c r="T139" s="64"/>
      <c r="U139" s="64"/>
    </row>
    <row r="140">
      <c r="L140" s="64"/>
      <c r="M140" s="64"/>
      <c r="N140" s="64"/>
      <c r="O140" s="64"/>
      <c r="P140" s="64"/>
      <c r="Q140" s="64"/>
      <c r="R140" s="64"/>
      <c r="S140" s="64"/>
      <c r="T140" s="64"/>
      <c r="U140" s="64"/>
    </row>
    <row r="141">
      <c r="L141" s="64"/>
      <c r="M141" s="64"/>
      <c r="N141" s="64"/>
      <c r="O141" s="64"/>
      <c r="P141" s="64"/>
      <c r="Q141" s="64"/>
      <c r="R141" s="64"/>
      <c r="S141" s="64"/>
      <c r="T141" s="64"/>
      <c r="U141" s="64"/>
    </row>
    <row r="142">
      <c r="L142" s="64"/>
      <c r="M142" s="64"/>
      <c r="N142" s="64"/>
      <c r="O142" s="64"/>
      <c r="P142" s="64"/>
      <c r="Q142" s="64"/>
      <c r="R142" s="64"/>
      <c r="S142" s="64"/>
      <c r="T142" s="64"/>
      <c r="U142" s="64"/>
    </row>
    <row r="143">
      <c r="L143" s="64"/>
      <c r="M143" s="64"/>
      <c r="N143" s="64"/>
      <c r="O143" s="64"/>
      <c r="P143" s="64"/>
      <c r="Q143" s="64"/>
      <c r="R143" s="64"/>
      <c r="S143" s="64"/>
      <c r="T143" s="64"/>
      <c r="U143" s="64"/>
    </row>
    <row r="144">
      <c r="L144" s="64"/>
      <c r="M144" s="64"/>
      <c r="N144" s="64"/>
      <c r="O144" s="64"/>
      <c r="P144" s="64"/>
      <c r="Q144" s="64"/>
      <c r="R144" s="64"/>
      <c r="S144" s="64"/>
      <c r="T144" s="64"/>
      <c r="U144" s="64"/>
    </row>
    <row r="145">
      <c r="L145" s="64"/>
      <c r="M145" s="64"/>
      <c r="N145" s="64"/>
      <c r="O145" s="64"/>
      <c r="P145" s="64"/>
      <c r="Q145" s="64"/>
      <c r="R145" s="64"/>
      <c r="S145" s="64"/>
      <c r="T145" s="64"/>
      <c r="U145" s="64"/>
    </row>
    <row r="146">
      <c r="L146" s="64"/>
      <c r="M146" s="64"/>
      <c r="N146" s="64"/>
      <c r="O146" s="64"/>
      <c r="P146" s="64"/>
      <c r="Q146" s="64"/>
      <c r="R146" s="64"/>
      <c r="S146" s="64"/>
      <c r="T146" s="64"/>
      <c r="U146" s="64"/>
    </row>
    <row r="147">
      <c r="L147" s="64"/>
      <c r="M147" s="64"/>
      <c r="N147" s="64"/>
      <c r="O147" s="64"/>
      <c r="P147" s="64"/>
      <c r="Q147" s="64"/>
      <c r="R147" s="64"/>
      <c r="S147" s="64"/>
      <c r="T147" s="64"/>
      <c r="U147" s="64"/>
    </row>
    <row r="148">
      <c r="L148" s="64"/>
      <c r="M148" s="64"/>
      <c r="N148" s="64"/>
      <c r="O148" s="64"/>
      <c r="P148" s="64"/>
      <c r="Q148" s="64"/>
      <c r="R148" s="64"/>
      <c r="S148" s="64"/>
      <c r="T148" s="64"/>
      <c r="U148" s="64"/>
    </row>
    <row r="149">
      <c r="L149" s="64"/>
      <c r="M149" s="64"/>
      <c r="N149" s="64"/>
      <c r="O149" s="64"/>
      <c r="P149" s="64"/>
      <c r="Q149" s="64"/>
      <c r="R149" s="64"/>
      <c r="S149" s="64"/>
      <c r="T149" s="64"/>
      <c r="U149" s="64"/>
    </row>
    <row r="150">
      <c r="L150" s="64"/>
      <c r="M150" s="64"/>
      <c r="N150" s="64"/>
      <c r="O150" s="64"/>
      <c r="P150" s="64"/>
      <c r="Q150" s="64"/>
      <c r="R150" s="64"/>
      <c r="S150" s="64"/>
      <c r="T150" s="64"/>
      <c r="U150" s="64"/>
    </row>
    <row r="151">
      <c r="L151" s="64"/>
      <c r="M151" s="64"/>
      <c r="N151" s="64"/>
      <c r="O151" s="64"/>
      <c r="P151" s="64"/>
      <c r="Q151" s="64"/>
      <c r="R151" s="64"/>
      <c r="S151" s="64"/>
      <c r="T151" s="64"/>
      <c r="U151" s="64"/>
    </row>
    <row r="152">
      <c r="L152" s="64"/>
      <c r="M152" s="64"/>
      <c r="N152" s="64"/>
      <c r="O152" s="64"/>
      <c r="P152" s="64"/>
      <c r="Q152" s="64"/>
      <c r="R152" s="64"/>
      <c r="S152" s="64"/>
      <c r="T152" s="64"/>
      <c r="U152" s="64"/>
    </row>
    <row r="153">
      <c r="L153" s="64"/>
      <c r="M153" s="64"/>
      <c r="N153" s="64"/>
      <c r="O153" s="64"/>
      <c r="P153" s="64"/>
      <c r="Q153" s="64"/>
      <c r="R153" s="64"/>
      <c r="S153" s="64"/>
      <c r="T153" s="64"/>
      <c r="U153" s="64"/>
    </row>
    <row r="154">
      <c r="L154" s="64"/>
      <c r="M154" s="64"/>
      <c r="N154" s="64"/>
      <c r="O154" s="64"/>
      <c r="P154" s="64"/>
      <c r="Q154" s="64"/>
      <c r="R154" s="64"/>
      <c r="S154" s="64"/>
      <c r="T154" s="64"/>
      <c r="U154" s="64"/>
    </row>
    <row r="155">
      <c r="L155" s="64"/>
      <c r="M155" s="64"/>
      <c r="N155" s="64"/>
      <c r="O155" s="64"/>
      <c r="P155" s="64"/>
      <c r="Q155" s="64"/>
      <c r="R155" s="64"/>
      <c r="S155" s="64"/>
      <c r="T155" s="64"/>
      <c r="U155" s="64"/>
    </row>
    <row r="156">
      <c r="L156" s="64"/>
      <c r="M156" s="64"/>
      <c r="N156" s="64"/>
      <c r="O156" s="64"/>
      <c r="P156" s="64"/>
      <c r="Q156" s="64"/>
      <c r="R156" s="64"/>
      <c r="S156" s="64"/>
      <c r="T156" s="64"/>
      <c r="U156" s="64"/>
    </row>
    <row r="157">
      <c r="L157" s="64"/>
      <c r="M157" s="64"/>
      <c r="N157" s="64"/>
      <c r="O157" s="64"/>
      <c r="P157" s="64"/>
      <c r="Q157" s="64"/>
      <c r="R157" s="64"/>
      <c r="S157" s="64"/>
      <c r="T157" s="64"/>
      <c r="U157" s="64"/>
    </row>
    <row r="158">
      <c r="L158" s="64"/>
      <c r="M158" s="64"/>
      <c r="N158" s="64"/>
      <c r="O158" s="64"/>
      <c r="P158" s="64"/>
      <c r="Q158" s="64"/>
      <c r="R158" s="64"/>
      <c r="S158" s="64"/>
      <c r="T158" s="64"/>
      <c r="U158" s="64"/>
    </row>
    <row r="159">
      <c r="L159" s="64"/>
      <c r="M159" s="64"/>
      <c r="N159" s="64"/>
      <c r="O159" s="64"/>
      <c r="P159" s="64"/>
      <c r="Q159" s="64"/>
      <c r="R159" s="64"/>
      <c r="S159" s="64"/>
      <c r="T159" s="64"/>
      <c r="U159" s="64"/>
    </row>
    <row r="160">
      <c r="L160" s="64"/>
      <c r="M160" s="64"/>
      <c r="N160" s="64"/>
      <c r="O160" s="64"/>
      <c r="P160" s="64"/>
      <c r="Q160" s="64"/>
      <c r="R160" s="64"/>
      <c r="S160" s="64"/>
      <c r="T160" s="64"/>
      <c r="U160" s="64"/>
    </row>
    <row r="161">
      <c r="L161" s="64"/>
      <c r="M161" s="64"/>
      <c r="N161" s="64"/>
      <c r="O161" s="64"/>
      <c r="P161" s="64"/>
      <c r="Q161" s="64"/>
      <c r="R161" s="64"/>
      <c r="S161" s="64"/>
      <c r="T161" s="64"/>
      <c r="U161" s="64"/>
    </row>
    <row r="162">
      <c r="L162" s="64"/>
      <c r="M162" s="64"/>
      <c r="N162" s="64"/>
      <c r="O162" s="64"/>
      <c r="P162" s="64"/>
      <c r="Q162" s="64"/>
      <c r="R162" s="64"/>
      <c r="S162" s="64"/>
      <c r="T162" s="64"/>
      <c r="U162" s="64"/>
    </row>
    <row r="163">
      <c r="L163" s="64"/>
      <c r="M163" s="64"/>
      <c r="N163" s="64"/>
      <c r="O163" s="64"/>
      <c r="P163" s="64"/>
      <c r="Q163" s="64"/>
      <c r="R163" s="64"/>
      <c r="S163" s="64"/>
      <c r="T163" s="64"/>
      <c r="U163" s="64"/>
    </row>
    <row r="164">
      <c r="L164" s="64"/>
      <c r="M164" s="64"/>
      <c r="N164" s="64"/>
      <c r="O164" s="64"/>
      <c r="P164" s="64"/>
      <c r="Q164" s="64"/>
      <c r="R164" s="64"/>
      <c r="S164" s="64"/>
      <c r="T164" s="64"/>
      <c r="U164" s="64"/>
    </row>
    <row r="165">
      <c r="L165" s="64"/>
      <c r="M165" s="64"/>
      <c r="N165" s="64"/>
      <c r="O165" s="64"/>
      <c r="P165" s="64"/>
      <c r="Q165" s="64"/>
      <c r="R165" s="64"/>
      <c r="S165" s="64"/>
      <c r="T165" s="64"/>
      <c r="U165" s="64"/>
    </row>
    <row r="166">
      <c r="L166" s="64"/>
      <c r="M166" s="64"/>
      <c r="N166" s="64"/>
      <c r="O166" s="64"/>
      <c r="P166" s="64"/>
      <c r="Q166" s="64"/>
      <c r="R166" s="64"/>
      <c r="S166" s="64"/>
      <c r="T166" s="64"/>
      <c r="U166" s="64"/>
    </row>
    <row r="167">
      <c r="L167" s="64"/>
      <c r="M167" s="64"/>
      <c r="N167" s="64"/>
      <c r="O167" s="64"/>
      <c r="P167" s="64"/>
      <c r="Q167" s="64"/>
      <c r="R167" s="64"/>
      <c r="S167" s="64"/>
      <c r="T167" s="64"/>
      <c r="U167" s="64"/>
    </row>
    <row r="168">
      <c r="L168" s="64"/>
      <c r="M168" s="64"/>
      <c r="N168" s="64"/>
      <c r="O168" s="64"/>
      <c r="P168" s="64"/>
      <c r="Q168" s="64"/>
      <c r="R168" s="64"/>
      <c r="S168" s="64"/>
      <c r="T168" s="64"/>
      <c r="U168" s="64"/>
    </row>
    <row r="169">
      <c r="L169" s="64"/>
      <c r="M169" s="64"/>
      <c r="N169" s="64"/>
      <c r="O169" s="64"/>
      <c r="P169" s="64"/>
      <c r="Q169" s="64"/>
      <c r="R169" s="64"/>
      <c r="S169" s="64"/>
      <c r="T169" s="64"/>
      <c r="U169" s="64"/>
    </row>
    <row r="170">
      <c r="L170" s="64"/>
      <c r="M170" s="64"/>
      <c r="N170" s="64"/>
      <c r="O170" s="64"/>
      <c r="P170" s="64"/>
      <c r="Q170" s="64"/>
      <c r="R170" s="64"/>
      <c r="S170" s="64"/>
      <c r="T170" s="64"/>
      <c r="U170" s="64"/>
    </row>
    <row r="171">
      <c r="L171" s="64"/>
      <c r="M171" s="64"/>
      <c r="N171" s="64"/>
      <c r="O171" s="64"/>
      <c r="P171" s="64"/>
      <c r="Q171" s="64"/>
      <c r="R171" s="64"/>
      <c r="S171" s="64"/>
      <c r="T171" s="64"/>
      <c r="U171" s="64"/>
    </row>
    <row r="172">
      <c r="L172" s="64"/>
      <c r="M172" s="64"/>
      <c r="N172" s="64"/>
      <c r="O172" s="64"/>
      <c r="P172" s="64"/>
      <c r="Q172" s="64"/>
      <c r="R172" s="64"/>
      <c r="S172" s="64"/>
      <c r="T172" s="64"/>
      <c r="U172" s="64"/>
    </row>
    <row r="173">
      <c r="L173" s="64"/>
      <c r="M173" s="64"/>
      <c r="N173" s="64"/>
      <c r="O173" s="64"/>
      <c r="P173" s="64"/>
      <c r="Q173" s="64"/>
      <c r="R173" s="64"/>
      <c r="S173" s="64"/>
      <c r="T173" s="64"/>
      <c r="U173" s="64"/>
    </row>
    <row r="174">
      <c r="L174" s="64"/>
      <c r="M174" s="64"/>
      <c r="N174" s="64"/>
      <c r="O174" s="64"/>
      <c r="P174" s="64"/>
      <c r="Q174" s="64"/>
      <c r="R174" s="64"/>
      <c r="S174" s="64"/>
      <c r="T174" s="64"/>
      <c r="U174" s="64"/>
    </row>
    <row r="175">
      <c r="L175" s="64"/>
      <c r="M175" s="64"/>
      <c r="N175" s="64"/>
      <c r="O175" s="64"/>
      <c r="P175" s="64"/>
      <c r="Q175" s="64"/>
      <c r="R175" s="64"/>
      <c r="S175" s="64"/>
      <c r="T175" s="64"/>
      <c r="U175" s="64"/>
    </row>
    <row r="176">
      <c r="L176" s="64"/>
      <c r="M176" s="64"/>
      <c r="N176" s="64"/>
      <c r="O176" s="64"/>
      <c r="P176" s="64"/>
      <c r="Q176" s="64"/>
      <c r="R176" s="64"/>
      <c r="S176" s="64"/>
      <c r="T176" s="64"/>
      <c r="U176" s="64"/>
    </row>
    <row r="177">
      <c r="L177" s="64"/>
      <c r="M177" s="64"/>
      <c r="N177" s="64"/>
      <c r="O177" s="64"/>
      <c r="P177" s="64"/>
      <c r="Q177" s="64"/>
      <c r="R177" s="64"/>
      <c r="S177" s="64"/>
      <c r="T177" s="64"/>
      <c r="U177" s="64"/>
    </row>
    <row r="178">
      <c r="L178" s="64"/>
      <c r="M178" s="64"/>
      <c r="N178" s="64"/>
      <c r="O178" s="64"/>
      <c r="P178" s="64"/>
      <c r="Q178" s="64"/>
      <c r="R178" s="64"/>
      <c r="S178" s="64"/>
      <c r="T178" s="64"/>
      <c r="U178" s="64"/>
    </row>
    <row r="179">
      <c r="L179" s="64"/>
      <c r="M179" s="64"/>
      <c r="N179" s="64"/>
      <c r="O179" s="64"/>
      <c r="P179" s="64"/>
      <c r="Q179" s="64"/>
      <c r="R179" s="64"/>
      <c r="S179" s="64"/>
      <c r="T179" s="64"/>
      <c r="U179" s="64"/>
    </row>
    <row r="180">
      <c r="L180" s="64"/>
      <c r="M180" s="64"/>
      <c r="N180" s="64"/>
      <c r="O180" s="64"/>
      <c r="P180" s="64"/>
      <c r="Q180" s="64"/>
      <c r="R180" s="64"/>
      <c r="S180" s="64"/>
      <c r="T180" s="64"/>
      <c r="U180" s="64"/>
    </row>
    <row r="181">
      <c r="L181" s="64"/>
      <c r="M181" s="64"/>
      <c r="N181" s="64"/>
      <c r="O181" s="64"/>
      <c r="P181" s="64"/>
      <c r="Q181" s="64"/>
      <c r="R181" s="64"/>
      <c r="S181" s="64"/>
      <c r="T181" s="64"/>
      <c r="U181" s="64"/>
    </row>
    <row r="182">
      <c r="L182" s="64"/>
      <c r="M182" s="64"/>
      <c r="N182" s="64"/>
      <c r="O182" s="64"/>
      <c r="P182" s="64"/>
      <c r="Q182" s="64"/>
      <c r="R182" s="64"/>
      <c r="S182" s="64"/>
      <c r="T182" s="64"/>
      <c r="U182" s="64"/>
    </row>
    <row r="183">
      <c r="L183" s="64"/>
      <c r="M183" s="64"/>
      <c r="N183" s="64"/>
      <c r="O183" s="64"/>
      <c r="P183" s="64"/>
      <c r="Q183" s="64"/>
      <c r="R183" s="64"/>
      <c r="S183" s="64"/>
      <c r="T183" s="64"/>
      <c r="U183" s="64"/>
    </row>
    <row r="184">
      <c r="L184" s="64"/>
      <c r="M184" s="64"/>
      <c r="N184" s="64"/>
      <c r="O184" s="64"/>
      <c r="P184" s="64"/>
      <c r="Q184" s="64"/>
      <c r="R184" s="64"/>
      <c r="S184" s="64"/>
      <c r="T184" s="64"/>
      <c r="U184" s="64"/>
    </row>
    <row r="185">
      <c r="L185" s="64"/>
      <c r="M185" s="64"/>
      <c r="N185" s="64"/>
      <c r="O185" s="64"/>
      <c r="P185" s="64"/>
      <c r="Q185" s="64"/>
      <c r="R185" s="64"/>
      <c r="S185" s="64"/>
      <c r="T185" s="64"/>
      <c r="U185" s="64"/>
    </row>
    <row r="186">
      <c r="L186" s="64"/>
      <c r="M186" s="64"/>
      <c r="N186" s="64"/>
      <c r="O186" s="64"/>
      <c r="P186" s="64"/>
      <c r="Q186" s="64"/>
      <c r="R186" s="64"/>
      <c r="S186" s="64"/>
      <c r="T186" s="64"/>
      <c r="U186" s="64"/>
    </row>
    <row r="187">
      <c r="L187" s="64"/>
      <c r="M187" s="64"/>
      <c r="N187" s="64"/>
      <c r="O187" s="64"/>
      <c r="P187" s="64"/>
      <c r="Q187" s="64"/>
      <c r="R187" s="64"/>
      <c r="S187" s="64"/>
      <c r="T187" s="64"/>
      <c r="U187" s="64"/>
    </row>
    <row r="188">
      <c r="L188" s="64"/>
      <c r="M188" s="64"/>
      <c r="N188" s="64"/>
      <c r="O188" s="64"/>
      <c r="P188" s="64"/>
      <c r="Q188" s="64"/>
      <c r="R188" s="64"/>
      <c r="S188" s="64"/>
      <c r="T188" s="64"/>
      <c r="U188" s="64"/>
    </row>
    <row r="189">
      <c r="L189" s="64"/>
      <c r="M189" s="64"/>
      <c r="N189" s="64"/>
      <c r="O189" s="64"/>
      <c r="P189" s="64"/>
      <c r="Q189" s="64"/>
      <c r="R189" s="64"/>
      <c r="S189" s="64"/>
      <c r="T189" s="64"/>
      <c r="U189" s="64"/>
    </row>
    <row r="190">
      <c r="L190" s="64"/>
      <c r="M190" s="64"/>
      <c r="N190" s="64"/>
      <c r="O190" s="64"/>
      <c r="P190" s="64"/>
      <c r="Q190" s="64"/>
      <c r="R190" s="64"/>
      <c r="S190" s="64"/>
      <c r="T190" s="64"/>
      <c r="U190" s="64"/>
    </row>
    <row r="191">
      <c r="L191" s="64"/>
      <c r="M191" s="64"/>
      <c r="N191" s="64"/>
      <c r="O191" s="64"/>
      <c r="P191" s="64"/>
      <c r="Q191" s="64"/>
      <c r="R191" s="64"/>
      <c r="S191" s="64"/>
      <c r="T191" s="64"/>
      <c r="U191" s="64"/>
    </row>
    <row r="192">
      <c r="L192" s="64"/>
      <c r="M192" s="64"/>
      <c r="N192" s="64"/>
      <c r="O192" s="64"/>
      <c r="P192" s="64"/>
      <c r="Q192" s="64"/>
      <c r="R192" s="64"/>
      <c r="S192" s="64"/>
      <c r="T192" s="64"/>
      <c r="U192" s="64"/>
    </row>
    <row r="193">
      <c r="L193" s="64"/>
      <c r="M193" s="64"/>
      <c r="N193" s="64"/>
      <c r="O193" s="64"/>
      <c r="P193" s="64"/>
      <c r="Q193" s="64"/>
      <c r="R193" s="64"/>
      <c r="S193" s="64"/>
      <c r="T193" s="64"/>
      <c r="U193" s="64"/>
    </row>
    <row r="194">
      <c r="L194" s="64"/>
      <c r="M194" s="64"/>
      <c r="N194" s="64"/>
      <c r="O194" s="64"/>
      <c r="P194" s="64"/>
      <c r="Q194" s="64"/>
      <c r="R194" s="64"/>
      <c r="S194" s="64"/>
      <c r="T194" s="64"/>
      <c r="U194" s="64"/>
    </row>
    <row r="195">
      <c r="L195" s="64"/>
      <c r="M195" s="64"/>
      <c r="N195" s="64"/>
      <c r="O195" s="64"/>
      <c r="P195" s="64"/>
      <c r="Q195" s="64"/>
      <c r="R195" s="64"/>
      <c r="S195" s="64"/>
      <c r="T195" s="64"/>
      <c r="U195" s="64"/>
    </row>
    <row r="196">
      <c r="L196" s="64"/>
      <c r="M196" s="64"/>
      <c r="N196" s="64"/>
      <c r="O196" s="64"/>
      <c r="P196" s="64"/>
      <c r="Q196" s="64"/>
      <c r="R196" s="64"/>
      <c r="S196" s="64"/>
      <c r="T196" s="64"/>
      <c r="U196" s="64"/>
    </row>
    <row r="197">
      <c r="L197" s="64"/>
      <c r="M197" s="64"/>
      <c r="N197" s="64"/>
      <c r="O197" s="64"/>
      <c r="P197" s="64"/>
      <c r="Q197" s="64"/>
      <c r="R197" s="64"/>
      <c r="S197" s="64"/>
      <c r="T197" s="64"/>
      <c r="U197" s="64"/>
    </row>
    <row r="198">
      <c r="L198" s="64"/>
      <c r="M198" s="64"/>
      <c r="N198" s="64"/>
      <c r="O198" s="64"/>
      <c r="P198" s="64"/>
      <c r="Q198" s="64"/>
      <c r="R198" s="64"/>
      <c r="S198" s="64"/>
      <c r="T198" s="64"/>
      <c r="U198" s="64"/>
    </row>
    <row r="199">
      <c r="L199" s="64"/>
      <c r="M199" s="64"/>
      <c r="N199" s="64"/>
      <c r="O199" s="64"/>
      <c r="P199" s="64"/>
      <c r="Q199" s="64"/>
      <c r="R199" s="64"/>
      <c r="S199" s="64"/>
      <c r="T199" s="64"/>
      <c r="U199" s="64"/>
    </row>
    <row r="200">
      <c r="L200" s="64"/>
      <c r="M200" s="64"/>
      <c r="N200" s="64"/>
      <c r="O200" s="64"/>
      <c r="P200" s="64"/>
      <c r="Q200" s="64"/>
      <c r="R200" s="64"/>
      <c r="S200" s="64"/>
      <c r="T200" s="64"/>
      <c r="U200" s="64"/>
    </row>
    <row r="201">
      <c r="L201" s="64"/>
      <c r="M201" s="64"/>
      <c r="N201" s="64"/>
      <c r="O201" s="64"/>
      <c r="P201" s="64"/>
      <c r="Q201" s="64"/>
      <c r="R201" s="64"/>
      <c r="S201" s="64"/>
      <c r="T201" s="64"/>
      <c r="U201" s="64"/>
    </row>
    <row r="202">
      <c r="L202" s="64"/>
      <c r="M202" s="64"/>
      <c r="N202" s="64"/>
      <c r="O202" s="64"/>
      <c r="P202" s="64"/>
      <c r="Q202" s="64"/>
      <c r="R202" s="64"/>
      <c r="S202" s="64"/>
      <c r="T202" s="64"/>
      <c r="U202" s="64"/>
    </row>
    <row r="203">
      <c r="L203" s="64"/>
      <c r="M203" s="64"/>
      <c r="N203" s="64"/>
      <c r="O203" s="64"/>
      <c r="P203" s="64"/>
      <c r="Q203" s="64"/>
      <c r="R203" s="64"/>
      <c r="S203" s="64"/>
      <c r="T203" s="64"/>
      <c r="U203" s="64"/>
    </row>
    <row r="204">
      <c r="L204" s="64"/>
      <c r="M204" s="64"/>
      <c r="N204" s="64"/>
      <c r="O204" s="64"/>
      <c r="P204" s="64"/>
      <c r="Q204" s="64"/>
      <c r="R204" s="64"/>
      <c r="S204" s="64"/>
      <c r="T204" s="64"/>
      <c r="U204" s="64"/>
    </row>
    <row r="205">
      <c r="L205" s="64"/>
      <c r="M205" s="64"/>
      <c r="N205" s="64"/>
      <c r="O205" s="64"/>
      <c r="P205" s="64"/>
      <c r="Q205" s="64"/>
      <c r="R205" s="64"/>
      <c r="S205" s="64"/>
      <c r="T205" s="64"/>
      <c r="U205" s="64"/>
    </row>
    <row r="206">
      <c r="L206" s="64"/>
      <c r="M206" s="64"/>
      <c r="N206" s="64"/>
      <c r="O206" s="64"/>
      <c r="P206" s="64"/>
      <c r="Q206" s="64"/>
      <c r="R206" s="64"/>
      <c r="S206" s="64"/>
      <c r="T206" s="64"/>
      <c r="U206" s="64"/>
    </row>
    <row r="207">
      <c r="L207" s="64"/>
      <c r="M207" s="64"/>
      <c r="N207" s="64"/>
      <c r="O207" s="64"/>
      <c r="P207" s="64"/>
      <c r="Q207" s="64"/>
      <c r="R207" s="64"/>
      <c r="S207" s="64"/>
      <c r="T207" s="64"/>
      <c r="U207" s="64"/>
    </row>
    <row r="208">
      <c r="L208" s="64"/>
      <c r="M208" s="64"/>
      <c r="N208" s="64"/>
      <c r="O208" s="64"/>
      <c r="P208" s="64"/>
      <c r="Q208" s="64"/>
      <c r="R208" s="64"/>
      <c r="S208" s="64"/>
      <c r="T208" s="64"/>
      <c r="U208" s="64"/>
    </row>
    <row r="209">
      <c r="L209" s="64"/>
      <c r="M209" s="64"/>
      <c r="N209" s="64"/>
      <c r="O209" s="64"/>
      <c r="P209" s="64"/>
      <c r="Q209" s="64"/>
      <c r="R209" s="64"/>
      <c r="S209" s="64"/>
      <c r="T209" s="64"/>
      <c r="U209" s="64"/>
    </row>
    <row r="210">
      <c r="L210" s="64"/>
      <c r="M210" s="64"/>
      <c r="N210" s="64"/>
      <c r="O210" s="64"/>
      <c r="P210" s="64"/>
      <c r="Q210" s="64"/>
      <c r="R210" s="64"/>
      <c r="S210" s="64"/>
      <c r="T210" s="64"/>
      <c r="U210" s="64"/>
    </row>
    <row r="211">
      <c r="L211" s="64"/>
      <c r="M211" s="64"/>
      <c r="N211" s="64"/>
      <c r="O211" s="64"/>
      <c r="P211" s="64"/>
      <c r="Q211" s="64"/>
      <c r="R211" s="64"/>
      <c r="S211" s="64"/>
      <c r="T211" s="64"/>
      <c r="U211" s="64"/>
    </row>
    <row r="212">
      <c r="L212" s="64"/>
      <c r="M212" s="64"/>
      <c r="N212" s="64"/>
      <c r="O212" s="64"/>
      <c r="P212" s="64"/>
      <c r="Q212" s="64"/>
      <c r="R212" s="64"/>
      <c r="S212" s="64"/>
      <c r="T212" s="64"/>
      <c r="U212" s="64"/>
    </row>
    <row r="213">
      <c r="L213" s="64"/>
      <c r="M213" s="64"/>
      <c r="N213" s="64"/>
      <c r="O213" s="64"/>
      <c r="P213" s="64"/>
      <c r="Q213" s="64"/>
      <c r="R213" s="64"/>
      <c r="S213" s="64"/>
      <c r="T213" s="64"/>
      <c r="U213" s="64"/>
    </row>
    <row r="214">
      <c r="L214" s="64"/>
      <c r="M214" s="64"/>
      <c r="N214" s="64"/>
      <c r="O214" s="64"/>
      <c r="P214" s="64"/>
      <c r="Q214" s="64"/>
      <c r="R214" s="64"/>
      <c r="S214" s="64"/>
      <c r="T214" s="64"/>
      <c r="U214" s="64"/>
    </row>
    <row r="215">
      <c r="L215" s="64"/>
      <c r="M215" s="64"/>
      <c r="N215" s="64"/>
      <c r="O215" s="64"/>
      <c r="P215" s="64"/>
      <c r="Q215" s="64"/>
      <c r="R215" s="64"/>
      <c r="S215" s="64"/>
      <c r="T215" s="64"/>
      <c r="U215" s="64"/>
    </row>
    <row r="216">
      <c r="L216" s="64"/>
      <c r="M216" s="64"/>
      <c r="N216" s="64"/>
      <c r="O216" s="64"/>
      <c r="P216" s="64"/>
      <c r="Q216" s="64"/>
      <c r="R216" s="64"/>
      <c r="S216" s="64"/>
      <c r="T216" s="64"/>
      <c r="U216" s="64"/>
    </row>
    <row r="217">
      <c r="L217" s="64"/>
      <c r="M217" s="64"/>
      <c r="N217" s="64"/>
      <c r="O217" s="64"/>
      <c r="P217" s="64"/>
      <c r="Q217" s="64"/>
      <c r="R217" s="64"/>
      <c r="S217" s="64"/>
      <c r="T217" s="64"/>
      <c r="U217" s="64"/>
    </row>
    <row r="218">
      <c r="L218" s="64"/>
      <c r="M218" s="64"/>
      <c r="N218" s="64"/>
      <c r="O218" s="64"/>
      <c r="P218" s="64"/>
      <c r="Q218" s="64"/>
      <c r="R218" s="64"/>
      <c r="S218" s="64"/>
      <c r="T218" s="64"/>
      <c r="U218" s="64"/>
    </row>
    <row r="219">
      <c r="L219" s="64"/>
      <c r="M219" s="64"/>
      <c r="N219" s="64"/>
      <c r="O219" s="64"/>
      <c r="P219" s="64"/>
      <c r="Q219" s="64"/>
      <c r="R219" s="64"/>
      <c r="S219" s="64"/>
      <c r="T219" s="64"/>
      <c r="U219" s="64"/>
    </row>
    <row r="220">
      <c r="L220" s="64"/>
      <c r="M220" s="64"/>
      <c r="N220" s="64"/>
      <c r="O220" s="64"/>
      <c r="P220" s="64"/>
      <c r="Q220" s="64"/>
      <c r="R220" s="64"/>
      <c r="S220" s="64"/>
      <c r="T220" s="64"/>
      <c r="U220" s="64"/>
    </row>
    <row r="221">
      <c r="L221" s="64"/>
      <c r="M221" s="64"/>
      <c r="N221" s="64"/>
      <c r="O221" s="64"/>
      <c r="P221" s="64"/>
      <c r="Q221" s="64"/>
      <c r="R221" s="64"/>
      <c r="S221" s="64"/>
      <c r="T221" s="64"/>
      <c r="U221" s="64"/>
    </row>
    <row r="222">
      <c r="L222" s="64"/>
      <c r="M222" s="64"/>
      <c r="N222" s="64"/>
      <c r="O222" s="64"/>
      <c r="P222" s="64"/>
      <c r="Q222" s="64"/>
      <c r="R222" s="64"/>
      <c r="S222" s="64"/>
      <c r="T222" s="64"/>
      <c r="U222" s="64"/>
    </row>
    <row r="223">
      <c r="L223" s="64"/>
      <c r="M223" s="64"/>
      <c r="N223" s="64"/>
      <c r="O223" s="64"/>
      <c r="P223" s="64"/>
      <c r="Q223" s="64"/>
      <c r="R223" s="64"/>
      <c r="S223" s="64"/>
      <c r="T223" s="64"/>
      <c r="U223" s="64"/>
    </row>
    <row r="224">
      <c r="L224" s="64"/>
      <c r="M224" s="64"/>
      <c r="N224" s="64"/>
      <c r="O224" s="64"/>
      <c r="P224" s="64"/>
      <c r="Q224" s="64"/>
      <c r="R224" s="64"/>
      <c r="S224" s="64"/>
      <c r="T224" s="64"/>
      <c r="U224" s="64"/>
    </row>
    <row r="225">
      <c r="L225" s="64"/>
      <c r="M225" s="64"/>
      <c r="N225" s="64"/>
      <c r="O225" s="64"/>
      <c r="P225" s="64"/>
      <c r="Q225" s="64"/>
      <c r="R225" s="64"/>
      <c r="S225" s="64"/>
      <c r="T225" s="64"/>
      <c r="U225" s="64"/>
    </row>
    <row r="226">
      <c r="L226" s="64"/>
      <c r="M226" s="64"/>
      <c r="N226" s="64"/>
      <c r="O226" s="64"/>
      <c r="P226" s="64"/>
      <c r="Q226" s="64"/>
      <c r="R226" s="64"/>
      <c r="S226" s="64"/>
      <c r="T226" s="64"/>
      <c r="U226" s="64"/>
    </row>
    <row r="227">
      <c r="L227" s="64"/>
      <c r="M227" s="64"/>
      <c r="N227" s="64"/>
      <c r="O227" s="64"/>
      <c r="P227" s="64"/>
      <c r="Q227" s="64"/>
      <c r="R227" s="64"/>
      <c r="S227" s="64"/>
      <c r="T227" s="64"/>
      <c r="U227" s="64"/>
    </row>
    <row r="228">
      <c r="L228" s="64"/>
      <c r="M228" s="64"/>
      <c r="N228" s="64"/>
      <c r="O228" s="64"/>
      <c r="P228" s="64"/>
      <c r="Q228" s="64"/>
      <c r="R228" s="64"/>
      <c r="S228" s="64"/>
      <c r="T228" s="64"/>
      <c r="U228" s="64"/>
    </row>
    <row r="229">
      <c r="L229" s="64"/>
      <c r="M229" s="64"/>
      <c r="N229" s="64"/>
      <c r="O229" s="64"/>
      <c r="P229" s="64"/>
      <c r="Q229" s="64"/>
      <c r="R229" s="64"/>
      <c r="S229" s="64"/>
      <c r="T229" s="64"/>
      <c r="U229" s="64"/>
    </row>
    <row r="230">
      <c r="L230" s="64"/>
      <c r="M230" s="64"/>
      <c r="N230" s="64"/>
      <c r="O230" s="64"/>
      <c r="P230" s="64"/>
      <c r="Q230" s="64"/>
      <c r="R230" s="64"/>
      <c r="S230" s="64"/>
      <c r="T230" s="64"/>
      <c r="U230" s="64"/>
    </row>
    <row r="231">
      <c r="L231" s="64"/>
      <c r="M231" s="64"/>
      <c r="N231" s="64"/>
      <c r="O231" s="64"/>
      <c r="P231" s="64"/>
      <c r="Q231" s="64"/>
      <c r="R231" s="64"/>
      <c r="S231" s="64"/>
      <c r="T231" s="64"/>
      <c r="U231" s="64"/>
    </row>
    <row r="232">
      <c r="L232" s="64"/>
      <c r="M232" s="64"/>
      <c r="N232" s="64"/>
      <c r="O232" s="64"/>
      <c r="P232" s="64"/>
      <c r="Q232" s="64"/>
      <c r="R232" s="64"/>
      <c r="S232" s="64"/>
      <c r="T232" s="64"/>
      <c r="U232" s="64"/>
    </row>
    <row r="233">
      <c r="L233" s="64"/>
      <c r="M233" s="64"/>
      <c r="N233" s="64"/>
      <c r="O233" s="64"/>
      <c r="P233" s="64"/>
      <c r="Q233" s="64"/>
      <c r="R233" s="64"/>
      <c r="S233" s="64"/>
      <c r="T233" s="64"/>
      <c r="U233" s="64"/>
    </row>
    <row r="234">
      <c r="L234" s="64"/>
      <c r="M234" s="64"/>
      <c r="N234" s="64"/>
      <c r="O234" s="64"/>
      <c r="P234" s="64"/>
      <c r="Q234" s="64"/>
      <c r="R234" s="64"/>
      <c r="S234" s="64"/>
      <c r="T234" s="64"/>
      <c r="U234" s="64"/>
    </row>
    <row r="235">
      <c r="L235" s="64"/>
      <c r="M235" s="64"/>
      <c r="N235" s="64"/>
      <c r="O235" s="64"/>
      <c r="P235" s="64"/>
      <c r="Q235" s="64"/>
      <c r="R235" s="64"/>
      <c r="S235" s="64"/>
      <c r="T235" s="64"/>
      <c r="U235" s="64"/>
    </row>
    <row r="236">
      <c r="L236" s="64"/>
      <c r="M236" s="64"/>
      <c r="N236" s="64"/>
      <c r="O236" s="64"/>
      <c r="P236" s="64"/>
      <c r="Q236" s="64"/>
      <c r="R236" s="64"/>
      <c r="S236" s="64"/>
      <c r="T236" s="64"/>
      <c r="U236" s="64"/>
    </row>
    <row r="237">
      <c r="L237" s="64"/>
      <c r="M237" s="64"/>
      <c r="N237" s="64"/>
      <c r="O237" s="64"/>
      <c r="P237" s="64"/>
      <c r="Q237" s="64"/>
      <c r="R237" s="64"/>
      <c r="S237" s="64"/>
      <c r="T237" s="64"/>
      <c r="U237" s="64"/>
    </row>
    <row r="238">
      <c r="L238" s="64"/>
      <c r="M238" s="64"/>
      <c r="N238" s="64"/>
      <c r="O238" s="64"/>
      <c r="P238" s="64"/>
      <c r="Q238" s="64"/>
      <c r="R238" s="64"/>
      <c r="S238" s="64"/>
      <c r="T238" s="64"/>
      <c r="U238" s="64"/>
    </row>
    <row r="239">
      <c r="L239" s="64"/>
      <c r="M239" s="64"/>
      <c r="N239" s="64"/>
      <c r="O239" s="64"/>
      <c r="P239" s="64"/>
      <c r="Q239" s="64"/>
      <c r="R239" s="64"/>
      <c r="S239" s="64"/>
      <c r="T239" s="64"/>
      <c r="U239" s="64"/>
    </row>
    <row r="240">
      <c r="L240" s="64"/>
      <c r="M240" s="64"/>
      <c r="N240" s="64"/>
      <c r="O240" s="64"/>
      <c r="P240" s="64"/>
      <c r="Q240" s="64"/>
      <c r="R240" s="64"/>
      <c r="S240" s="64"/>
      <c r="T240" s="64"/>
      <c r="U240" s="64"/>
    </row>
    <row r="241">
      <c r="L241" s="64"/>
      <c r="M241" s="64"/>
      <c r="N241" s="64"/>
      <c r="O241" s="64"/>
      <c r="P241" s="64"/>
      <c r="Q241" s="64"/>
      <c r="R241" s="64"/>
      <c r="S241" s="64"/>
      <c r="T241" s="64"/>
      <c r="U241" s="64"/>
    </row>
    <row r="242">
      <c r="L242" s="64"/>
      <c r="M242" s="64"/>
      <c r="N242" s="64"/>
      <c r="O242" s="64"/>
      <c r="P242" s="64"/>
      <c r="Q242" s="64"/>
      <c r="R242" s="64"/>
      <c r="S242" s="64"/>
      <c r="T242" s="64"/>
      <c r="U242" s="64"/>
    </row>
    <row r="243">
      <c r="L243" s="64"/>
      <c r="M243" s="64"/>
      <c r="N243" s="64"/>
      <c r="O243" s="64"/>
      <c r="P243" s="64"/>
      <c r="Q243" s="64"/>
      <c r="R243" s="64"/>
      <c r="S243" s="64"/>
      <c r="T243" s="64"/>
      <c r="U243" s="64"/>
    </row>
    <row r="244">
      <c r="L244" s="64"/>
      <c r="M244" s="64"/>
      <c r="N244" s="64"/>
      <c r="O244" s="64"/>
      <c r="P244" s="64"/>
      <c r="Q244" s="64"/>
      <c r="R244" s="64"/>
      <c r="S244" s="64"/>
      <c r="T244" s="64"/>
      <c r="U244" s="64"/>
    </row>
    <row r="245">
      <c r="L245" s="64"/>
      <c r="M245" s="64"/>
      <c r="N245" s="64"/>
      <c r="O245" s="64"/>
      <c r="P245" s="64"/>
      <c r="Q245" s="64"/>
      <c r="R245" s="64"/>
      <c r="S245" s="64"/>
      <c r="T245" s="64"/>
      <c r="U245" s="64"/>
    </row>
    <row r="246">
      <c r="L246" s="64"/>
      <c r="M246" s="64"/>
      <c r="N246" s="64"/>
      <c r="O246" s="64"/>
      <c r="P246" s="64"/>
      <c r="Q246" s="64"/>
      <c r="R246" s="64"/>
      <c r="S246" s="64"/>
      <c r="T246" s="64"/>
      <c r="U246" s="64"/>
    </row>
    <row r="247">
      <c r="L247" s="64"/>
      <c r="M247" s="64"/>
      <c r="N247" s="64"/>
      <c r="O247" s="64"/>
      <c r="P247" s="64"/>
      <c r="Q247" s="64"/>
      <c r="R247" s="64"/>
      <c r="S247" s="64"/>
      <c r="T247" s="64"/>
      <c r="U247" s="64"/>
    </row>
    <row r="248">
      <c r="L248" s="64"/>
      <c r="M248" s="64"/>
      <c r="N248" s="64"/>
      <c r="O248" s="64"/>
      <c r="P248" s="64"/>
      <c r="Q248" s="64"/>
      <c r="R248" s="64"/>
      <c r="S248" s="64"/>
      <c r="T248" s="64"/>
      <c r="U248" s="64"/>
    </row>
    <row r="249">
      <c r="L249" s="64"/>
      <c r="M249" s="64"/>
      <c r="N249" s="64"/>
      <c r="O249" s="64"/>
      <c r="P249" s="64"/>
      <c r="Q249" s="64"/>
      <c r="R249" s="64"/>
      <c r="S249" s="64"/>
      <c r="T249" s="64"/>
      <c r="U249" s="64"/>
    </row>
    <row r="250">
      <c r="L250" s="64"/>
      <c r="M250" s="64"/>
      <c r="N250" s="64"/>
      <c r="O250" s="64"/>
      <c r="P250" s="64"/>
      <c r="Q250" s="64"/>
      <c r="R250" s="64"/>
      <c r="S250" s="64"/>
      <c r="T250" s="64"/>
      <c r="U250" s="64"/>
    </row>
    <row r="251">
      <c r="L251" s="64"/>
      <c r="M251" s="64"/>
      <c r="N251" s="64"/>
      <c r="O251" s="64"/>
      <c r="P251" s="64"/>
      <c r="Q251" s="64"/>
      <c r="R251" s="64"/>
      <c r="S251" s="64"/>
      <c r="T251" s="64"/>
      <c r="U251" s="64"/>
    </row>
    <row r="252">
      <c r="L252" s="64"/>
      <c r="M252" s="64"/>
      <c r="N252" s="64"/>
      <c r="O252" s="64"/>
      <c r="P252" s="64"/>
      <c r="Q252" s="64"/>
      <c r="R252" s="64"/>
      <c r="S252" s="64"/>
      <c r="T252" s="64"/>
      <c r="U252" s="64"/>
    </row>
    <row r="253">
      <c r="L253" s="64"/>
      <c r="M253" s="64"/>
      <c r="N253" s="64"/>
      <c r="O253" s="64"/>
      <c r="P253" s="64"/>
      <c r="Q253" s="64"/>
      <c r="R253" s="64"/>
      <c r="S253" s="64"/>
      <c r="T253" s="64"/>
      <c r="U253" s="64"/>
    </row>
    <row r="254">
      <c r="L254" s="64"/>
      <c r="M254" s="64"/>
      <c r="N254" s="64"/>
      <c r="O254" s="64"/>
      <c r="P254" s="64"/>
      <c r="Q254" s="64"/>
      <c r="R254" s="64"/>
      <c r="S254" s="64"/>
      <c r="T254" s="64"/>
      <c r="U254" s="64"/>
    </row>
    <row r="255">
      <c r="L255" s="64"/>
      <c r="M255" s="64"/>
      <c r="N255" s="64"/>
      <c r="O255" s="64"/>
      <c r="P255" s="64"/>
      <c r="Q255" s="64"/>
      <c r="R255" s="64"/>
      <c r="S255" s="64"/>
      <c r="T255" s="64"/>
      <c r="U255" s="64"/>
    </row>
    <row r="256">
      <c r="L256" s="64"/>
      <c r="M256" s="64"/>
      <c r="N256" s="64"/>
      <c r="O256" s="64"/>
      <c r="P256" s="64"/>
      <c r="Q256" s="64"/>
      <c r="R256" s="64"/>
      <c r="S256" s="64"/>
      <c r="T256" s="64"/>
      <c r="U256" s="64"/>
    </row>
    <row r="257">
      <c r="L257" s="64"/>
      <c r="M257" s="64"/>
      <c r="N257" s="64"/>
      <c r="O257" s="64"/>
      <c r="P257" s="64"/>
      <c r="Q257" s="64"/>
      <c r="R257" s="64"/>
      <c r="S257" s="64"/>
      <c r="T257" s="64"/>
      <c r="U257" s="64"/>
    </row>
    <row r="258">
      <c r="L258" s="64"/>
      <c r="M258" s="64"/>
      <c r="N258" s="64"/>
      <c r="O258" s="64"/>
      <c r="P258" s="64"/>
      <c r="Q258" s="64"/>
      <c r="R258" s="64"/>
      <c r="S258" s="64"/>
      <c r="T258" s="64"/>
      <c r="U258" s="64"/>
    </row>
    <row r="259">
      <c r="L259" s="64"/>
      <c r="M259" s="64"/>
      <c r="N259" s="64"/>
      <c r="O259" s="64"/>
      <c r="P259" s="64"/>
      <c r="Q259" s="64"/>
      <c r="R259" s="64"/>
      <c r="S259" s="64"/>
      <c r="T259" s="64"/>
      <c r="U259" s="64"/>
    </row>
    <row r="260">
      <c r="L260" s="64"/>
      <c r="M260" s="64"/>
      <c r="N260" s="64"/>
      <c r="O260" s="64"/>
      <c r="P260" s="64"/>
      <c r="Q260" s="64"/>
      <c r="R260" s="64"/>
      <c r="S260" s="64"/>
      <c r="T260" s="64"/>
      <c r="U260" s="64"/>
    </row>
    <row r="261">
      <c r="L261" s="64"/>
      <c r="M261" s="64"/>
      <c r="N261" s="64"/>
      <c r="O261" s="64"/>
      <c r="P261" s="64"/>
      <c r="Q261" s="64"/>
      <c r="R261" s="64"/>
      <c r="S261" s="64"/>
      <c r="T261" s="64"/>
      <c r="U261" s="64"/>
    </row>
    <row r="262">
      <c r="L262" s="64"/>
      <c r="M262" s="64"/>
      <c r="N262" s="64"/>
      <c r="O262" s="64"/>
      <c r="P262" s="64"/>
      <c r="Q262" s="64"/>
      <c r="R262" s="64"/>
      <c r="S262" s="64"/>
      <c r="T262" s="64"/>
      <c r="U262" s="64"/>
    </row>
    <row r="263">
      <c r="L263" s="64"/>
      <c r="M263" s="64"/>
      <c r="N263" s="64"/>
      <c r="O263" s="64"/>
      <c r="P263" s="64"/>
      <c r="Q263" s="64"/>
      <c r="R263" s="64"/>
      <c r="S263" s="64"/>
      <c r="T263" s="64"/>
      <c r="U263" s="64"/>
    </row>
    <row r="264">
      <c r="L264" s="64"/>
      <c r="M264" s="64"/>
      <c r="N264" s="64"/>
      <c r="O264" s="64"/>
      <c r="P264" s="64"/>
      <c r="Q264" s="64"/>
      <c r="R264" s="64"/>
      <c r="S264" s="64"/>
      <c r="T264" s="64"/>
      <c r="U264" s="64"/>
    </row>
    <row r="265">
      <c r="L265" s="64"/>
      <c r="M265" s="64"/>
      <c r="N265" s="64"/>
      <c r="O265" s="64"/>
      <c r="P265" s="64"/>
      <c r="Q265" s="64"/>
      <c r="R265" s="64"/>
      <c r="S265" s="64"/>
      <c r="T265" s="64"/>
      <c r="U265" s="64"/>
    </row>
    <row r="266">
      <c r="L266" s="64"/>
      <c r="M266" s="64"/>
      <c r="N266" s="64"/>
      <c r="O266" s="64"/>
      <c r="P266" s="64"/>
      <c r="Q266" s="64"/>
      <c r="R266" s="64"/>
      <c r="S266" s="64"/>
      <c r="T266" s="64"/>
      <c r="U266" s="64"/>
    </row>
    <row r="267">
      <c r="L267" s="64"/>
      <c r="M267" s="64"/>
      <c r="N267" s="64"/>
      <c r="O267" s="64"/>
      <c r="P267" s="64"/>
      <c r="Q267" s="64"/>
      <c r="R267" s="64"/>
      <c r="S267" s="64"/>
      <c r="T267" s="64"/>
      <c r="U267" s="64"/>
    </row>
    <row r="268">
      <c r="L268" s="64"/>
      <c r="M268" s="64"/>
      <c r="N268" s="64"/>
      <c r="O268" s="64"/>
      <c r="P268" s="64"/>
      <c r="Q268" s="64"/>
      <c r="R268" s="64"/>
      <c r="S268" s="64"/>
      <c r="T268" s="64"/>
      <c r="U268" s="64"/>
    </row>
    <row r="269">
      <c r="L269" s="64"/>
      <c r="M269" s="64"/>
      <c r="N269" s="64"/>
      <c r="O269" s="64"/>
      <c r="P269" s="64"/>
      <c r="Q269" s="64"/>
      <c r="R269" s="64"/>
      <c r="S269" s="64"/>
      <c r="T269" s="64"/>
      <c r="U269" s="64"/>
    </row>
    <row r="270">
      <c r="L270" s="64"/>
      <c r="M270" s="64"/>
      <c r="N270" s="64"/>
      <c r="O270" s="64"/>
      <c r="P270" s="64"/>
      <c r="Q270" s="64"/>
      <c r="R270" s="64"/>
      <c r="S270" s="64"/>
      <c r="T270" s="64"/>
      <c r="U270" s="64"/>
    </row>
    <row r="271">
      <c r="L271" s="64"/>
      <c r="M271" s="64"/>
      <c r="N271" s="64"/>
      <c r="O271" s="64"/>
      <c r="P271" s="64"/>
      <c r="Q271" s="64"/>
      <c r="R271" s="64"/>
      <c r="S271" s="64"/>
      <c r="T271" s="64"/>
      <c r="U271" s="64"/>
    </row>
    <row r="272">
      <c r="L272" s="64"/>
      <c r="M272" s="64"/>
      <c r="N272" s="64"/>
      <c r="O272" s="64"/>
      <c r="P272" s="64"/>
      <c r="Q272" s="64"/>
      <c r="R272" s="64"/>
      <c r="S272" s="64"/>
      <c r="T272" s="64"/>
      <c r="U272" s="64"/>
    </row>
    <row r="273">
      <c r="L273" s="64"/>
      <c r="M273" s="64"/>
      <c r="N273" s="64"/>
      <c r="O273" s="64"/>
      <c r="P273" s="64"/>
      <c r="Q273" s="64"/>
      <c r="R273" s="64"/>
      <c r="S273" s="64"/>
      <c r="T273" s="64"/>
      <c r="U273" s="64"/>
    </row>
    <row r="274">
      <c r="L274" s="64"/>
      <c r="M274" s="64"/>
      <c r="N274" s="64"/>
      <c r="O274" s="64"/>
      <c r="P274" s="64"/>
      <c r="Q274" s="64"/>
      <c r="R274" s="64"/>
      <c r="S274" s="64"/>
      <c r="T274" s="64"/>
      <c r="U274" s="64"/>
    </row>
    <row r="275">
      <c r="L275" s="64"/>
      <c r="M275" s="64"/>
      <c r="N275" s="64"/>
      <c r="O275" s="64"/>
      <c r="P275" s="64"/>
      <c r="Q275" s="64"/>
      <c r="R275" s="64"/>
      <c r="S275" s="64"/>
      <c r="T275" s="64"/>
      <c r="U275" s="64"/>
    </row>
    <row r="276">
      <c r="L276" s="64"/>
      <c r="M276" s="64"/>
      <c r="N276" s="64"/>
      <c r="O276" s="64"/>
      <c r="P276" s="64"/>
      <c r="Q276" s="64"/>
      <c r="R276" s="64"/>
      <c r="S276" s="64"/>
      <c r="T276" s="64"/>
      <c r="U276" s="64"/>
    </row>
    <row r="277">
      <c r="L277" s="64"/>
      <c r="M277" s="64"/>
      <c r="N277" s="64"/>
      <c r="O277" s="64"/>
      <c r="P277" s="64"/>
      <c r="Q277" s="64"/>
      <c r="R277" s="64"/>
      <c r="S277" s="64"/>
      <c r="T277" s="64"/>
      <c r="U277" s="64"/>
    </row>
    <row r="278">
      <c r="L278" s="64"/>
      <c r="M278" s="64"/>
      <c r="N278" s="64"/>
      <c r="O278" s="64"/>
      <c r="P278" s="64"/>
      <c r="Q278" s="64"/>
      <c r="R278" s="64"/>
      <c r="S278" s="64"/>
      <c r="T278" s="64"/>
      <c r="U278" s="64"/>
    </row>
    <row r="279">
      <c r="L279" s="64"/>
      <c r="M279" s="64"/>
      <c r="N279" s="64"/>
      <c r="O279" s="64"/>
      <c r="P279" s="64"/>
      <c r="Q279" s="64"/>
      <c r="R279" s="64"/>
      <c r="S279" s="64"/>
      <c r="T279" s="64"/>
      <c r="U279" s="64"/>
    </row>
    <row r="280">
      <c r="L280" s="64"/>
      <c r="M280" s="64"/>
      <c r="N280" s="64"/>
      <c r="O280" s="64"/>
      <c r="P280" s="64"/>
      <c r="Q280" s="64"/>
      <c r="R280" s="64"/>
      <c r="S280" s="64"/>
      <c r="T280" s="64"/>
      <c r="U280" s="64"/>
    </row>
    <row r="281">
      <c r="L281" s="64"/>
      <c r="M281" s="64"/>
      <c r="N281" s="64"/>
      <c r="O281" s="64"/>
      <c r="P281" s="64"/>
      <c r="Q281" s="64"/>
      <c r="R281" s="64"/>
      <c r="S281" s="64"/>
      <c r="T281" s="64"/>
      <c r="U281" s="64"/>
    </row>
    <row r="282">
      <c r="L282" s="64"/>
      <c r="M282" s="64"/>
      <c r="N282" s="64"/>
      <c r="O282" s="64"/>
      <c r="P282" s="64"/>
      <c r="Q282" s="64"/>
      <c r="R282" s="64"/>
      <c r="S282" s="64"/>
      <c r="T282" s="64"/>
      <c r="U282" s="64"/>
    </row>
    <row r="283">
      <c r="L283" s="64"/>
      <c r="M283" s="64"/>
      <c r="N283" s="64"/>
      <c r="O283" s="64"/>
      <c r="P283" s="64"/>
      <c r="Q283" s="64"/>
      <c r="R283" s="64"/>
      <c r="S283" s="64"/>
      <c r="T283" s="64"/>
      <c r="U283" s="64"/>
    </row>
    <row r="284">
      <c r="L284" s="64"/>
      <c r="M284" s="64"/>
      <c r="N284" s="64"/>
      <c r="O284" s="64"/>
      <c r="P284" s="64"/>
      <c r="Q284" s="64"/>
      <c r="R284" s="64"/>
      <c r="S284" s="64"/>
      <c r="T284" s="64"/>
      <c r="U284" s="64"/>
    </row>
    <row r="285">
      <c r="L285" s="64"/>
      <c r="M285" s="64"/>
      <c r="N285" s="64"/>
      <c r="O285" s="64"/>
      <c r="P285" s="64"/>
      <c r="Q285" s="64"/>
      <c r="R285" s="64"/>
      <c r="S285" s="64"/>
      <c r="T285" s="64"/>
      <c r="U285" s="64"/>
    </row>
    <row r="286">
      <c r="L286" s="64"/>
      <c r="M286" s="64"/>
      <c r="N286" s="64"/>
      <c r="O286" s="64"/>
      <c r="P286" s="64"/>
      <c r="Q286" s="64"/>
      <c r="R286" s="64"/>
      <c r="S286" s="64"/>
      <c r="T286" s="64"/>
      <c r="U286" s="64"/>
    </row>
    <row r="287">
      <c r="L287" s="64"/>
      <c r="M287" s="64"/>
      <c r="N287" s="64"/>
      <c r="O287" s="64"/>
      <c r="P287" s="64"/>
      <c r="Q287" s="64"/>
      <c r="R287" s="64"/>
      <c r="S287" s="64"/>
      <c r="T287" s="64"/>
      <c r="U287" s="64"/>
    </row>
    <row r="288">
      <c r="L288" s="64"/>
      <c r="M288" s="64"/>
      <c r="N288" s="64"/>
      <c r="O288" s="64"/>
      <c r="P288" s="64"/>
      <c r="Q288" s="64"/>
      <c r="R288" s="64"/>
      <c r="S288" s="64"/>
      <c r="T288" s="64"/>
      <c r="U288" s="64"/>
    </row>
    <row r="289">
      <c r="L289" s="64"/>
      <c r="M289" s="64"/>
      <c r="N289" s="64"/>
      <c r="O289" s="64"/>
      <c r="P289" s="64"/>
      <c r="Q289" s="64"/>
      <c r="R289" s="64"/>
      <c r="S289" s="64"/>
      <c r="T289" s="64"/>
      <c r="U289" s="64"/>
    </row>
    <row r="290">
      <c r="L290" s="64"/>
      <c r="M290" s="64"/>
      <c r="N290" s="64"/>
      <c r="O290" s="64"/>
      <c r="P290" s="64"/>
      <c r="Q290" s="64"/>
      <c r="R290" s="64"/>
      <c r="S290" s="64"/>
      <c r="T290" s="64"/>
      <c r="U290" s="64"/>
    </row>
    <row r="291">
      <c r="L291" s="64"/>
      <c r="M291" s="64"/>
      <c r="N291" s="64"/>
      <c r="O291" s="64"/>
      <c r="P291" s="64"/>
      <c r="Q291" s="64"/>
      <c r="R291" s="64"/>
      <c r="S291" s="64"/>
      <c r="T291" s="64"/>
      <c r="U291" s="64"/>
    </row>
    <row r="292">
      <c r="L292" s="64"/>
      <c r="M292" s="64"/>
      <c r="N292" s="64"/>
      <c r="O292" s="64"/>
      <c r="P292" s="64"/>
      <c r="Q292" s="64"/>
      <c r="R292" s="64"/>
      <c r="S292" s="64"/>
      <c r="T292" s="64"/>
      <c r="U292" s="64"/>
    </row>
    <row r="293">
      <c r="L293" s="64"/>
      <c r="M293" s="64"/>
      <c r="N293" s="64"/>
      <c r="O293" s="64"/>
      <c r="P293" s="64"/>
      <c r="Q293" s="64"/>
      <c r="R293" s="64"/>
      <c r="S293" s="64"/>
      <c r="T293" s="64"/>
      <c r="U293" s="64"/>
    </row>
    <row r="294">
      <c r="L294" s="64"/>
      <c r="M294" s="64"/>
      <c r="N294" s="64"/>
      <c r="O294" s="64"/>
      <c r="P294" s="64"/>
      <c r="Q294" s="64"/>
      <c r="R294" s="64"/>
      <c r="S294" s="64"/>
      <c r="T294" s="64"/>
      <c r="U294" s="64"/>
    </row>
    <row r="295">
      <c r="L295" s="64"/>
      <c r="M295" s="64"/>
      <c r="N295" s="64"/>
      <c r="O295" s="64"/>
      <c r="P295" s="64"/>
      <c r="Q295" s="64"/>
      <c r="R295" s="64"/>
      <c r="S295" s="64"/>
      <c r="T295" s="64"/>
      <c r="U295" s="64"/>
    </row>
    <row r="296">
      <c r="L296" s="64"/>
      <c r="M296" s="64"/>
      <c r="N296" s="64"/>
      <c r="O296" s="64"/>
      <c r="P296" s="64"/>
      <c r="Q296" s="64"/>
      <c r="R296" s="64"/>
      <c r="S296" s="64"/>
      <c r="T296" s="64"/>
      <c r="U296" s="64"/>
    </row>
    <row r="297">
      <c r="L297" s="64"/>
      <c r="M297" s="64"/>
      <c r="N297" s="64"/>
      <c r="O297" s="64"/>
      <c r="P297" s="64"/>
      <c r="Q297" s="64"/>
      <c r="R297" s="64"/>
      <c r="S297" s="64"/>
      <c r="T297" s="64"/>
      <c r="U297" s="64"/>
    </row>
    <row r="298">
      <c r="L298" s="64"/>
      <c r="M298" s="64"/>
      <c r="N298" s="64"/>
      <c r="O298" s="64"/>
      <c r="P298" s="64"/>
      <c r="Q298" s="64"/>
      <c r="R298" s="64"/>
      <c r="S298" s="64"/>
      <c r="T298" s="64"/>
      <c r="U298" s="64"/>
    </row>
    <row r="299">
      <c r="L299" s="64"/>
      <c r="M299" s="64"/>
      <c r="N299" s="64"/>
      <c r="O299" s="64"/>
      <c r="P299" s="64"/>
      <c r="Q299" s="64"/>
      <c r="R299" s="64"/>
      <c r="S299" s="64"/>
      <c r="T299" s="64"/>
      <c r="U299" s="64"/>
    </row>
    <row r="300">
      <c r="L300" s="64"/>
      <c r="M300" s="64"/>
      <c r="N300" s="64"/>
      <c r="O300" s="64"/>
      <c r="P300" s="64"/>
      <c r="Q300" s="64"/>
      <c r="R300" s="64"/>
      <c r="S300" s="64"/>
      <c r="T300" s="64"/>
      <c r="U300" s="64"/>
    </row>
    <row r="301">
      <c r="L301" s="64"/>
      <c r="M301" s="64"/>
      <c r="N301" s="64"/>
      <c r="O301" s="64"/>
      <c r="P301" s="64"/>
      <c r="Q301" s="64"/>
      <c r="R301" s="64"/>
      <c r="S301" s="64"/>
      <c r="T301" s="64"/>
      <c r="U301" s="64"/>
    </row>
    <row r="302">
      <c r="L302" s="64"/>
      <c r="M302" s="64"/>
      <c r="N302" s="64"/>
      <c r="O302" s="64"/>
      <c r="P302" s="64"/>
      <c r="Q302" s="64"/>
      <c r="R302" s="64"/>
      <c r="S302" s="64"/>
      <c r="T302" s="64"/>
      <c r="U302" s="64"/>
    </row>
    <row r="303">
      <c r="L303" s="64"/>
      <c r="M303" s="64"/>
      <c r="N303" s="64"/>
      <c r="O303" s="64"/>
      <c r="P303" s="64"/>
      <c r="Q303" s="64"/>
      <c r="R303" s="64"/>
      <c r="S303" s="64"/>
      <c r="T303" s="64"/>
      <c r="U303" s="64"/>
    </row>
    <row r="304">
      <c r="L304" s="64"/>
      <c r="M304" s="64"/>
      <c r="N304" s="64"/>
      <c r="O304" s="64"/>
      <c r="P304" s="64"/>
      <c r="Q304" s="64"/>
      <c r="R304" s="64"/>
      <c r="S304" s="64"/>
      <c r="T304" s="64"/>
      <c r="U304" s="64"/>
    </row>
    <row r="305">
      <c r="L305" s="64"/>
      <c r="M305" s="64"/>
      <c r="N305" s="64"/>
      <c r="O305" s="64"/>
      <c r="P305" s="64"/>
      <c r="Q305" s="64"/>
      <c r="R305" s="64"/>
      <c r="S305" s="64"/>
      <c r="T305" s="64"/>
      <c r="U305" s="64"/>
    </row>
    <row r="306">
      <c r="L306" s="64"/>
      <c r="M306" s="64"/>
      <c r="N306" s="64"/>
      <c r="O306" s="64"/>
      <c r="P306" s="64"/>
      <c r="Q306" s="64"/>
      <c r="R306" s="64"/>
      <c r="S306" s="64"/>
      <c r="T306" s="64"/>
      <c r="U306" s="64"/>
    </row>
    <row r="307">
      <c r="L307" s="64"/>
      <c r="M307" s="64"/>
      <c r="N307" s="64"/>
      <c r="O307" s="64"/>
      <c r="P307" s="64"/>
      <c r="Q307" s="64"/>
      <c r="R307" s="64"/>
      <c r="S307" s="64"/>
      <c r="T307" s="64"/>
      <c r="U307" s="64"/>
    </row>
    <row r="308">
      <c r="L308" s="64"/>
      <c r="M308" s="64"/>
      <c r="N308" s="64"/>
      <c r="O308" s="64"/>
      <c r="P308" s="64"/>
      <c r="Q308" s="64"/>
      <c r="R308" s="64"/>
      <c r="S308" s="64"/>
      <c r="T308" s="64"/>
      <c r="U308" s="64"/>
    </row>
    <row r="309">
      <c r="L309" s="64"/>
      <c r="M309" s="64"/>
      <c r="N309" s="64"/>
      <c r="O309" s="64"/>
      <c r="P309" s="64"/>
      <c r="Q309" s="64"/>
      <c r="R309" s="64"/>
      <c r="S309" s="64"/>
      <c r="T309" s="64"/>
      <c r="U309" s="64"/>
    </row>
    <row r="310">
      <c r="L310" s="64"/>
      <c r="M310" s="64"/>
      <c r="N310" s="64"/>
      <c r="O310" s="64"/>
      <c r="P310" s="64"/>
      <c r="Q310" s="64"/>
      <c r="R310" s="64"/>
      <c r="S310" s="64"/>
      <c r="T310" s="64"/>
      <c r="U310" s="64"/>
    </row>
    <row r="311">
      <c r="L311" s="64"/>
      <c r="M311" s="64"/>
      <c r="N311" s="64"/>
      <c r="O311" s="64"/>
      <c r="P311" s="64"/>
      <c r="Q311" s="64"/>
      <c r="R311" s="64"/>
      <c r="S311" s="64"/>
      <c r="T311" s="64"/>
      <c r="U311" s="64"/>
    </row>
    <row r="312">
      <c r="L312" s="64"/>
      <c r="M312" s="64"/>
      <c r="N312" s="64"/>
      <c r="O312" s="64"/>
      <c r="P312" s="64"/>
      <c r="Q312" s="64"/>
      <c r="R312" s="64"/>
      <c r="S312" s="64"/>
      <c r="T312" s="64"/>
      <c r="U312" s="64"/>
    </row>
    <row r="313">
      <c r="L313" s="64"/>
      <c r="M313" s="64"/>
      <c r="N313" s="64"/>
      <c r="O313" s="64"/>
      <c r="P313" s="64"/>
      <c r="Q313" s="64"/>
      <c r="R313" s="64"/>
      <c r="S313" s="64"/>
      <c r="T313" s="64"/>
      <c r="U313" s="64"/>
    </row>
    <row r="314">
      <c r="L314" s="64"/>
      <c r="M314" s="64"/>
      <c r="N314" s="64"/>
      <c r="O314" s="64"/>
      <c r="P314" s="64"/>
      <c r="Q314" s="64"/>
      <c r="R314" s="64"/>
      <c r="S314" s="64"/>
      <c r="T314" s="64"/>
      <c r="U314" s="64"/>
    </row>
    <row r="315">
      <c r="L315" s="64"/>
      <c r="M315" s="64"/>
      <c r="N315" s="64"/>
      <c r="O315" s="64"/>
      <c r="P315" s="64"/>
      <c r="Q315" s="64"/>
      <c r="R315" s="64"/>
      <c r="S315" s="64"/>
      <c r="T315" s="64"/>
      <c r="U315" s="64"/>
    </row>
    <row r="316">
      <c r="L316" s="64"/>
      <c r="M316" s="64"/>
      <c r="N316" s="64"/>
      <c r="O316" s="64"/>
      <c r="P316" s="64"/>
      <c r="Q316" s="64"/>
      <c r="R316" s="64"/>
      <c r="S316" s="64"/>
      <c r="T316" s="64"/>
      <c r="U316" s="64"/>
    </row>
    <row r="317">
      <c r="L317" s="64"/>
      <c r="M317" s="64"/>
      <c r="N317" s="64"/>
      <c r="O317" s="64"/>
      <c r="P317" s="64"/>
      <c r="Q317" s="64"/>
      <c r="R317" s="64"/>
      <c r="S317" s="64"/>
      <c r="T317" s="64"/>
      <c r="U317" s="64"/>
    </row>
    <row r="318">
      <c r="L318" s="64"/>
      <c r="M318" s="64"/>
      <c r="N318" s="64"/>
      <c r="O318" s="64"/>
      <c r="P318" s="64"/>
      <c r="Q318" s="64"/>
      <c r="R318" s="64"/>
      <c r="S318" s="64"/>
      <c r="T318" s="64"/>
      <c r="U318" s="64"/>
    </row>
    <row r="319">
      <c r="L319" s="64"/>
      <c r="M319" s="64"/>
      <c r="N319" s="64"/>
      <c r="O319" s="64"/>
      <c r="P319" s="64"/>
      <c r="Q319" s="64"/>
      <c r="R319" s="64"/>
      <c r="S319" s="64"/>
      <c r="T319" s="64"/>
      <c r="U319" s="64"/>
    </row>
    <row r="320">
      <c r="L320" s="64"/>
      <c r="M320" s="64"/>
      <c r="N320" s="64"/>
      <c r="O320" s="64"/>
      <c r="P320" s="64"/>
      <c r="Q320" s="64"/>
      <c r="R320" s="64"/>
      <c r="S320" s="64"/>
      <c r="T320" s="64"/>
      <c r="U320" s="64"/>
    </row>
    <row r="321">
      <c r="L321" s="64"/>
      <c r="M321" s="64"/>
      <c r="N321" s="64"/>
      <c r="O321" s="64"/>
      <c r="P321" s="64"/>
      <c r="Q321" s="64"/>
      <c r="R321" s="64"/>
      <c r="S321" s="64"/>
      <c r="T321" s="64"/>
      <c r="U321" s="64"/>
    </row>
    <row r="322">
      <c r="L322" s="64"/>
      <c r="M322" s="64"/>
      <c r="N322" s="64"/>
      <c r="O322" s="64"/>
      <c r="P322" s="64"/>
      <c r="Q322" s="64"/>
      <c r="R322" s="64"/>
      <c r="S322" s="64"/>
      <c r="T322" s="64"/>
      <c r="U322" s="64"/>
    </row>
    <row r="323">
      <c r="L323" s="64"/>
      <c r="M323" s="64"/>
      <c r="N323" s="64"/>
      <c r="O323" s="64"/>
      <c r="P323" s="64"/>
      <c r="Q323" s="64"/>
      <c r="R323" s="64"/>
      <c r="S323" s="64"/>
      <c r="T323" s="64"/>
      <c r="U323" s="64"/>
    </row>
    <row r="324">
      <c r="L324" s="64"/>
      <c r="M324" s="64"/>
      <c r="N324" s="64"/>
      <c r="O324" s="64"/>
      <c r="P324" s="64"/>
      <c r="Q324" s="64"/>
      <c r="R324" s="64"/>
      <c r="S324" s="64"/>
      <c r="T324" s="64"/>
      <c r="U324" s="64"/>
    </row>
    <row r="325">
      <c r="L325" s="64"/>
      <c r="M325" s="64"/>
      <c r="N325" s="64"/>
      <c r="O325" s="64"/>
      <c r="P325" s="64"/>
      <c r="Q325" s="64"/>
      <c r="R325" s="64"/>
      <c r="S325" s="64"/>
      <c r="T325" s="64"/>
      <c r="U325" s="64"/>
    </row>
    <row r="326">
      <c r="L326" s="64"/>
      <c r="M326" s="64"/>
      <c r="N326" s="64"/>
      <c r="O326" s="64"/>
      <c r="P326" s="64"/>
      <c r="Q326" s="64"/>
      <c r="R326" s="64"/>
      <c r="S326" s="64"/>
      <c r="T326" s="64"/>
      <c r="U326" s="64"/>
    </row>
    <row r="327">
      <c r="L327" s="64"/>
      <c r="M327" s="64"/>
      <c r="N327" s="64"/>
      <c r="O327" s="64"/>
      <c r="P327" s="64"/>
      <c r="Q327" s="64"/>
      <c r="R327" s="64"/>
      <c r="S327" s="64"/>
      <c r="T327" s="64"/>
      <c r="U327" s="64"/>
    </row>
    <row r="328">
      <c r="L328" s="64"/>
      <c r="M328" s="64"/>
      <c r="N328" s="64"/>
      <c r="O328" s="64"/>
      <c r="P328" s="64"/>
      <c r="Q328" s="64"/>
      <c r="R328" s="64"/>
      <c r="S328" s="64"/>
      <c r="T328" s="64"/>
      <c r="U328" s="64"/>
    </row>
    <row r="329">
      <c r="L329" s="64"/>
      <c r="M329" s="64"/>
      <c r="N329" s="64"/>
      <c r="O329" s="64"/>
      <c r="P329" s="64"/>
      <c r="Q329" s="64"/>
      <c r="R329" s="64"/>
      <c r="S329" s="64"/>
      <c r="T329" s="64"/>
      <c r="U329" s="64"/>
    </row>
    <row r="330">
      <c r="L330" s="64"/>
      <c r="M330" s="64"/>
      <c r="N330" s="64"/>
      <c r="O330" s="64"/>
      <c r="P330" s="64"/>
      <c r="Q330" s="64"/>
      <c r="R330" s="64"/>
      <c r="S330" s="64"/>
      <c r="T330" s="64"/>
      <c r="U330" s="64"/>
    </row>
    <row r="331">
      <c r="L331" s="64"/>
      <c r="M331" s="64"/>
      <c r="N331" s="64"/>
      <c r="O331" s="64"/>
      <c r="P331" s="64"/>
      <c r="Q331" s="64"/>
      <c r="R331" s="64"/>
      <c r="S331" s="64"/>
      <c r="T331" s="64"/>
      <c r="U331" s="64"/>
    </row>
    <row r="332">
      <c r="L332" s="64"/>
      <c r="M332" s="64"/>
      <c r="N332" s="64"/>
      <c r="O332" s="64"/>
      <c r="P332" s="64"/>
      <c r="Q332" s="64"/>
      <c r="R332" s="64"/>
      <c r="S332" s="64"/>
      <c r="T332" s="64"/>
      <c r="U332" s="64"/>
    </row>
    <row r="333">
      <c r="L333" s="64"/>
      <c r="M333" s="64"/>
      <c r="N333" s="64"/>
      <c r="O333" s="64"/>
      <c r="P333" s="64"/>
      <c r="Q333" s="64"/>
      <c r="R333" s="64"/>
      <c r="S333" s="64"/>
      <c r="T333" s="64"/>
      <c r="U333" s="64"/>
    </row>
    <row r="334">
      <c r="L334" s="64"/>
      <c r="M334" s="64"/>
      <c r="N334" s="64"/>
      <c r="O334" s="64"/>
      <c r="P334" s="64"/>
      <c r="Q334" s="64"/>
      <c r="R334" s="64"/>
      <c r="S334" s="64"/>
      <c r="T334" s="64"/>
      <c r="U334" s="64"/>
    </row>
    <row r="335">
      <c r="L335" s="64"/>
      <c r="M335" s="64"/>
      <c r="N335" s="64"/>
      <c r="O335" s="64"/>
      <c r="P335" s="64"/>
      <c r="Q335" s="64"/>
      <c r="R335" s="64"/>
      <c r="S335" s="64"/>
      <c r="T335" s="64"/>
      <c r="U335" s="64"/>
    </row>
    <row r="336">
      <c r="L336" s="64"/>
      <c r="M336" s="64"/>
      <c r="N336" s="64"/>
      <c r="O336" s="64"/>
      <c r="P336" s="64"/>
      <c r="Q336" s="64"/>
      <c r="R336" s="64"/>
      <c r="S336" s="64"/>
      <c r="T336" s="64"/>
      <c r="U336" s="64"/>
    </row>
    <row r="337">
      <c r="L337" s="64"/>
      <c r="M337" s="64"/>
      <c r="N337" s="64"/>
      <c r="O337" s="64"/>
      <c r="P337" s="64"/>
      <c r="Q337" s="64"/>
      <c r="R337" s="64"/>
      <c r="S337" s="64"/>
      <c r="T337" s="64"/>
      <c r="U337" s="64"/>
    </row>
    <row r="338">
      <c r="L338" s="64"/>
      <c r="M338" s="64"/>
      <c r="N338" s="64"/>
      <c r="O338" s="64"/>
      <c r="P338" s="64"/>
      <c r="Q338" s="64"/>
      <c r="R338" s="64"/>
      <c r="S338" s="64"/>
      <c r="T338" s="64"/>
      <c r="U338" s="64"/>
    </row>
    <row r="339">
      <c r="L339" s="64"/>
      <c r="M339" s="64"/>
      <c r="N339" s="64"/>
      <c r="O339" s="64"/>
      <c r="P339" s="64"/>
      <c r="Q339" s="64"/>
      <c r="R339" s="64"/>
      <c r="S339" s="64"/>
      <c r="T339" s="64"/>
      <c r="U339" s="64"/>
    </row>
    <row r="340">
      <c r="L340" s="64"/>
      <c r="M340" s="64"/>
      <c r="N340" s="64"/>
      <c r="O340" s="64"/>
      <c r="P340" s="64"/>
      <c r="Q340" s="64"/>
      <c r="R340" s="64"/>
      <c r="S340" s="64"/>
      <c r="T340" s="64"/>
      <c r="U340" s="64"/>
    </row>
    <row r="341">
      <c r="L341" s="64"/>
      <c r="M341" s="64"/>
      <c r="N341" s="64"/>
      <c r="O341" s="64"/>
      <c r="P341" s="64"/>
      <c r="Q341" s="64"/>
      <c r="R341" s="64"/>
      <c r="S341" s="64"/>
      <c r="T341" s="64"/>
      <c r="U341" s="64"/>
    </row>
    <row r="342">
      <c r="L342" s="64"/>
      <c r="M342" s="64"/>
      <c r="N342" s="64"/>
      <c r="O342" s="64"/>
      <c r="P342" s="64"/>
      <c r="Q342" s="64"/>
      <c r="R342" s="64"/>
      <c r="S342" s="64"/>
      <c r="T342" s="64"/>
      <c r="U342" s="64"/>
    </row>
    <row r="343">
      <c r="L343" s="64"/>
      <c r="M343" s="64"/>
      <c r="N343" s="64"/>
      <c r="O343" s="64"/>
      <c r="P343" s="64"/>
      <c r="Q343" s="64"/>
      <c r="R343" s="64"/>
      <c r="S343" s="64"/>
      <c r="T343" s="64"/>
      <c r="U343" s="64"/>
    </row>
    <row r="344">
      <c r="L344" s="64"/>
      <c r="M344" s="64"/>
      <c r="N344" s="64"/>
      <c r="O344" s="64"/>
      <c r="P344" s="64"/>
      <c r="Q344" s="64"/>
      <c r="R344" s="64"/>
      <c r="S344" s="64"/>
      <c r="T344" s="64"/>
      <c r="U344" s="64"/>
    </row>
    <row r="345">
      <c r="L345" s="64"/>
      <c r="M345" s="64"/>
      <c r="N345" s="64"/>
      <c r="O345" s="64"/>
      <c r="P345" s="64"/>
      <c r="Q345" s="64"/>
      <c r="R345" s="64"/>
      <c r="S345" s="64"/>
      <c r="T345" s="64"/>
      <c r="U345" s="64"/>
    </row>
    <row r="346">
      <c r="L346" s="64"/>
      <c r="M346" s="64"/>
      <c r="N346" s="64"/>
      <c r="O346" s="64"/>
      <c r="P346" s="64"/>
      <c r="Q346" s="64"/>
      <c r="R346" s="64"/>
      <c r="S346" s="64"/>
      <c r="T346" s="64"/>
      <c r="U346" s="64"/>
    </row>
    <row r="347">
      <c r="L347" s="64"/>
      <c r="M347" s="64"/>
      <c r="N347" s="64"/>
      <c r="O347" s="64"/>
      <c r="P347" s="64"/>
      <c r="Q347" s="64"/>
      <c r="R347" s="64"/>
      <c r="S347" s="64"/>
      <c r="T347" s="64"/>
      <c r="U347" s="64"/>
    </row>
    <row r="348">
      <c r="L348" s="64"/>
      <c r="M348" s="64"/>
      <c r="N348" s="64"/>
      <c r="O348" s="64"/>
      <c r="P348" s="64"/>
      <c r="Q348" s="64"/>
      <c r="R348" s="64"/>
      <c r="S348" s="64"/>
      <c r="T348" s="64"/>
      <c r="U348" s="64"/>
    </row>
    <row r="349">
      <c r="L349" s="64"/>
      <c r="M349" s="64"/>
      <c r="N349" s="64"/>
      <c r="O349" s="64"/>
      <c r="P349" s="64"/>
      <c r="Q349" s="64"/>
      <c r="R349" s="64"/>
      <c r="S349" s="64"/>
      <c r="T349" s="64"/>
      <c r="U349" s="64"/>
    </row>
    <row r="350">
      <c r="L350" s="64"/>
      <c r="M350" s="64"/>
      <c r="N350" s="64"/>
      <c r="O350" s="64"/>
      <c r="P350" s="64"/>
      <c r="Q350" s="64"/>
      <c r="R350" s="64"/>
      <c r="S350" s="64"/>
      <c r="T350" s="64"/>
      <c r="U350" s="64"/>
    </row>
    <row r="351">
      <c r="L351" s="64"/>
      <c r="M351" s="64"/>
      <c r="N351" s="64"/>
      <c r="O351" s="64"/>
      <c r="P351" s="64"/>
      <c r="Q351" s="64"/>
      <c r="R351" s="64"/>
      <c r="S351" s="64"/>
      <c r="T351" s="64"/>
      <c r="U351" s="64"/>
    </row>
    <row r="352">
      <c r="L352" s="64"/>
      <c r="M352" s="64"/>
      <c r="N352" s="64"/>
      <c r="O352" s="64"/>
      <c r="P352" s="64"/>
      <c r="Q352" s="64"/>
      <c r="R352" s="64"/>
      <c r="S352" s="64"/>
      <c r="T352" s="64"/>
      <c r="U352" s="64"/>
    </row>
    <row r="353">
      <c r="L353" s="64"/>
      <c r="M353" s="64"/>
      <c r="N353" s="64"/>
      <c r="O353" s="64"/>
      <c r="P353" s="64"/>
      <c r="Q353" s="64"/>
      <c r="R353" s="64"/>
      <c r="S353" s="64"/>
      <c r="T353" s="64"/>
      <c r="U353" s="64"/>
    </row>
    <row r="354">
      <c r="L354" s="64"/>
      <c r="M354" s="64"/>
      <c r="N354" s="64"/>
      <c r="O354" s="64"/>
      <c r="P354" s="64"/>
      <c r="Q354" s="64"/>
      <c r="R354" s="64"/>
      <c r="S354" s="64"/>
      <c r="T354" s="64"/>
      <c r="U354" s="64"/>
    </row>
    <row r="355">
      <c r="L355" s="64"/>
      <c r="M355" s="64"/>
      <c r="N355" s="64"/>
      <c r="O355" s="64"/>
      <c r="P355" s="64"/>
      <c r="Q355" s="64"/>
      <c r="R355" s="64"/>
      <c r="S355" s="64"/>
      <c r="T355" s="64"/>
      <c r="U355" s="64"/>
    </row>
    <row r="356">
      <c r="L356" s="64"/>
      <c r="M356" s="64"/>
      <c r="N356" s="64"/>
      <c r="O356" s="64"/>
      <c r="P356" s="64"/>
      <c r="Q356" s="64"/>
      <c r="R356" s="64"/>
      <c r="S356" s="64"/>
      <c r="T356" s="64"/>
      <c r="U356" s="64"/>
    </row>
    <row r="357">
      <c r="L357" s="64"/>
      <c r="M357" s="64"/>
      <c r="N357" s="64"/>
      <c r="O357" s="64"/>
      <c r="P357" s="64"/>
      <c r="Q357" s="64"/>
      <c r="R357" s="64"/>
      <c r="S357" s="64"/>
      <c r="T357" s="64"/>
      <c r="U357" s="64"/>
    </row>
    <row r="358">
      <c r="L358" s="64"/>
      <c r="M358" s="64"/>
      <c r="N358" s="64"/>
      <c r="O358" s="64"/>
      <c r="P358" s="64"/>
      <c r="Q358" s="64"/>
      <c r="R358" s="64"/>
      <c r="S358" s="64"/>
      <c r="T358" s="64"/>
      <c r="U358" s="64"/>
    </row>
    <row r="359">
      <c r="L359" s="64"/>
      <c r="M359" s="64"/>
      <c r="N359" s="64"/>
      <c r="O359" s="64"/>
      <c r="P359" s="64"/>
      <c r="Q359" s="64"/>
      <c r="R359" s="64"/>
      <c r="S359" s="64"/>
      <c r="T359" s="64"/>
      <c r="U359" s="64"/>
    </row>
    <row r="360">
      <c r="L360" s="64"/>
      <c r="M360" s="64"/>
      <c r="N360" s="64"/>
      <c r="O360" s="64"/>
      <c r="P360" s="64"/>
      <c r="Q360" s="64"/>
      <c r="R360" s="64"/>
      <c r="S360" s="64"/>
      <c r="T360" s="64"/>
      <c r="U360" s="64"/>
    </row>
    <row r="361">
      <c r="L361" s="64"/>
      <c r="M361" s="64"/>
      <c r="N361" s="64"/>
      <c r="O361" s="64"/>
      <c r="P361" s="64"/>
      <c r="Q361" s="64"/>
      <c r="R361" s="64"/>
      <c r="S361" s="64"/>
      <c r="T361" s="64"/>
      <c r="U361" s="64"/>
    </row>
    <row r="362">
      <c r="L362" s="64"/>
      <c r="M362" s="64"/>
      <c r="N362" s="64"/>
      <c r="O362" s="64"/>
      <c r="P362" s="64"/>
      <c r="Q362" s="64"/>
      <c r="R362" s="64"/>
      <c r="S362" s="64"/>
      <c r="T362" s="64"/>
      <c r="U362" s="64"/>
    </row>
    <row r="363">
      <c r="L363" s="64"/>
      <c r="M363" s="64"/>
      <c r="N363" s="64"/>
      <c r="O363" s="64"/>
      <c r="P363" s="64"/>
      <c r="Q363" s="64"/>
      <c r="R363" s="64"/>
      <c r="S363" s="64"/>
      <c r="T363" s="64"/>
      <c r="U363" s="64"/>
    </row>
    <row r="364">
      <c r="L364" s="64"/>
      <c r="M364" s="64"/>
      <c r="N364" s="64"/>
      <c r="O364" s="64"/>
      <c r="P364" s="64"/>
      <c r="Q364" s="64"/>
      <c r="R364" s="64"/>
      <c r="S364" s="64"/>
      <c r="T364" s="64"/>
      <c r="U364" s="64"/>
    </row>
    <row r="365">
      <c r="L365" s="64"/>
      <c r="M365" s="64"/>
      <c r="N365" s="64"/>
      <c r="O365" s="64"/>
      <c r="P365" s="64"/>
      <c r="Q365" s="64"/>
      <c r="R365" s="64"/>
      <c r="S365" s="64"/>
      <c r="T365" s="64"/>
      <c r="U365" s="64"/>
    </row>
    <row r="366">
      <c r="L366" s="64"/>
      <c r="M366" s="64"/>
      <c r="N366" s="64"/>
      <c r="O366" s="64"/>
      <c r="P366" s="64"/>
      <c r="Q366" s="64"/>
      <c r="R366" s="64"/>
      <c r="S366" s="64"/>
      <c r="T366" s="64"/>
      <c r="U366" s="64"/>
    </row>
    <row r="367">
      <c r="L367" s="64"/>
      <c r="M367" s="64"/>
      <c r="N367" s="64"/>
      <c r="O367" s="64"/>
      <c r="P367" s="64"/>
      <c r="Q367" s="64"/>
      <c r="R367" s="64"/>
      <c r="S367" s="64"/>
      <c r="T367" s="64"/>
      <c r="U367" s="64"/>
    </row>
    <row r="368">
      <c r="L368" s="64"/>
      <c r="M368" s="64"/>
      <c r="N368" s="64"/>
      <c r="O368" s="64"/>
      <c r="P368" s="64"/>
      <c r="Q368" s="64"/>
      <c r="R368" s="64"/>
      <c r="S368" s="64"/>
      <c r="T368" s="64"/>
      <c r="U368" s="64"/>
    </row>
    <row r="369">
      <c r="L369" s="64"/>
      <c r="M369" s="64"/>
      <c r="N369" s="64"/>
      <c r="O369" s="64"/>
      <c r="P369" s="64"/>
      <c r="Q369" s="64"/>
      <c r="R369" s="64"/>
      <c r="S369" s="64"/>
      <c r="T369" s="64"/>
      <c r="U369" s="64"/>
    </row>
    <row r="370">
      <c r="L370" s="64"/>
      <c r="M370" s="64"/>
      <c r="N370" s="64"/>
      <c r="O370" s="64"/>
      <c r="P370" s="64"/>
      <c r="Q370" s="64"/>
      <c r="R370" s="64"/>
      <c r="S370" s="64"/>
      <c r="T370" s="64"/>
      <c r="U370" s="64"/>
    </row>
    <row r="371">
      <c r="L371" s="64"/>
      <c r="M371" s="64"/>
      <c r="N371" s="64"/>
      <c r="O371" s="64"/>
      <c r="P371" s="64"/>
      <c r="Q371" s="64"/>
      <c r="R371" s="64"/>
      <c r="S371" s="64"/>
      <c r="T371" s="64"/>
      <c r="U371" s="64"/>
    </row>
    <row r="372">
      <c r="L372" s="64"/>
      <c r="M372" s="64"/>
      <c r="N372" s="64"/>
      <c r="O372" s="64"/>
      <c r="P372" s="64"/>
      <c r="Q372" s="64"/>
      <c r="R372" s="64"/>
      <c r="S372" s="64"/>
      <c r="T372" s="64"/>
      <c r="U372" s="64"/>
    </row>
    <row r="373">
      <c r="L373" s="64"/>
      <c r="M373" s="64"/>
      <c r="N373" s="64"/>
      <c r="O373" s="64"/>
      <c r="P373" s="64"/>
      <c r="Q373" s="64"/>
      <c r="R373" s="64"/>
      <c r="S373" s="64"/>
      <c r="T373" s="64"/>
      <c r="U373" s="64"/>
    </row>
    <row r="374">
      <c r="L374" s="64"/>
      <c r="M374" s="64"/>
      <c r="N374" s="64"/>
      <c r="O374" s="64"/>
      <c r="P374" s="64"/>
      <c r="Q374" s="64"/>
      <c r="R374" s="64"/>
      <c r="S374" s="64"/>
      <c r="T374" s="64"/>
      <c r="U374" s="64"/>
    </row>
    <row r="375">
      <c r="L375" s="64"/>
      <c r="M375" s="64"/>
      <c r="N375" s="64"/>
      <c r="O375" s="64"/>
      <c r="P375" s="64"/>
      <c r="Q375" s="64"/>
      <c r="R375" s="64"/>
      <c r="S375" s="64"/>
      <c r="T375" s="64"/>
      <c r="U375" s="64"/>
    </row>
    <row r="376">
      <c r="L376" s="64"/>
      <c r="M376" s="64"/>
      <c r="N376" s="64"/>
      <c r="O376" s="64"/>
      <c r="P376" s="64"/>
      <c r="Q376" s="64"/>
      <c r="R376" s="64"/>
      <c r="S376" s="64"/>
      <c r="T376" s="64"/>
      <c r="U376" s="64"/>
    </row>
    <row r="377">
      <c r="L377" s="64"/>
      <c r="M377" s="64"/>
      <c r="N377" s="64"/>
      <c r="O377" s="64"/>
      <c r="P377" s="64"/>
      <c r="Q377" s="64"/>
      <c r="R377" s="64"/>
      <c r="S377" s="64"/>
      <c r="T377" s="64"/>
      <c r="U377" s="64"/>
    </row>
    <row r="378">
      <c r="L378" s="64"/>
      <c r="M378" s="64"/>
      <c r="N378" s="64"/>
      <c r="O378" s="64"/>
      <c r="P378" s="64"/>
      <c r="Q378" s="64"/>
      <c r="R378" s="64"/>
      <c r="S378" s="64"/>
      <c r="T378" s="64"/>
      <c r="U378" s="64"/>
    </row>
    <row r="379">
      <c r="L379" s="64"/>
      <c r="M379" s="64"/>
      <c r="N379" s="64"/>
      <c r="O379" s="64"/>
      <c r="P379" s="64"/>
      <c r="Q379" s="64"/>
      <c r="R379" s="64"/>
      <c r="S379" s="64"/>
      <c r="T379" s="64"/>
      <c r="U379" s="64"/>
    </row>
    <row r="380">
      <c r="L380" s="64"/>
      <c r="M380" s="64"/>
      <c r="N380" s="64"/>
      <c r="O380" s="64"/>
      <c r="P380" s="64"/>
      <c r="Q380" s="64"/>
      <c r="R380" s="64"/>
      <c r="S380" s="64"/>
      <c r="T380" s="64"/>
      <c r="U380" s="64"/>
    </row>
    <row r="381">
      <c r="L381" s="64"/>
      <c r="M381" s="64"/>
      <c r="N381" s="64"/>
      <c r="O381" s="64"/>
      <c r="P381" s="64"/>
      <c r="Q381" s="64"/>
      <c r="R381" s="64"/>
      <c r="S381" s="64"/>
      <c r="T381" s="64"/>
      <c r="U381" s="64"/>
    </row>
    <row r="382">
      <c r="L382" s="64"/>
      <c r="M382" s="64"/>
      <c r="N382" s="64"/>
      <c r="O382" s="64"/>
      <c r="P382" s="64"/>
      <c r="Q382" s="64"/>
      <c r="R382" s="64"/>
      <c r="S382" s="64"/>
      <c r="T382" s="64"/>
      <c r="U382" s="64"/>
    </row>
    <row r="383">
      <c r="L383" s="64"/>
      <c r="M383" s="64"/>
      <c r="N383" s="64"/>
      <c r="O383" s="64"/>
      <c r="P383" s="64"/>
      <c r="Q383" s="64"/>
      <c r="R383" s="64"/>
      <c r="S383" s="64"/>
      <c r="T383" s="64"/>
      <c r="U383" s="64"/>
    </row>
    <row r="384">
      <c r="L384" s="64"/>
      <c r="M384" s="64"/>
      <c r="N384" s="64"/>
      <c r="O384" s="64"/>
      <c r="P384" s="64"/>
      <c r="Q384" s="64"/>
      <c r="R384" s="64"/>
      <c r="S384" s="64"/>
      <c r="T384" s="64"/>
      <c r="U384" s="64"/>
    </row>
    <row r="385">
      <c r="L385" s="64"/>
      <c r="M385" s="64"/>
      <c r="N385" s="64"/>
      <c r="O385" s="64"/>
      <c r="P385" s="64"/>
      <c r="Q385" s="64"/>
      <c r="R385" s="64"/>
      <c r="S385" s="64"/>
      <c r="T385" s="64"/>
      <c r="U385" s="64"/>
    </row>
    <row r="386">
      <c r="L386" s="64"/>
      <c r="M386" s="64"/>
      <c r="N386" s="64"/>
      <c r="O386" s="64"/>
      <c r="P386" s="64"/>
      <c r="Q386" s="64"/>
      <c r="R386" s="64"/>
      <c r="S386" s="64"/>
      <c r="T386" s="64"/>
      <c r="U386" s="64"/>
    </row>
    <row r="387">
      <c r="L387" s="64"/>
      <c r="M387" s="64"/>
      <c r="N387" s="64"/>
      <c r="O387" s="64"/>
      <c r="P387" s="64"/>
      <c r="Q387" s="64"/>
      <c r="R387" s="64"/>
      <c r="S387" s="64"/>
      <c r="T387" s="64"/>
      <c r="U387" s="64"/>
    </row>
    <row r="388">
      <c r="L388" s="64"/>
      <c r="M388" s="64"/>
      <c r="N388" s="64"/>
      <c r="O388" s="64"/>
      <c r="P388" s="64"/>
      <c r="Q388" s="64"/>
      <c r="R388" s="64"/>
      <c r="S388" s="64"/>
      <c r="T388" s="64"/>
      <c r="U388" s="64"/>
    </row>
    <row r="389">
      <c r="L389" s="64"/>
      <c r="M389" s="64"/>
      <c r="N389" s="64"/>
      <c r="O389" s="64"/>
      <c r="P389" s="64"/>
      <c r="Q389" s="64"/>
      <c r="R389" s="64"/>
      <c r="S389" s="64"/>
      <c r="T389" s="64"/>
      <c r="U389" s="64"/>
    </row>
    <row r="390">
      <c r="L390" s="64"/>
      <c r="M390" s="64"/>
      <c r="N390" s="64"/>
      <c r="O390" s="64"/>
      <c r="P390" s="64"/>
      <c r="Q390" s="64"/>
      <c r="R390" s="64"/>
      <c r="S390" s="64"/>
      <c r="T390" s="64"/>
      <c r="U390" s="64"/>
    </row>
    <row r="391">
      <c r="L391" s="64"/>
      <c r="M391" s="64"/>
      <c r="N391" s="64"/>
      <c r="O391" s="64"/>
      <c r="P391" s="64"/>
      <c r="Q391" s="64"/>
      <c r="R391" s="64"/>
      <c r="S391" s="64"/>
      <c r="T391" s="64"/>
      <c r="U391" s="64"/>
    </row>
    <row r="392">
      <c r="L392" s="64"/>
      <c r="M392" s="64"/>
      <c r="N392" s="64"/>
      <c r="O392" s="64"/>
      <c r="P392" s="64"/>
      <c r="Q392" s="64"/>
      <c r="R392" s="64"/>
      <c r="S392" s="64"/>
      <c r="T392" s="64"/>
      <c r="U392" s="64"/>
    </row>
    <row r="393">
      <c r="L393" s="64"/>
      <c r="M393" s="64"/>
      <c r="N393" s="64"/>
      <c r="O393" s="64"/>
      <c r="P393" s="64"/>
      <c r="Q393" s="64"/>
      <c r="R393" s="64"/>
      <c r="S393" s="64"/>
      <c r="T393" s="64"/>
      <c r="U393" s="64"/>
    </row>
    <row r="394">
      <c r="L394" s="64"/>
      <c r="M394" s="64"/>
      <c r="N394" s="64"/>
      <c r="O394" s="64"/>
      <c r="P394" s="64"/>
      <c r="Q394" s="64"/>
      <c r="R394" s="64"/>
      <c r="S394" s="64"/>
      <c r="T394" s="64"/>
      <c r="U394" s="64"/>
    </row>
    <row r="395">
      <c r="L395" s="64"/>
      <c r="M395" s="64"/>
      <c r="N395" s="64"/>
      <c r="O395" s="64"/>
      <c r="P395" s="64"/>
      <c r="Q395" s="64"/>
      <c r="R395" s="64"/>
      <c r="S395" s="64"/>
      <c r="T395" s="64"/>
      <c r="U395" s="64"/>
    </row>
    <row r="396">
      <c r="L396" s="64"/>
      <c r="M396" s="64"/>
      <c r="N396" s="64"/>
      <c r="O396" s="64"/>
      <c r="P396" s="64"/>
      <c r="Q396" s="64"/>
      <c r="R396" s="64"/>
      <c r="S396" s="64"/>
      <c r="T396" s="64"/>
      <c r="U396" s="64"/>
    </row>
    <row r="397">
      <c r="L397" s="64"/>
      <c r="M397" s="64"/>
      <c r="N397" s="64"/>
      <c r="O397" s="64"/>
      <c r="P397" s="64"/>
      <c r="Q397" s="64"/>
      <c r="R397" s="64"/>
      <c r="S397" s="64"/>
      <c r="T397" s="64"/>
      <c r="U397" s="64"/>
    </row>
    <row r="398">
      <c r="L398" s="64"/>
      <c r="M398" s="64"/>
      <c r="N398" s="64"/>
      <c r="O398" s="64"/>
      <c r="P398" s="64"/>
      <c r="Q398" s="64"/>
      <c r="R398" s="64"/>
      <c r="S398" s="64"/>
      <c r="T398" s="64"/>
      <c r="U398" s="64"/>
    </row>
    <row r="399">
      <c r="L399" s="64"/>
      <c r="M399" s="64"/>
      <c r="N399" s="64"/>
      <c r="O399" s="64"/>
      <c r="P399" s="64"/>
      <c r="Q399" s="64"/>
      <c r="R399" s="64"/>
      <c r="S399" s="64"/>
      <c r="T399" s="64"/>
      <c r="U399" s="64"/>
    </row>
    <row r="400">
      <c r="L400" s="64"/>
      <c r="M400" s="64"/>
      <c r="N400" s="64"/>
      <c r="O400" s="64"/>
      <c r="P400" s="64"/>
      <c r="Q400" s="64"/>
      <c r="R400" s="64"/>
      <c r="S400" s="64"/>
      <c r="T400" s="64"/>
      <c r="U400" s="64"/>
    </row>
    <row r="401">
      <c r="L401" s="64"/>
      <c r="M401" s="64"/>
      <c r="N401" s="64"/>
      <c r="O401" s="64"/>
      <c r="P401" s="64"/>
      <c r="Q401" s="64"/>
      <c r="R401" s="64"/>
      <c r="S401" s="64"/>
      <c r="T401" s="64"/>
      <c r="U401" s="64"/>
    </row>
    <row r="402">
      <c r="L402" s="64"/>
      <c r="M402" s="64"/>
      <c r="N402" s="64"/>
      <c r="O402" s="64"/>
      <c r="P402" s="64"/>
      <c r="Q402" s="64"/>
      <c r="R402" s="64"/>
      <c r="S402" s="64"/>
      <c r="T402" s="64"/>
      <c r="U402" s="64"/>
    </row>
    <row r="403">
      <c r="L403" s="64"/>
      <c r="M403" s="64"/>
      <c r="N403" s="64"/>
      <c r="O403" s="64"/>
      <c r="P403" s="64"/>
      <c r="Q403" s="64"/>
      <c r="R403" s="64"/>
      <c r="S403" s="64"/>
      <c r="T403" s="64"/>
      <c r="U403" s="64"/>
    </row>
    <row r="404">
      <c r="L404" s="64"/>
      <c r="M404" s="64"/>
      <c r="N404" s="64"/>
      <c r="O404" s="64"/>
      <c r="P404" s="64"/>
      <c r="Q404" s="64"/>
      <c r="R404" s="64"/>
      <c r="S404" s="64"/>
      <c r="T404" s="64"/>
      <c r="U404" s="64"/>
    </row>
    <row r="405">
      <c r="L405" s="64"/>
      <c r="M405" s="64"/>
      <c r="N405" s="64"/>
      <c r="O405" s="64"/>
      <c r="P405" s="64"/>
      <c r="Q405" s="64"/>
      <c r="R405" s="64"/>
      <c r="S405" s="64"/>
      <c r="T405" s="64"/>
      <c r="U405" s="64"/>
    </row>
    <row r="406">
      <c r="L406" s="64"/>
      <c r="M406" s="64"/>
      <c r="N406" s="64"/>
      <c r="O406" s="64"/>
      <c r="P406" s="64"/>
      <c r="Q406" s="64"/>
      <c r="R406" s="64"/>
      <c r="S406" s="64"/>
      <c r="T406" s="64"/>
      <c r="U406" s="64"/>
    </row>
    <row r="407">
      <c r="L407" s="64"/>
      <c r="M407" s="64"/>
      <c r="N407" s="64"/>
      <c r="O407" s="64"/>
      <c r="P407" s="64"/>
      <c r="Q407" s="64"/>
      <c r="R407" s="64"/>
      <c r="S407" s="64"/>
      <c r="T407" s="64"/>
      <c r="U407" s="64"/>
    </row>
    <row r="408">
      <c r="L408" s="64"/>
      <c r="M408" s="64"/>
      <c r="N408" s="64"/>
      <c r="O408" s="64"/>
      <c r="P408" s="64"/>
      <c r="Q408" s="64"/>
      <c r="R408" s="64"/>
      <c r="S408" s="64"/>
      <c r="T408" s="64"/>
      <c r="U408" s="64"/>
    </row>
    <row r="409">
      <c r="L409" s="64"/>
      <c r="M409" s="64"/>
      <c r="N409" s="64"/>
      <c r="O409" s="64"/>
      <c r="P409" s="64"/>
      <c r="Q409" s="64"/>
      <c r="R409" s="64"/>
      <c r="S409" s="64"/>
      <c r="T409" s="64"/>
      <c r="U409" s="64"/>
    </row>
    <row r="410">
      <c r="L410" s="64"/>
      <c r="M410" s="64"/>
      <c r="N410" s="64"/>
      <c r="O410" s="64"/>
      <c r="P410" s="64"/>
      <c r="Q410" s="64"/>
      <c r="R410" s="64"/>
      <c r="S410" s="64"/>
      <c r="T410" s="64"/>
      <c r="U410" s="64"/>
    </row>
    <row r="411">
      <c r="L411" s="64"/>
      <c r="M411" s="64"/>
      <c r="N411" s="64"/>
      <c r="O411" s="64"/>
      <c r="P411" s="64"/>
      <c r="Q411" s="64"/>
      <c r="R411" s="64"/>
      <c r="S411" s="64"/>
      <c r="T411" s="64"/>
      <c r="U411" s="64"/>
    </row>
    <row r="412">
      <c r="L412" s="64"/>
      <c r="M412" s="64"/>
      <c r="N412" s="64"/>
      <c r="O412" s="64"/>
      <c r="P412" s="64"/>
      <c r="Q412" s="64"/>
      <c r="R412" s="64"/>
      <c r="S412" s="64"/>
      <c r="T412" s="64"/>
      <c r="U412" s="64"/>
    </row>
    <row r="413">
      <c r="L413" s="64"/>
      <c r="M413" s="64"/>
      <c r="N413" s="64"/>
      <c r="O413" s="64"/>
      <c r="P413" s="64"/>
      <c r="Q413" s="64"/>
      <c r="R413" s="64"/>
      <c r="S413" s="64"/>
      <c r="T413" s="64"/>
      <c r="U413" s="64"/>
    </row>
    <row r="414">
      <c r="L414" s="64"/>
      <c r="M414" s="64"/>
      <c r="N414" s="64"/>
      <c r="O414" s="64"/>
      <c r="P414" s="64"/>
      <c r="Q414" s="64"/>
      <c r="R414" s="64"/>
      <c r="S414" s="64"/>
      <c r="T414" s="64"/>
      <c r="U414" s="64"/>
    </row>
    <row r="415">
      <c r="L415" s="64"/>
      <c r="M415" s="64"/>
      <c r="N415" s="64"/>
      <c r="O415" s="64"/>
      <c r="P415" s="64"/>
      <c r="Q415" s="64"/>
      <c r="R415" s="64"/>
      <c r="S415" s="64"/>
      <c r="T415" s="64"/>
      <c r="U415" s="64"/>
    </row>
    <row r="416">
      <c r="L416" s="64"/>
      <c r="M416" s="64"/>
      <c r="N416" s="64"/>
      <c r="O416" s="64"/>
      <c r="P416" s="64"/>
      <c r="Q416" s="64"/>
      <c r="R416" s="64"/>
      <c r="S416" s="64"/>
      <c r="T416" s="64"/>
      <c r="U416" s="64"/>
    </row>
    <row r="417">
      <c r="L417" s="64"/>
      <c r="M417" s="64"/>
      <c r="N417" s="64"/>
      <c r="O417" s="64"/>
      <c r="P417" s="64"/>
      <c r="Q417" s="64"/>
      <c r="R417" s="64"/>
      <c r="S417" s="64"/>
      <c r="T417" s="64"/>
      <c r="U417" s="64"/>
    </row>
    <row r="418">
      <c r="L418" s="64"/>
      <c r="M418" s="64"/>
      <c r="N418" s="64"/>
      <c r="O418" s="64"/>
      <c r="P418" s="64"/>
      <c r="Q418" s="64"/>
      <c r="R418" s="64"/>
      <c r="S418" s="64"/>
      <c r="T418" s="64"/>
      <c r="U418" s="64"/>
    </row>
    <row r="419">
      <c r="L419" s="64"/>
      <c r="M419" s="64"/>
      <c r="N419" s="64"/>
      <c r="O419" s="64"/>
      <c r="P419" s="64"/>
      <c r="Q419" s="64"/>
      <c r="R419" s="64"/>
      <c r="S419" s="64"/>
      <c r="T419" s="64"/>
      <c r="U419" s="64"/>
    </row>
    <row r="420">
      <c r="L420" s="64"/>
      <c r="M420" s="64"/>
      <c r="N420" s="64"/>
      <c r="O420" s="64"/>
      <c r="P420" s="64"/>
      <c r="Q420" s="64"/>
      <c r="R420" s="64"/>
      <c r="S420" s="64"/>
      <c r="T420" s="64"/>
      <c r="U420" s="64"/>
    </row>
    <row r="421">
      <c r="L421" s="64"/>
      <c r="M421" s="64"/>
      <c r="N421" s="64"/>
      <c r="O421" s="64"/>
      <c r="P421" s="64"/>
      <c r="Q421" s="64"/>
      <c r="R421" s="64"/>
      <c r="S421" s="64"/>
      <c r="T421" s="64"/>
      <c r="U421" s="64"/>
    </row>
    <row r="422">
      <c r="L422" s="64"/>
      <c r="M422" s="64"/>
      <c r="N422" s="64"/>
      <c r="O422" s="64"/>
      <c r="P422" s="64"/>
      <c r="Q422" s="64"/>
      <c r="R422" s="64"/>
      <c r="S422" s="64"/>
      <c r="T422" s="64"/>
      <c r="U422" s="64"/>
    </row>
    <row r="423">
      <c r="L423" s="64"/>
      <c r="M423" s="64"/>
      <c r="N423" s="64"/>
      <c r="O423" s="64"/>
      <c r="P423" s="64"/>
      <c r="Q423" s="64"/>
      <c r="R423" s="64"/>
      <c r="S423" s="64"/>
      <c r="T423" s="64"/>
      <c r="U423" s="64"/>
    </row>
    <row r="424">
      <c r="L424" s="64"/>
      <c r="M424" s="64"/>
      <c r="N424" s="64"/>
      <c r="O424" s="64"/>
      <c r="P424" s="64"/>
      <c r="Q424" s="64"/>
      <c r="R424" s="64"/>
      <c r="S424" s="64"/>
      <c r="T424" s="64"/>
      <c r="U424" s="64"/>
    </row>
    <row r="425">
      <c r="L425" s="64"/>
      <c r="M425" s="64"/>
      <c r="N425" s="64"/>
      <c r="O425" s="64"/>
      <c r="P425" s="64"/>
      <c r="Q425" s="64"/>
      <c r="R425" s="64"/>
      <c r="S425" s="64"/>
      <c r="T425" s="64"/>
      <c r="U425" s="64"/>
    </row>
    <row r="426">
      <c r="L426" s="64"/>
      <c r="M426" s="64"/>
      <c r="N426" s="64"/>
      <c r="O426" s="64"/>
      <c r="P426" s="64"/>
      <c r="Q426" s="64"/>
      <c r="R426" s="64"/>
      <c r="S426" s="64"/>
      <c r="T426" s="64"/>
      <c r="U426" s="64"/>
    </row>
    <row r="427">
      <c r="L427" s="64"/>
      <c r="M427" s="64"/>
      <c r="N427" s="64"/>
      <c r="O427" s="64"/>
      <c r="P427" s="64"/>
      <c r="Q427" s="64"/>
      <c r="R427" s="64"/>
      <c r="S427" s="64"/>
      <c r="T427" s="64"/>
      <c r="U427" s="64"/>
    </row>
    <row r="428">
      <c r="L428" s="64"/>
      <c r="M428" s="64"/>
      <c r="N428" s="64"/>
      <c r="O428" s="64"/>
      <c r="P428" s="64"/>
      <c r="Q428" s="64"/>
      <c r="R428" s="64"/>
      <c r="S428" s="64"/>
      <c r="T428" s="64"/>
      <c r="U428" s="64"/>
    </row>
    <row r="429">
      <c r="L429" s="64"/>
      <c r="M429" s="64"/>
      <c r="N429" s="64"/>
      <c r="O429" s="64"/>
      <c r="P429" s="64"/>
      <c r="Q429" s="64"/>
      <c r="R429" s="64"/>
      <c r="S429" s="64"/>
      <c r="T429" s="64"/>
      <c r="U429" s="64"/>
    </row>
    <row r="430">
      <c r="L430" s="64"/>
      <c r="M430" s="64"/>
      <c r="N430" s="64"/>
      <c r="O430" s="64"/>
      <c r="P430" s="64"/>
      <c r="Q430" s="64"/>
      <c r="R430" s="64"/>
      <c r="S430" s="64"/>
      <c r="T430" s="64"/>
      <c r="U430" s="64"/>
    </row>
    <row r="431">
      <c r="L431" s="64"/>
      <c r="M431" s="64"/>
      <c r="N431" s="64"/>
      <c r="O431" s="64"/>
      <c r="P431" s="64"/>
      <c r="Q431" s="64"/>
      <c r="R431" s="64"/>
      <c r="S431" s="64"/>
      <c r="T431" s="64"/>
      <c r="U431" s="64"/>
    </row>
    <row r="432">
      <c r="L432" s="64"/>
      <c r="M432" s="64"/>
      <c r="N432" s="64"/>
      <c r="O432" s="64"/>
      <c r="P432" s="64"/>
      <c r="Q432" s="64"/>
      <c r="R432" s="64"/>
      <c r="S432" s="64"/>
      <c r="T432" s="64"/>
      <c r="U432" s="64"/>
    </row>
    <row r="433">
      <c r="L433" s="64"/>
      <c r="M433" s="64"/>
      <c r="N433" s="64"/>
      <c r="O433" s="64"/>
      <c r="P433" s="64"/>
      <c r="Q433" s="64"/>
      <c r="R433" s="64"/>
      <c r="S433" s="64"/>
      <c r="T433" s="64"/>
      <c r="U433" s="64"/>
    </row>
    <row r="434">
      <c r="L434" s="64"/>
      <c r="M434" s="64"/>
      <c r="N434" s="64"/>
      <c r="O434" s="64"/>
      <c r="P434" s="64"/>
      <c r="Q434" s="64"/>
      <c r="R434" s="64"/>
      <c r="S434" s="64"/>
      <c r="T434" s="64"/>
      <c r="U434" s="64"/>
    </row>
    <row r="435">
      <c r="L435" s="64"/>
      <c r="M435" s="64"/>
      <c r="N435" s="64"/>
      <c r="O435" s="64"/>
      <c r="P435" s="64"/>
      <c r="Q435" s="64"/>
      <c r="R435" s="64"/>
      <c r="S435" s="64"/>
      <c r="T435" s="64"/>
      <c r="U435" s="64"/>
    </row>
    <row r="436">
      <c r="L436" s="64"/>
      <c r="M436" s="64"/>
      <c r="N436" s="64"/>
      <c r="O436" s="64"/>
      <c r="P436" s="64"/>
      <c r="Q436" s="64"/>
      <c r="R436" s="64"/>
      <c r="S436" s="64"/>
      <c r="T436" s="64"/>
      <c r="U436" s="64"/>
    </row>
    <row r="437">
      <c r="L437" s="64"/>
      <c r="M437" s="64"/>
      <c r="N437" s="64"/>
      <c r="O437" s="64"/>
      <c r="P437" s="64"/>
      <c r="Q437" s="64"/>
      <c r="R437" s="64"/>
      <c r="S437" s="64"/>
      <c r="T437" s="64"/>
      <c r="U437" s="64"/>
    </row>
    <row r="438">
      <c r="L438" s="64"/>
      <c r="M438" s="64"/>
      <c r="N438" s="64"/>
      <c r="O438" s="64"/>
      <c r="P438" s="64"/>
      <c r="Q438" s="64"/>
      <c r="R438" s="64"/>
      <c r="S438" s="64"/>
      <c r="T438" s="64"/>
      <c r="U438" s="64"/>
    </row>
    <row r="439">
      <c r="L439" s="64"/>
      <c r="M439" s="64"/>
      <c r="N439" s="64"/>
      <c r="O439" s="64"/>
      <c r="P439" s="64"/>
      <c r="Q439" s="64"/>
      <c r="R439" s="64"/>
      <c r="S439" s="64"/>
      <c r="T439" s="64"/>
      <c r="U439" s="64"/>
    </row>
    <row r="440">
      <c r="L440" s="64"/>
      <c r="M440" s="64"/>
      <c r="N440" s="64"/>
      <c r="O440" s="64"/>
      <c r="P440" s="64"/>
      <c r="Q440" s="64"/>
      <c r="R440" s="64"/>
      <c r="S440" s="64"/>
      <c r="T440" s="64"/>
      <c r="U440" s="64"/>
    </row>
    <row r="441">
      <c r="L441" s="64"/>
      <c r="M441" s="64"/>
      <c r="N441" s="64"/>
      <c r="O441" s="64"/>
      <c r="P441" s="64"/>
      <c r="Q441" s="64"/>
      <c r="R441" s="64"/>
      <c r="S441" s="64"/>
      <c r="T441" s="64"/>
      <c r="U441" s="64"/>
    </row>
    <row r="442">
      <c r="L442" s="64"/>
      <c r="M442" s="64"/>
      <c r="N442" s="64"/>
      <c r="O442" s="64"/>
      <c r="P442" s="64"/>
      <c r="Q442" s="64"/>
      <c r="R442" s="64"/>
      <c r="S442" s="64"/>
      <c r="T442" s="64"/>
      <c r="U442" s="64"/>
    </row>
    <row r="443">
      <c r="L443" s="64"/>
      <c r="M443" s="64"/>
      <c r="N443" s="64"/>
      <c r="O443" s="64"/>
      <c r="P443" s="64"/>
      <c r="Q443" s="64"/>
      <c r="R443" s="64"/>
      <c r="S443" s="64"/>
      <c r="T443" s="64"/>
      <c r="U443" s="64"/>
    </row>
    <row r="444">
      <c r="L444" s="64"/>
      <c r="M444" s="64"/>
      <c r="N444" s="64"/>
      <c r="O444" s="64"/>
      <c r="P444" s="64"/>
      <c r="Q444" s="64"/>
      <c r="R444" s="64"/>
      <c r="S444" s="64"/>
      <c r="T444" s="64"/>
      <c r="U444" s="64"/>
    </row>
    <row r="445">
      <c r="L445" s="64"/>
      <c r="M445" s="64"/>
      <c r="N445" s="64"/>
      <c r="O445" s="64"/>
      <c r="P445" s="64"/>
      <c r="Q445" s="64"/>
      <c r="R445" s="64"/>
      <c r="S445" s="64"/>
      <c r="T445" s="64"/>
      <c r="U445" s="64"/>
    </row>
    <row r="446">
      <c r="L446" s="64"/>
      <c r="M446" s="64"/>
      <c r="N446" s="64"/>
      <c r="O446" s="64"/>
      <c r="P446" s="64"/>
      <c r="Q446" s="64"/>
      <c r="R446" s="64"/>
      <c r="S446" s="64"/>
      <c r="T446" s="64"/>
      <c r="U446" s="64"/>
    </row>
    <row r="447">
      <c r="L447" s="64"/>
      <c r="M447" s="64"/>
      <c r="N447" s="64"/>
      <c r="O447" s="64"/>
      <c r="P447" s="64"/>
      <c r="Q447" s="64"/>
      <c r="R447" s="64"/>
      <c r="S447" s="64"/>
      <c r="T447" s="64"/>
      <c r="U447" s="64"/>
    </row>
    <row r="448">
      <c r="L448" s="64"/>
      <c r="M448" s="64"/>
      <c r="N448" s="64"/>
      <c r="O448" s="64"/>
      <c r="P448" s="64"/>
      <c r="Q448" s="64"/>
      <c r="R448" s="64"/>
      <c r="S448" s="64"/>
      <c r="T448" s="64"/>
      <c r="U448" s="64"/>
    </row>
    <row r="449">
      <c r="L449" s="64"/>
      <c r="M449" s="64"/>
      <c r="N449" s="64"/>
      <c r="O449" s="64"/>
      <c r="P449" s="64"/>
      <c r="Q449" s="64"/>
      <c r="R449" s="64"/>
      <c r="S449" s="64"/>
      <c r="T449" s="64"/>
      <c r="U449" s="64"/>
    </row>
    <row r="450">
      <c r="L450" s="64"/>
      <c r="M450" s="64"/>
      <c r="N450" s="64"/>
      <c r="O450" s="64"/>
      <c r="P450" s="64"/>
      <c r="Q450" s="64"/>
      <c r="R450" s="64"/>
      <c r="S450" s="64"/>
      <c r="T450" s="64"/>
      <c r="U450" s="64"/>
    </row>
    <row r="451">
      <c r="L451" s="64"/>
      <c r="M451" s="64"/>
      <c r="N451" s="64"/>
      <c r="O451" s="64"/>
      <c r="P451" s="64"/>
      <c r="Q451" s="64"/>
      <c r="R451" s="64"/>
      <c r="S451" s="64"/>
      <c r="T451" s="64"/>
      <c r="U451" s="64"/>
    </row>
    <row r="452">
      <c r="L452" s="64"/>
      <c r="M452" s="64"/>
      <c r="N452" s="64"/>
      <c r="O452" s="64"/>
      <c r="P452" s="64"/>
      <c r="Q452" s="64"/>
      <c r="R452" s="64"/>
      <c r="S452" s="64"/>
      <c r="T452" s="64"/>
      <c r="U452" s="64"/>
    </row>
    <row r="453">
      <c r="L453" s="64"/>
      <c r="M453" s="64"/>
      <c r="N453" s="64"/>
      <c r="O453" s="64"/>
      <c r="P453" s="64"/>
      <c r="Q453" s="64"/>
      <c r="R453" s="64"/>
      <c r="S453" s="64"/>
      <c r="T453" s="64"/>
      <c r="U453" s="64"/>
    </row>
    <row r="454">
      <c r="L454" s="64"/>
      <c r="M454" s="64"/>
      <c r="N454" s="64"/>
      <c r="O454" s="64"/>
      <c r="P454" s="64"/>
      <c r="Q454" s="64"/>
      <c r="R454" s="64"/>
      <c r="S454" s="64"/>
      <c r="T454" s="64"/>
      <c r="U454" s="64"/>
    </row>
    <row r="455">
      <c r="L455" s="64"/>
      <c r="M455" s="64"/>
      <c r="N455" s="64"/>
      <c r="O455" s="64"/>
      <c r="P455" s="64"/>
      <c r="Q455" s="64"/>
      <c r="R455" s="64"/>
      <c r="S455" s="64"/>
      <c r="T455" s="64"/>
      <c r="U455" s="64"/>
    </row>
    <row r="456">
      <c r="L456" s="64"/>
      <c r="M456" s="64"/>
      <c r="N456" s="64"/>
      <c r="O456" s="64"/>
      <c r="P456" s="64"/>
      <c r="Q456" s="64"/>
      <c r="R456" s="64"/>
      <c r="S456" s="64"/>
      <c r="T456" s="64"/>
      <c r="U456" s="64"/>
    </row>
    <row r="457">
      <c r="L457" s="64"/>
      <c r="M457" s="64"/>
      <c r="N457" s="64"/>
      <c r="O457" s="64"/>
      <c r="P457" s="64"/>
      <c r="Q457" s="64"/>
      <c r="R457" s="64"/>
      <c r="S457" s="64"/>
      <c r="T457" s="64"/>
      <c r="U457" s="64"/>
    </row>
    <row r="458">
      <c r="L458" s="64"/>
      <c r="M458" s="64"/>
      <c r="N458" s="64"/>
      <c r="O458" s="64"/>
      <c r="P458" s="64"/>
      <c r="Q458" s="64"/>
      <c r="R458" s="64"/>
      <c r="S458" s="64"/>
      <c r="T458" s="64"/>
      <c r="U458" s="64"/>
    </row>
    <row r="459">
      <c r="L459" s="64"/>
      <c r="M459" s="64"/>
      <c r="N459" s="64"/>
      <c r="O459" s="64"/>
      <c r="P459" s="64"/>
      <c r="Q459" s="64"/>
      <c r="R459" s="64"/>
      <c r="S459" s="64"/>
      <c r="T459" s="64"/>
      <c r="U459" s="64"/>
    </row>
    <row r="460">
      <c r="L460" s="64"/>
      <c r="M460" s="64"/>
      <c r="N460" s="64"/>
      <c r="O460" s="64"/>
      <c r="P460" s="64"/>
      <c r="Q460" s="64"/>
      <c r="R460" s="64"/>
      <c r="S460" s="64"/>
      <c r="T460" s="64"/>
      <c r="U460" s="64"/>
    </row>
    <row r="461">
      <c r="L461" s="64"/>
      <c r="M461" s="64"/>
      <c r="N461" s="64"/>
      <c r="O461" s="64"/>
      <c r="P461" s="64"/>
      <c r="Q461" s="64"/>
      <c r="R461" s="64"/>
      <c r="S461" s="64"/>
      <c r="T461" s="64"/>
      <c r="U461" s="64"/>
    </row>
    <row r="462">
      <c r="L462" s="64"/>
      <c r="M462" s="64"/>
      <c r="N462" s="64"/>
      <c r="O462" s="64"/>
      <c r="P462" s="64"/>
      <c r="Q462" s="64"/>
      <c r="R462" s="64"/>
      <c r="S462" s="64"/>
      <c r="T462" s="64"/>
      <c r="U462" s="64"/>
    </row>
    <row r="463">
      <c r="L463" s="64"/>
      <c r="M463" s="64"/>
      <c r="N463" s="64"/>
      <c r="O463" s="64"/>
      <c r="P463" s="64"/>
      <c r="Q463" s="64"/>
      <c r="R463" s="64"/>
      <c r="S463" s="64"/>
      <c r="T463" s="64"/>
      <c r="U463" s="64"/>
    </row>
    <row r="464">
      <c r="L464" s="64"/>
      <c r="M464" s="64"/>
      <c r="N464" s="64"/>
      <c r="O464" s="64"/>
      <c r="P464" s="64"/>
      <c r="Q464" s="64"/>
      <c r="R464" s="64"/>
      <c r="S464" s="64"/>
      <c r="T464" s="64"/>
      <c r="U464" s="64"/>
    </row>
    <row r="465">
      <c r="L465" s="64"/>
      <c r="M465" s="64"/>
      <c r="N465" s="64"/>
      <c r="O465" s="64"/>
      <c r="P465" s="64"/>
      <c r="Q465" s="64"/>
      <c r="R465" s="64"/>
      <c r="S465" s="64"/>
      <c r="T465" s="64"/>
      <c r="U465" s="64"/>
    </row>
    <row r="466">
      <c r="L466" s="64"/>
      <c r="M466" s="64"/>
      <c r="N466" s="64"/>
      <c r="O466" s="64"/>
      <c r="P466" s="64"/>
      <c r="Q466" s="64"/>
      <c r="R466" s="64"/>
      <c r="S466" s="64"/>
      <c r="T466" s="64"/>
      <c r="U466" s="64"/>
    </row>
    <row r="467">
      <c r="L467" s="64"/>
      <c r="M467" s="64"/>
      <c r="N467" s="64"/>
      <c r="O467" s="64"/>
      <c r="P467" s="64"/>
      <c r="Q467" s="64"/>
      <c r="R467" s="64"/>
      <c r="S467" s="64"/>
      <c r="T467" s="64"/>
      <c r="U467" s="64"/>
    </row>
    <row r="468">
      <c r="L468" s="64"/>
      <c r="M468" s="64"/>
      <c r="N468" s="64"/>
      <c r="O468" s="64"/>
      <c r="P468" s="64"/>
      <c r="Q468" s="64"/>
      <c r="R468" s="64"/>
      <c r="S468" s="64"/>
      <c r="T468" s="64"/>
      <c r="U468" s="64"/>
    </row>
    <row r="469">
      <c r="L469" s="64"/>
      <c r="M469" s="64"/>
      <c r="N469" s="64"/>
      <c r="O469" s="64"/>
      <c r="P469" s="64"/>
      <c r="Q469" s="64"/>
      <c r="R469" s="64"/>
      <c r="S469" s="64"/>
      <c r="T469" s="64"/>
      <c r="U469" s="64"/>
    </row>
    <row r="470">
      <c r="L470" s="64"/>
      <c r="M470" s="64"/>
      <c r="N470" s="64"/>
      <c r="O470" s="64"/>
      <c r="P470" s="64"/>
      <c r="Q470" s="64"/>
      <c r="R470" s="64"/>
      <c r="S470" s="64"/>
      <c r="T470" s="64"/>
      <c r="U470" s="64"/>
    </row>
    <row r="471">
      <c r="L471" s="64"/>
      <c r="M471" s="64"/>
      <c r="N471" s="64"/>
      <c r="O471" s="64"/>
      <c r="P471" s="64"/>
      <c r="Q471" s="64"/>
      <c r="R471" s="64"/>
      <c r="S471" s="64"/>
      <c r="T471" s="64"/>
      <c r="U471" s="64"/>
    </row>
    <row r="472">
      <c r="L472" s="64"/>
      <c r="M472" s="64"/>
      <c r="N472" s="64"/>
      <c r="O472" s="64"/>
      <c r="P472" s="64"/>
      <c r="Q472" s="64"/>
      <c r="R472" s="64"/>
      <c r="S472" s="64"/>
      <c r="T472" s="64"/>
      <c r="U472" s="64"/>
    </row>
    <row r="473">
      <c r="L473" s="64"/>
      <c r="M473" s="64"/>
      <c r="N473" s="64"/>
      <c r="O473" s="64"/>
      <c r="P473" s="64"/>
      <c r="Q473" s="64"/>
      <c r="R473" s="64"/>
      <c r="S473" s="64"/>
      <c r="T473" s="64"/>
      <c r="U473" s="64"/>
    </row>
    <row r="474">
      <c r="L474" s="64"/>
      <c r="M474" s="64"/>
      <c r="N474" s="64"/>
      <c r="O474" s="64"/>
      <c r="P474" s="64"/>
      <c r="Q474" s="64"/>
      <c r="R474" s="64"/>
      <c r="S474" s="64"/>
      <c r="T474" s="64"/>
      <c r="U474" s="64"/>
    </row>
    <row r="475">
      <c r="L475" s="64"/>
      <c r="M475" s="64"/>
      <c r="N475" s="64"/>
      <c r="O475" s="64"/>
      <c r="P475" s="64"/>
      <c r="Q475" s="64"/>
      <c r="R475" s="64"/>
      <c r="S475" s="64"/>
      <c r="T475" s="64"/>
      <c r="U475" s="64"/>
    </row>
    <row r="476">
      <c r="L476" s="64"/>
      <c r="M476" s="64"/>
      <c r="N476" s="64"/>
      <c r="O476" s="64"/>
      <c r="P476" s="64"/>
      <c r="Q476" s="64"/>
      <c r="R476" s="64"/>
      <c r="S476" s="64"/>
      <c r="T476" s="64"/>
      <c r="U476" s="64"/>
    </row>
    <row r="477">
      <c r="L477" s="64"/>
      <c r="M477" s="64"/>
      <c r="N477" s="64"/>
      <c r="O477" s="64"/>
      <c r="P477" s="64"/>
      <c r="Q477" s="64"/>
      <c r="R477" s="64"/>
      <c r="S477" s="64"/>
      <c r="T477" s="64"/>
      <c r="U477" s="64"/>
    </row>
    <row r="478">
      <c r="L478" s="64"/>
      <c r="M478" s="64"/>
      <c r="N478" s="64"/>
      <c r="O478" s="64"/>
      <c r="P478" s="64"/>
      <c r="Q478" s="64"/>
      <c r="R478" s="64"/>
      <c r="S478" s="64"/>
      <c r="T478" s="64"/>
      <c r="U478" s="64"/>
    </row>
    <row r="479">
      <c r="L479" s="64"/>
      <c r="M479" s="64"/>
      <c r="N479" s="64"/>
      <c r="O479" s="64"/>
      <c r="P479" s="64"/>
      <c r="Q479" s="64"/>
      <c r="R479" s="64"/>
      <c r="S479" s="64"/>
      <c r="T479" s="64"/>
      <c r="U479" s="64"/>
    </row>
    <row r="480">
      <c r="L480" s="64"/>
      <c r="M480" s="64"/>
      <c r="N480" s="64"/>
      <c r="O480" s="64"/>
      <c r="P480" s="64"/>
      <c r="Q480" s="64"/>
      <c r="R480" s="64"/>
      <c r="S480" s="64"/>
      <c r="T480" s="64"/>
      <c r="U480" s="64"/>
    </row>
    <row r="481">
      <c r="L481" s="64"/>
      <c r="M481" s="64"/>
      <c r="N481" s="64"/>
      <c r="O481" s="64"/>
      <c r="P481" s="64"/>
      <c r="Q481" s="64"/>
      <c r="R481" s="64"/>
      <c r="S481" s="64"/>
      <c r="T481" s="64"/>
      <c r="U481" s="64"/>
    </row>
    <row r="482">
      <c r="L482" s="64"/>
      <c r="M482" s="64"/>
      <c r="N482" s="64"/>
      <c r="O482" s="64"/>
      <c r="P482" s="64"/>
      <c r="Q482" s="64"/>
      <c r="R482" s="64"/>
      <c r="S482" s="64"/>
      <c r="T482" s="64"/>
      <c r="U482" s="64"/>
    </row>
    <row r="483">
      <c r="L483" s="64"/>
      <c r="M483" s="64"/>
      <c r="N483" s="64"/>
      <c r="O483" s="64"/>
      <c r="P483" s="64"/>
      <c r="Q483" s="64"/>
      <c r="R483" s="64"/>
      <c r="S483" s="64"/>
      <c r="T483" s="64"/>
      <c r="U483" s="64"/>
    </row>
    <row r="484">
      <c r="L484" s="64"/>
      <c r="M484" s="64"/>
      <c r="N484" s="64"/>
      <c r="O484" s="64"/>
      <c r="P484" s="64"/>
      <c r="Q484" s="64"/>
      <c r="R484" s="64"/>
      <c r="S484" s="64"/>
      <c r="T484" s="64"/>
      <c r="U484" s="64"/>
    </row>
    <row r="485">
      <c r="L485" s="64"/>
      <c r="M485" s="64"/>
      <c r="N485" s="64"/>
      <c r="O485" s="64"/>
      <c r="P485" s="64"/>
      <c r="Q485" s="64"/>
      <c r="R485" s="64"/>
      <c r="S485" s="64"/>
      <c r="T485" s="64"/>
      <c r="U485" s="64"/>
    </row>
    <row r="486">
      <c r="L486" s="64"/>
      <c r="M486" s="64"/>
      <c r="N486" s="64"/>
      <c r="O486" s="64"/>
      <c r="P486" s="64"/>
      <c r="Q486" s="64"/>
      <c r="R486" s="64"/>
      <c r="S486" s="64"/>
      <c r="T486" s="64"/>
      <c r="U486" s="64"/>
    </row>
    <row r="487">
      <c r="L487" s="64"/>
      <c r="M487" s="64"/>
      <c r="N487" s="64"/>
      <c r="O487" s="64"/>
      <c r="P487" s="64"/>
      <c r="Q487" s="64"/>
      <c r="R487" s="64"/>
      <c r="S487" s="64"/>
      <c r="T487" s="64"/>
      <c r="U487" s="64"/>
    </row>
    <row r="488">
      <c r="L488" s="64"/>
      <c r="M488" s="64"/>
      <c r="N488" s="64"/>
      <c r="O488" s="64"/>
      <c r="P488" s="64"/>
      <c r="Q488" s="64"/>
      <c r="R488" s="64"/>
      <c r="S488" s="64"/>
      <c r="T488" s="64"/>
      <c r="U488" s="64"/>
    </row>
    <row r="489">
      <c r="L489" s="64"/>
      <c r="M489" s="64"/>
      <c r="N489" s="64"/>
      <c r="O489" s="64"/>
      <c r="P489" s="64"/>
      <c r="Q489" s="64"/>
      <c r="R489" s="64"/>
      <c r="S489" s="64"/>
      <c r="T489" s="64"/>
      <c r="U489" s="64"/>
    </row>
    <row r="490">
      <c r="L490" s="64"/>
      <c r="M490" s="64"/>
      <c r="N490" s="64"/>
      <c r="O490" s="64"/>
      <c r="P490" s="64"/>
      <c r="Q490" s="64"/>
      <c r="R490" s="64"/>
      <c r="S490" s="64"/>
      <c r="T490" s="64"/>
      <c r="U490" s="64"/>
    </row>
    <row r="491">
      <c r="L491" s="64"/>
      <c r="M491" s="64"/>
      <c r="N491" s="64"/>
      <c r="O491" s="64"/>
      <c r="P491" s="64"/>
      <c r="Q491" s="64"/>
      <c r="R491" s="64"/>
      <c r="S491" s="64"/>
      <c r="T491" s="64"/>
      <c r="U491" s="64"/>
    </row>
    <row r="492">
      <c r="L492" s="64"/>
      <c r="M492" s="64"/>
      <c r="N492" s="64"/>
      <c r="O492" s="64"/>
      <c r="P492" s="64"/>
      <c r="Q492" s="64"/>
      <c r="R492" s="64"/>
      <c r="S492" s="64"/>
      <c r="T492" s="64"/>
      <c r="U492" s="64"/>
    </row>
    <row r="493">
      <c r="L493" s="64"/>
      <c r="M493" s="64"/>
      <c r="N493" s="64"/>
      <c r="O493" s="64"/>
      <c r="P493" s="64"/>
      <c r="Q493" s="64"/>
      <c r="R493" s="64"/>
      <c r="S493" s="64"/>
      <c r="T493" s="64"/>
      <c r="U493" s="64"/>
    </row>
    <row r="494">
      <c r="L494" s="64"/>
      <c r="M494" s="64"/>
      <c r="N494" s="64"/>
      <c r="O494" s="64"/>
      <c r="P494" s="64"/>
      <c r="Q494" s="64"/>
      <c r="R494" s="64"/>
      <c r="S494" s="64"/>
      <c r="T494" s="64"/>
      <c r="U494" s="64"/>
    </row>
    <row r="495">
      <c r="L495" s="64"/>
      <c r="M495" s="64"/>
      <c r="N495" s="64"/>
      <c r="O495" s="64"/>
      <c r="P495" s="64"/>
      <c r="Q495" s="64"/>
      <c r="R495" s="64"/>
      <c r="S495" s="64"/>
      <c r="T495" s="64"/>
      <c r="U495" s="64"/>
    </row>
    <row r="496">
      <c r="L496" s="64"/>
      <c r="M496" s="64"/>
      <c r="N496" s="64"/>
      <c r="O496" s="64"/>
      <c r="P496" s="64"/>
      <c r="Q496" s="64"/>
      <c r="R496" s="64"/>
      <c r="S496" s="64"/>
      <c r="T496" s="64"/>
      <c r="U496" s="64"/>
    </row>
    <row r="497">
      <c r="L497" s="64"/>
      <c r="M497" s="64"/>
      <c r="N497" s="64"/>
      <c r="O497" s="64"/>
      <c r="P497" s="64"/>
      <c r="Q497" s="64"/>
      <c r="R497" s="64"/>
      <c r="S497" s="64"/>
      <c r="T497" s="64"/>
      <c r="U497" s="64"/>
    </row>
    <row r="498">
      <c r="L498" s="64"/>
      <c r="M498" s="64"/>
      <c r="N498" s="64"/>
      <c r="O498" s="64"/>
      <c r="P498" s="64"/>
      <c r="Q498" s="64"/>
      <c r="R498" s="64"/>
      <c r="S498" s="64"/>
      <c r="T498" s="64"/>
      <c r="U498" s="64"/>
    </row>
    <row r="499">
      <c r="L499" s="64"/>
      <c r="M499" s="64"/>
      <c r="N499" s="64"/>
      <c r="O499" s="64"/>
      <c r="P499" s="64"/>
      <c r="Q499" s="64"/>
      <c r="R499" s="64"/>
      <c r="S499" s="64"/>
      <c r="T499" s="64"/>
      <c r="U499" s="64"/>
    </row>
    <row r="500">
      <c r="L500" s="64"/>
      <c r="M500" s="64"/>
      <c r="N500" s="64"/>
      <c r="O500" s="64"/>
      <c r="P500" s="64"/>
      <c r="Q500" s="64"/>
      <c r="R500" s="64"/>
      <c r="S500" s="64"/>
      <c r="T500" s="64"/>
      <c r="U500" s="64"/>
    </row>
    <row r="501">
      <c r="L501" s="64"/>
      <c r="M501" s="64"/>
      <c r="N501" s="64"/>
      <c r="O501" s="64"/>
      <c r="P501" s="64"/>
      <c r="Q501" s="64"/>
      <c r="R501" s="64"/>
      <c r="S501" s="64"/>
      <c r="T501" s="64"/>
      <c r="U501" s="64"/>
    </row>
    <row r="502">
      <c r="L502" s="64"/>
      <c r="M502" s="64"/>
      <c r="N502" s="64"/>
      <c r="O502" s="64"/>
      <c r="P502" s="64"/>
      <c r="Q502" s="64"/>
      <c r="R502" s="64"/>
      <c r="S502" s="64"/>
      <c r="T502" s="64"/>
      <c r="U502" s="64"/>
    </row>
    <row r="503">
      <c r="L503" s="64"/>
      <c r="M503" s="64"/>
      <c r="N503" s="64"/>
      <c r="O503" s="64"/>
      <c r="P503" s="64"/>
      <c r="Q503" s="64"/>
      <c r="R503" s="64"/>
      <c r="S503" s="64"/>
      <c r="T503" s="64"/>
      <c r="U503" s="64"/>
    </row>
    <row r="504">
      <c r="L504" s="64"/>
      <c r="M504" s="64"/>
      <c r="N504" s="64"/>
      <c r="O504" s="64"/>
      <c r="P504" s="64"/>
      <c r="Q504" s="64"/>
      <c r="R504" s="64"/>
      <c r="S504" s="64"/>
      <c r="T504" s="64"/>
      <c r="U504" s="64"/>
    </row>
    <row r="505">
      <c r="L505" s="64"/>
      <c r="M505" s="64"/>
      <c r="N505" s="64"/>
      <c r="O505" s="64"/>
      <c r="P505" s="64"/>
      <c r="Q505" s="64"/>
      <c r="R505" s="64"/>
      <c r="S505" s="64"/>
      <c r="T505" s="64"/>
      <c r="U505" s="64"/>
    </row>
    <row r="506">
      <c r="L506" s="64"/>
      <c r="M506" s="64"/>
      <c r="N506" s="64"/>
      <c r="O506" s="64"/>
      <c r="P506" s="64"/>
      <c r="Q506" s="64"/>
      <c r="R506" s="64"/>
      <c r="S506" s="64"/>
      <c r="T506" s="64"/>
      <c r="U506" s="64"/>
    </row>
    <row r="507">
      <c r="L507" s="64"/>
      <c r="M507" s="64"/>
      <c r="N507" s="64"/>
      <c r="O507" s="64"/>
      <c r="P507" s="64"/>
      <c r="Q507" s="64"/>
      <c r="R507" s="64"/>
      <c r="S507" s="64"/>
      <c r="T507" s="64"/>
      <c r="U507" s="64"/>
    </row>
    <row r="508">
      <c r="L508" s="64"/>
      <c r="M508" s="64"/>
      <c r="N508" s="64"/>
      <c r="O508" s="64"/>
      <c r="P508" s="64"/>
      <c r="Q508" s="64"/>
      <c r="R508" s="64"/>
      <c r="S508" s="64"/>
      <c r="T508" s="64"/>
      <c r="U508" s="64"/>
    </row>
    <row r="509">
      <c r="L509" s="64"/>
      <c r="M509" s="64"/>
      <c r="N509" s="64"/>
      <c r="O509" s="64"/>
      <c r="P509" s="64"/>
      <c r="Q509" s="64"/>
      <c r="R509" s="64"/>
      <c r="S509" s="64"/>
      <c r="T509" s="64"/>
      <c r="U509" s="64"/>
    </row>
    <row r="510">
      <c r="L510" s="64"/>
      <c r="M510" s="64"/>
      <c r="N510" s="64"/>
      <c r="O510" s="64"/>
      <c r="P510" s="64"/>
      <c r="Q510" s="64"/>
      <c r="R510" s="64"/>
      <c r="S510" s="64"/>
      <c r="T510" s="64"/>
      <c r="U510" s="64"/>
    </row>
    <row r="511">
      <c r="L511" s="64"/>
      <c r="M511" s="64"/>
      <c r="N511" s="64"/>
      <c r="O511" s="64"/>
      <c r="P511" s="64"/>
      <c r="Q511" s="64"/>
      <c r="R511" s="64"/>
      <c r="S511" s="64"/>
      <c r="T511" s="64"/>
      <c r="U511" s="64"/>
    </row>
    <row r="512">
      <c r="L512" s="64"/>
      <c r="M512" s="64"/>
      <c r="N512" s="64"/>
      <c r="O512" s="64"/>
      <c r="P512" s="64"/>
      <c r="Q512" s="64"/>
      <c r="R512" s="64"/>
      <c r="S512" s="64"/>
      <c r="T512" s="64"/>
      <c r="U512" s="64"/>
    </row>
    <row r="513">
      <c r="L513" s="64"/>
      <c r="M513" s="64"/>
      <c r="N513" s="64"/>
      <c r="O513" s="64"/>
      <c r="P513" s="64"/>
      <c r="Q513" s="64"/>
      <c r="R513" s="64"/>
      <c r="S513" s="64"/>
      <c r="T513" s="64"/>
      <c r="U513" s="64"/>
    </row>
    <row r="514">
      <c r="L514" s="64"/>
      <c r="M514" s="64"/>
      <c r="N514" s="64"/>
      <c r="O514" s="64"/>
      <c r="P514" s="64"/>
      <c r="Q514" s="64"/>
      <c r="R514" s="64"/>
      <c r="S514" s="64"/>
      <c r="T514" s="64"/>
      <c r="U514" s="64"/>
    </row>
    <row r="515">
      <c r="L515" s="64"/>
      <c r="M515" s="64"/>
      <c r="N515" s="64"/>
      <c r="O515" s="64"/>
      <c r="P515" s="64"/>
      <c r="Q515" s="64"/>
      <c r="R515" s="64"/>
      <c r="S515" s="64"/>
      <c r="T515" s="64"/>
      <c r="U515" s="64"/>
    </row>
    <row r="516">
      <c r="L516" s="64"/>
      <c r="M516" s="64"/>
      <c r="N516" s="64"/>
      <c r="O516" s="64"/>
      <c r="P516" s="64"/>
      <c r="Q516" s="64"/>
      <c r="R516" s="64"/>
      <c r="S516" s="64"/>
      <c r="T516" s="64"/>
      <c r="U516" s="64"/>
    </row>
    <row r="517">
      <c r="L517" s="64"/>
      <c r="M517" s="64"/>
      <c r="N517" s="64"/>
      <c r="O517" s="64"/>
      <c r="P517" s="64"/>
      <c r="Q517" s="64"/>
      <c r="R517" s="64"/>
      <c r="S517" s="64"/>
      <c r="T517" s="64"/>
      <c r="U517" s="64"/>
    </row>
    <row r="518">
      <c r="L518" s="64"/>
      <c r="M518" s="64"/>
      <c r="N518" s="64"/>
      <c r="O518" s="64"/>
      <c r="P518" s="64"/>
      <c r="Q518" s="64"/>
      <c r="R518" s="64"/>
      <c r="S518" s="64"/>
      <c r="T518" s="64"/>
      <c r="U518" s="64"/>
    </row>
    <row r="519">
      <c r="L519" s="64"/>
      <c r="M519" s="64"/>
      <c r="N519" s="64"/>
      <c r="O519" s="64"/>
      <c r="P519" s="64"/>
      <c r="Q519" s="64"/>
      <c r="R519" s="64"/>
      <c r="S519" s="64"/>
      <c r="T519" s="64"/>
      <c r="U519" s="64"/>
    </row>
    <row r="520">
      <c r="L520" s="64"/>
      <c r="M520" s="64"/>
      <c r="N520" s="64"/>
      <c r="O520" s="64"/>
      <c r="P520" s="64"/>
      <c r="Q520" s="64"/>
      <c r="R520" s="64"/>
      <c r="S520" s="64"/>
      <c r="T520" s="64"/>
      <c r="U520" s="64"/>
    </row>
    <row r="521">
      <c r="L521" s="64"/>
      <c r="M521" s="64"/>
      <c r="N521" s="64"/>
      <c r="O521" s="64"/>
      <c r="P521" s="64"/>
      <c r="Q521" s="64"/>
      <c r="R521" s="64"/>
      <c r="S521" s="64"/>
      <c r="T521" s="64"/>
      <c r="U521" s="64"/>
    </row>
    <row r="522">
      <c r="L522" s="64"/>
      <c r="M522" s="64"/>
      <c r="N522" s="64"/>
      <c r="O522" s="64"/>
      <c r="P522" s="64"/>
      <c r="Q522" s="64"/>
      <c r="R522" s="64"/>
      <c r="S522" s="64"/>
      <c r="T522" s="64"/>
      <c r="U522" s="64"/>
    </row>
    <row r="523">
      <c r="L523" s="64"/>
      <c r="M523" s="64"/>
      <c r="N523" s="64"/>
      <c r="O523" s="64"/>
      <c r="P523" s="64"/>
      <c r="Q523" s="64"/>
      <c r="R523" s="64"/>
      <c r="S523" s="64"/>
      <c r="T523" s="64"/>
      <c r="U523" s="64"/>
    </row>
    <row r="524">
      <c r="L524" s="64"/>
      <c r="M524" s="64"/>
      <c r="N524" s="64"/>
      <c r="O524" s="64"/>
      <c r="P524" s="64"/>
      <c r="Q524" s="64"/>
      <c r="R524" s="64"/>
      <c r="S524" s="64"/>
      <c r="T524" s="64"/>
      <c r="U524" s="64"/>
    </row>
    <row r="525">
      <c r="L525" s="64"/>
      <c r="M525" s="64"/>
      <c r="N525" s="64"/>
      <c r="O525" s="64"/>
      <c r="P525" s="64"/>
      <c r="Q525" s="64"/>
      <c r="R525" s="64"/>
      <c r="S525" s="64"/>
      <c r="T525" s="64"/>
      <c r="U525" s="64"/>
    </row>
    <row r="526">
      <c r="L526" s="64"/>
      <c r="M526" s="64"/>
      <c r="N526" s="64"/>
      <c r="O526" s="64"/>
      <c r="P526" s="64"/>
      <c r="Q526" s="64"/>
      <c r="R526" s="64"/>
      <c r="S526" s="64"/>
      <c r="T526" s="64"/>
      <c r="U526" s="64"/>
    </row>
    <row r="527">
      <c r="L527" s="64"/>
      <c r="M527" s="64"/>
      <c r="N527" s="64"/>
      <c r="O527" s="64"/>
      <c r="P527" s="64"/>
      <c r="Q527" s="64"/>
      <c r="R527" s="64"/>
      <c r="S527" s="64"/>
      <c r="T527" s="64"/>
      <c r="U527" s="64"/>
    </row>
    <row r="528">
      <c r="L528" s="64"/>
      <c r="M528" s="64"/>
      <c r="N528" s="64"/>
      <c r="O528" s="64"/>
      <c r="P528" s="64"/>
      <c r="Q528" s="64"/>
      <c r="R528" s="64"/>
      <c r="S528" s="64"/>
      <c r="T528" s="64"/>
      <c r="U528" s="64"/>
    </row>
    <row r="529">
      <c r="L529" s="64"/>
      <c r="M529" s="64"/>
      <c r="N529" s="64"/>
      <c r="O529" s="64"/>
      <c r="P529" s="64"/>
      <c r="Q529" s="64"/>
      <c r="R529" s="64"/>
      <c r="S529" s="64"/>
      <c r="T529" s="64"/>
      <c r="U529" s="64"/>
    </row>
    <row r="530">
      <c r="L530" s="64"/>
      <c r="M530" s="64"/>
      <c r="N530" s="64"/>
      <c r="O530" s="64"/>
      <c r="P530" s="64"/>
      <c r="Q530" s="64"/>
      <c r="R530" s="64"/>
      <c r="S530" s="64"/>
      <c r="T530" s="64"/>
      <c r="U530" s="64"/>
    </row>
    <row r="531">
      <c r="L531" s="64"/>
      <c r="M531" s="64"/>
      <c r="N531" s="64"/>
      <c r="O531" s="64"/>
      <c r="P531" s="64"/>
      <c r="Q531" s="64"/>
      <c r="R531" s="64"/>
      <c r="S531" s="64"/>
      <c r="T531" s="64"/>
      <c r="U531" s="64"/>
    </row>
    <row r="532">
      <c r="L532" s="64"/>
      <c r="M532" s="64"/>
      <c r="N532" s="64"/>
      <c r="O532" s="64"/>
      <c r="P532" s="64"/>
      <c r="Q532" s="64"/>
      <c r="R532" s="64"/>
      <c r="S532" s="64"/>
      <c r="T532" s="64"/>
      <c r="U532" s="64"/>
    </row>
    <row r="533">
      <c r="L533" s="64"/>
      <c r="M533" s="64"/>
      <c r="N533" s="64"/>
      <c r="O533" s="64"/>
      <c r="P533" s="64"/>
      <c r="Q533" s="64"/>
      <c r="R533" s="64"/>
      <c r="S533" s="64"/>
      <c r="T533" s="64"/>
      <c r="U533" s="64"/>
    </row>
    <row r="534">
      <c r="L534" s="64"/>
      <c r="M534" s="64"/>
      <c r="N534" s="64"/>
      <c r="O534" s="64"/>
      <c r="P534" s="64"/>
      <c r="Q534" s="64"/>
      <c r="R534" s="64"/>
      <c r="S534" s="64"/>
      <c r="T534" s="64"/>
      <c r="U534" s="64"/>
    </row>
    <row r="535">
      <c r="L535" s="64"/>
      <c r="M535" s="64"/>
      <c r="N535" s="64"/>
      <c r="O535" s="64"/>
      <c r="P535" s="64"/>
      <c r="Q535" s="64"/>
      <c r="R535" s="64"/>
      <c r="S535" s="64"/>
      <c r="T535" s="64"/>
      <c r="U535" s="64"/>
    </row>
    <row r="536">
      <c r="L536" s="64"/>
      <c r="M536" s="64"/>
      <c r="N536" s="64"/>
      <c r="O536" s="64"/>
      <c r="P536" s="64"/>
      <c r="Q536" s="64"/>
      <c r="R536" s="64"/>
      <c r="S536" s="64"/>
      <c r="T536" s="64"/>
      <c r="U536" s="64"/>
    </row>
    <row r="537">
      <c r="L537" s="64"/>
      <c r="M537" s="64"/>
      <c r="N537" s="64"/>
      <c r="O537" s="64"/>
      <c r="P537" s="64"/>
      <c r="Q537" s="64"/>
      <c r="R537" s="64"/>
      <c r="S537" s="64"/>
      <c r="T537" s="64"/>
      <c r="U537" s="64"/>
    </row>
    <row r="538">
      <c r="L538" s="64"/>
      <c r="M538" s="64"/>
      <c r="N538" s="64"/>
      <c r="O538" s="64"/>
      <c r="P538" s="64"/>
      <c r="Q538" s="64"/>
      <c r="R538" s="64"/>
      <c r="S538" s="64"/>
      <c r="T538" s="64"/>
      <c r="U538" s="64"/>
    </row>
    <row r="539">
      <c r="L539" s="64"/>
      <c r="M539" s="64"/>
      <c r="N539" s="64"/>
      <c r="O539" s="64"/>
      <c r="P539" s="64"/>
      <c r="Q539" s="64"/>
      <c r="R539" s="64"/>
      <c r="S539" s="64"/>
      <c r="T539" s="64"/>
      <c r="U539" s="64"/>
    </row>
    <row r="540">
      <c r="L540" s="64"/>
      <c r="M540" s="64"/>
      <c r="N540" s="64"/>
      <c r="O540" s="64"/>
      <c r="P540" s="64"/>
      <c r="Q540" s="64"/>
      <c r="R540" s="64"/>
      <c r="S540" s="64"/>
      <c r="T540" s="64"/>
      <c r="U540" s="64"/>
    </row>
    <row r="541">
      <c r="L541" s="64"/>
      <c r="M541" s="64"/>
      <c r="N541" s="64"/>
      <c r="O541" s="64"/>
      <c r="P541" s="64"/>
      <c r="Q541" s="64"/>
      <c r="R541" s="64"/>
      <c r="S541" s="64"/>
      <c r="T541" s="64"/>
      <c r="U541" s="64"/>
    </row>
    <row r="542">
      <c r="L542" s="64"/>
      <c r="M542" s="64"/>
      <c r="N542" s="64"/>
      <c r="O542" s="64"/>
      <c r="P542" s="64"/>
      <c r="Q542" s="64"/>
      <c r="R542" s="64"/>
      <c r="S542" s="64"/>
      <c r="T542" s="64"/>
      <c r="U542" s="64"/>
    </row>
    <row r="543">
      <c r="L543" s="64"/>
      <c r="M543" s="64"/>
      <c r="N543" s="64"/>
      <c r="O543" s="64"/>
      <c r="P543" s="64"/>
      <c r="Q543" s="64"/>
      <c r="R543" s="64"/>
      <c r="S543" s="64"/>
      <c r="T543" s="64"/>
      <c r="U543" s="64"/>
    </row>
    <row r="544">
      <c r="L544" s="64"/>
      <c r="M544" s="64"/>
      <c r="N544" s="64"/>
      <c r="O544" s="64"/>
      <c r="P544" s="64"/>
      <c r="Q544" s="64"/>
      <c r="R544" s="64"/>
      <c r="S544" s="64"/>
      <c r="T544" s="64"/>
      <c r="U544" s="64"/>
    </row>
    <row r="545">
      <c r="L545" s="64"/>
      <c r="M545" s="64"/>
      <c r="N545" s="64"/>
      <c r="O545" s="64"/>
      <c r="P545" s="64"/>
      <c r="Q545" s="64"/>
      <c r="R545" s="64"/>
      <c r="S545" s="64"/>
      <c r="T545" s="64"/>
      <c r="U545" s="64"/>
    </row>
    <row r="546">
      <c r="L546" s="64"/>
      <c r="M546" s="64"/>
      <c r="N546" s="64"/>
      <c r="O546" s="64"/>
      <c r="P546" s="64"/>
      <c r="Q546" s="64"/>
      <c r="R546" s="64"/>
      <c r="S546" s="64"/>
      <c r="T546" s="64"/>
      <c r="U546" s="64"/>
    </row>
    <row r="547">
      <c r="L547" s="64"/>
      <c r="M547" s="64"/>
      <c r="N547" s="64"/>
      <c r="O547" s="64"/>
      <c r="P547" s="64"/>
      <c r="Q547" s="64"/>
      <c r="R547" s="64"/>
      <c r="S547" s="64"/>
      <c r="T547" s="64"/>
      <c r="U547" s="64"/>
    </row>
    <row r="548">
      <c r="L548" s="64"/>
      <c r="M548" s="64"/>
      <c r="N548" s="64"/>
      <c r="O548" s="64"/>
      <c r="P548" s="64"/>
      <c r="Q548" s="64"/>
      <c r="R548" s="64"/>
      <c r="S548" s="64"/>
      <c r="T548" s="64"/>
      <c r="U548" s="64"/>
    </row>
    <row r="549">
      <c r="L549" s="64"/>
      <c r="M549" s="64"/>
      <c r="N549" s="64"/>
      <c r="O549" s="64"/>
      <c r="P549" s="64"/>
      <c r="Q549" s="64"/>
      <c r="R549" s="64"/>
      <c r="S549" s="64"/>
      <c r="T549" s="64"/>
      <c r="U549" s="64"/>
    </row>
    <row r="550">
      <c r="L550" s="64"/>
      <c r="M550" s="64"/>
      <c r="N550" s="64"/>
      <c r="O550" s="64"/>
      <c r="P550" s="64"/>
      <c r="Q550" s="64"/>
      <c r="R550" s="64"/>
      <c r="S550" s="64"/>
      <c r="T550" s="64"/>
      <c r="U550" s="64"/>
    </row>
    <row r="551">
      <c r="L551" s="64"/>
      <c r="M551" s="64"/>
      <c r="N551" s="64"/>
      <c r="O551" s="64"/>
      <c r="P551" s="64"/>
      <c r="Q551" s="64"/>
      <c r="R551" s="64"/>
      <c r="S551" s="64"/>
      <c r="T551" s="64"/>
      <c r="U551" s="64"/>
    </row>
    <row r="552">
      <c r="L552" s="64"/>
      <c r="M552" s="64"/>
      <c r="N552" s="64"/>
      <c r="O552" s="64"/>
      <c r="P552" s="64"/>
      <c r="Q552" s="64"/>
      <c r="R552" s="64"/>
      <c r="S552" s="64"/>
      <c r="T552" s="64"/>
      <c r="U552" s="64"/>
    </row>
    <row r="553">
      <c r="L553" s="64"/>
      <c r="M553" s="64"/>
      <c r="N553" s="64"/>
      <c r="O553" s="64"/>
      <c r="P553" s="64"/>
      <c r="Q553" s="64"/>
      <c r="R553" s="64"/>
      <c r="S553" s="64"/>
      <c r="T553" s="64"/>
      <c r="U553" s="64"/>
    </row>
    <row r="554">
      <c r="L554" s="64"/>
      <c r="M554" s="64"/>
      <c r="N554" s="64"/>
      <c r="O554" s="64"/>
      <c r="P554" s="64"/>
      <c r="Q554" s="64"/>
      <c r="R554" s="64"/>
      <c r="S554" s="64"/>
      <c r="T554" s="64"/>
      <c r="U554" s="64"/>
    </row>
    <row r="555">
      <c r="L555" s="64"/>
      <c r="M555" s="64"/>
      <c r="N555" s="64"/>
      <c r="O555" s="64"/>
      <c r="P555" s="64"/>
      <c r="Q555" s="64"/>
      <c r="R555" s="64"/>
      <c r="S555" s="64"/>
      <c r="T555" s="64"/>
      <c r="U555" s="64"/>
    </row>
    <row r="556">
      <c r="L556" s="64"/>
      <c r="M556" s="64"/>
      <c r="N556" s="64"/>
      <c r="O556" s="64"/>
      <c r="P556" s="64"/>
      <c r="Q556" s="64"/>
      <c r="R556" s="64"/>
      <c r="S556" s="64"/>
      <c r="T556" s="64"/>
      <c r="U556" s="64"/>
    </row>
    <row r="557">
      <c r="L557" s="64"/>
      <c r="M557" s="64"/>
      <c r="N557" s="64"/>
      <c r="O557" s="64"/>
      <c r="P557" s="64"/>
      <c r="Q557" s="64"/>
      <c r="R557" s="64"/>
      <c r="S557" s="64"/>
      <c r="T557" s="64"/>
      <c r="U557" s="64"/>
    </row>
    <row r="558">
      <c r="L558" s="64"/>
      <c r="M558" s="64"/>
      <c r="N558" s="64"/>
      <c r="O558" s="64"/>
      <c r="P558" s="64"/>
      <c r="Q558" s="64"/>
      <c r="R558" s="64"/>
      <c r="S558" s="64"/>
      <c r="T558" s="64"/>
      <c r="U558" s="64"/>
    </row>
    <row r="559">
      <c r="L559" s="64"/>
      <c r="M559" s="64"/>
      <c r="N559" s="64"/>
      <c r="O559" s="64"/>
      <c r="P559" s="64"/>
      <c r="Q559" s="64"/>
      <c r="R559" s="64"/>
      <c r="S559" s="64"/>
      <c r="T559" s="64"/>
      <c r="U559" s="64"/>
    </row>
    <row r="560">
      <c r="L560" s="64"/>
      <c r="M560" s="64"/>
      <c r="N560" s="64"/>
      <c r="O560" s="64"/>
      <c r="P560" s="64"/>
      <c r="Q560" s="64"/>
      <c r="R560" s="64"/>
      <c r="S560" s="64"/>
      <c r="T560" s="64"/>
      <c r="U560" s="64"/>
    </row>
    <row r="561">
      <c r="L561" s="64"/>
      <c r="M561" s="64"/>
      <c r="N561" s="64"/>
      <c r="O561" s="64"/>
      <c r="P561" s="64"/>
      <c r="Q561" s="64"/>
      <c r="R561" s="64"/>
      <c r="S561" s="64"/>
      <c r="T561" s="64"/>
      <c r="U561" s="64"/>
    </row>
    <row r="562">
      <c r="L562" s="64"/>
      <c r="M562" s="64"/>
      <c r="N562" s="64"/>
      <c r="O562" s="64"/>
      <c r="P562" s="64"/>
      <c r="Q562" s="64"/>
      <c r="R562" s="64"/>
      <c r="S562" s="64"/>
      <c r="T562" s="64"/>
      <c r="U562" s="64"/>
    </row>
    <row r="563">
      <c r="L563" s="64"/>
      <c r="M563" s="64"/>
      <c r="N563" s="64"/>
      <c r="O563" s="64"/>
      <c r="P563" s="64"/>
      <c r="Q563" s="64"/>
      <c r="R563" s="64"/>
      <c r="S563" s="64"/>
      <c r="T563" s="64"/>
      <c r="U563" s="64"/>
    </row>
    <row r="564">
      <c r="L564" s="64"/>
      <c r="M564" s="64"/>
      <c r="N564" s="64"/>
      <c r="O564" s="64"/>
      <c r="P564" s="64"/>
      <c r="Q564" s="64"/>
      <c r="R564" s="64"/>
      <c r="S564" s="64"/>
      <c r="T564" s="64"/>
      <c r="U564" s="64"/>
    </row>
    <row r="565">
      <c r="L565" s="64"/>
      <c r="M565" s="64"/>
      <c r="N565" s="64"/>
      <c r="O565" s="64"/>
      <c r="P565" s="64"/>
      <c r="Q565" s="64"/>
      <c r="R565" s="64"/>
      <c r="S565" s="64"/>
      <c r="T565" s="64"/>
      <c r="U565" s="64"/>
    </row>
    <row r="566">
      <c r="L566" s="64"/>
      <c r="M566" s="64"/>
      <c r="N566" s="64"/>
      <c r="O566" s="64"/>
      <c r="P566" s="64"/>
      <c r="Q566" s="64"/>
      <c r="R566" s="64"/>
      <c r="S566" s="64"/>
      <c r="T566" s="64"/>
      <c r="U566" s="64"/>
    </row>
    <row r="567">
      <c r="L567" s="64"/>
      <c r="M567" s="64"/>
      <c r="N567" s="64"/>
      <c r="O567" s="64"/>
      <c r="P567" s="64"/>
      <c r="Q567" s="64"/>
      <c r="R567" s="64"/>
      <c r="S567" s="64"/>
      <c r="T567" s="64"/>
      <c r="U567" s="64"/>
    </row>
    <row r="568">
      <c r="L568" s="64"/>
      <c r="M568" s="64"/>
      <c r="N568" s="64"/>
      <c r="O568" s="64"/>
      <c r="P568" s="64"/>
      <c r="Q568" s="64"/>
      <c r="R568" s="64"/>
      <c r="S568" s="64"/>
      <c r="T568" s="64"/>
      <c r="U568" s="64"/>
    </row>
    <row r="569">
      <c r="L569" s="64"/>
      <c r="M569" s="64"/>
      <c r="N569" s="64"/>
      <c r="O569" s="64"/>
      <c r="P569" s="64"/>
      <c r="Q569" s="64"/>
      <c r="R569" s="64"/>
      <c r="S569" s="64"/>
      <c r="T569" s="64"/>
      <c r="U569" s="64"/>
    </row>
    <row r="570">
      <c r="L570" s="64"/>
      <c r="M570" s="64"/>
      <c r="N570" s="64"/>
      <c r="O570" s="64"/>
      <c r="P570" s="64"/>
      <c r="Q570" s="64"/>
      <c r="R570" s="64"/>
      <c r="S570" s="64"/>
      <c r="T570" s="64"/>
      <c r="U570" s="64"/>
    </row>
    <row r="571">
      <c r="L571" s="64"/>
      <c r="M571" s="64"/>
      <c r="N571" s="64"/>
      <c r="O571" s="64"/>
      <c r="P571" s="64"/>
      <c r="Q571" s="64"/>
      <c r="R571" s="64"/>
      <c r="S571" s="64"/>
      <c r="T571" s="64"/>
      <c r="U571" s="64"/>
    </row>
    <row r="572">
      <c r="L572" s="64"/>
      <c r="M572" s="64"/>
      <c r="N572" s="64"/>
      <c r="O572" s="64"/>
      <c r="P572" s="64"/>
      <c r="Q572" s="64"/>
      <c r="R572" s="64"/>
      <c r="S572" s="64"/>
      <c r="T572" s="64"/>
      <c r="U572" s="64"/>
    </row>
    <row r="573">
      <c r="L573" s="64"/>
      <c r="M573" s="64"/>
      <c r="N573" s="64"/>
      <c r="O573" s="64"/>
      <c r="P573" s="64"/>
      <c r="Q573" s="64"/>
      <c r="R573" s="64"/>
      <c r="S573" s="64"/>
      <c r="T573" s="64"/>
      <c r="U573" s="64"/>
    </row>
    <row r="574">
      <c r="L574" s="64"/>
      <c r="M574" s="64"/>
      <c r="N574" s="64"/>
      <c r="O574" s="64"/>
      <c r="P574" s="64"/>
      <c r="Q574" s="64"/>
      <c r="R574" s="64"/>
      <c r="S574" s="64"/>
      <c r="T574" s="64"/>
      <c r="U574" s="64"/>
    </row>
    <row r="575">
      <c r="L575" s="64"/>
      <c r="M575" s="64"/>
      <c r="N575" s="64"/>
      <c r="O575" s="64"/>
      <c r="P575" s="64"/>
      <c r="Q575" s="64"/>
      <c r="R575" s="64"/>
      <c r="S575" s="64"/>
      <c r="T575" s="64"/>
      <c r="U575" s="64"/>
    </row>
    <row r="576">
      <c r="L576" s="64"/>
      <c r="M576" s="64"/>
      <c r="N576" s="64"/>
      <c r="O576" s="64"/>
      <c r="P576" s="64"/>
      <c r="Q576" s="64"/>
      <c r="R576" s="64"/>
      <c r="S576" s="64"/>
      <c r="T576" s="64"/>
      <c r="U576" s="64"/>
    </row>
    <row r="577">
      <c r="L577" s="64"/>
      <c r="M577" s="64"/>
      <c r="N577" s="64"/>
      <c r="O577" s="64"/>
      <c r="P577" s="64"/>
      <c r="Q577" s="64"/>
      <c r="R577" s="64"/>
      <c r="S577" s="64"/>
      <c r="T577" s="64"/>
      <c r="U577" s="64"/>
    </row>
    <row r="578">
      <c r="L578" s="64"/>
      <c r="M578" s="64"/>
      <c r="N578" s="64"/>
      <c r="O578" s="64"/>
      <c r="P578" s="64"/>
      <c r="Q578" s="64"/>
      <c r="R578" s="64"/>
      <c r="S578" s="64"/>
      <c r="T578" s="64"/>
      <c r="U578" s="64"/>
    </row>
    <row r="579">
      <c r="L579" s="64"/>
      <c r="M579" s="64"/>
      <c r="N579" s="64"/>
      <c r="O579" s="64"/>
      <c r="P579" s="64"/>
      <c r="Q579" s="64"/>
      <c r="R579" s="64"/>
      <c r="S579" s="64"/>
      <c r="T579" s="64"/>
      <c r="U579" s="64"/>
    </row>
    <row r="580">
      <c r="L580" s="64"/>
      <c r="M580" s="64"/>
      <c r="N580" s="64"/>
      <c r="O580" s="64"/>
      <c r="P580" s="64"/>
      <c r="Q580" s="64"/>
      <c r="R580" s="64"/>
      <c r="S580" s="64"/>
      <c r="T580" s="64"/>
      <c r="U580" s="64"/>
    </row>
    <row r="581">
      <c r="L581" s="64"/>
      <c r="M581" s="64"/>
      <c r="N581" s="64"/>
      <c r="O581" s="64"/>
      <c r="P581" s="64"/>
      <c r="Q581" s="64"/>
      <c r="R581" s="64"/>
      <c r="S581" s="64"/>
      <c r="T581" s="64"/>
      <c r="U581" s="64"/>
    </row>
    <row r="582">
      <c r="L582" s="64"/>
      <c r="M582" s="64"/>
      <c r="N582" s="64"/>
      <c r="O582" s="64"/>
      <c r="P582" s="64"/>
      <c r="Q582" s="64"/>
      <c r="R582" s="64"/>
      <c r="S582" s="64"/>
      <c r="T582" s="64"/>
      <c r="U582" s="64"/>
    </row>
    <row r="583">
      <c r="L583" s="64"/>
      <c r="M583" s="64"/>
      <c r="N583" s="64"/>
      <c r="O583" s="64"/>
      <c r="P583" s="64"/>
      <c r="Q583" s="64"/>
      <c r="R583" s="64"/>
      <c r="S583" s="64"/>
      <c r="T583" s="64"/>
      <c r="U583" s="64"/>
    </row>
    <row r="584">
      <c r="L584" s="64"/>
      <c r="M584" s="64"/>
      <c r="N584" s="64"/>
      <c r="O584" s="64"/>
      <c r="P584" s="64"/>
      <c r="Q584" s="64"/>
      <c r="R584" s="64"/>
      <c r="S584" s="64"/>
      <c r="T584" s="64"/>
      <c r="U584" s="64"/>
    </row>
    <row r="585">
      <c r="L585" s="64"/>
      <c r="M585" s="64"/>
      <c r="N585" s="64"/>
      <c r="O585" s="64"/>
      <c r="P585" s="64"/>
      <c r="Q585" s="64"/>
      <c r="R585" s="64"/>
      <c r="S585" s="64"/>
      <c r="T585" s="64"/>
      <c r="U585" s="64"/>
    </row>
    <row r="586">
      <c r="L586" s="64"/>
      <c r="M586" s="64"/>
      <c r="N586" s="64"/>
      <c r="O586" s="64"/>
      <c r="P586" s="64"/>
      <c r="Q586" s="64"/>
      <c r="R586" s="64"/>
      <c r="S586" s="64"/>
      <c r="T586" s="64"/>
      <c r="U586" s="64"/>
    </row>
    <row r="587">
      <c r="L587" s="64"/>
      <c r="M587" s="64"/>
      <c r="N587" s="64"/>
      <c r="O587" s="64"/>
      <c r="P587" s="64"/>
      <c r="Q587" s="64"/>
      <c r="R587" s="64"/>
      <c r="S587" s="64"/>
      <c r="T587" s="64"/>
      <c r="U587" s="64"/>
    </row>
    <row r="588">
      <c r="L588" s="64"/>
      <c r="M588" s="64"/>
      <c r="N588" s="64"/>
      <c r="O588" s="64"/>
      <c r="P588" s="64"/>
      <c r="Q588" s="64"/>
      <c r="R588" s="64"/>
      <c r="S588" s="64"/>
      <c r="T588" s="64"/>
      <c r="U588" s="64"/>
    </row>
    <row r="589">
      <c r="L589" s="64"/>
      <c r="M589" s="64"/>
      <c r="N589" s="64"/>
      <c r="O589" s="64"/>
      <c r="P589" s="64"/>
      <c r="Q589" s="64"/>
      <c r="R589" s="64"/>
      <c r="S589" s="64"/>
      <c r="T589" s="64"/>
      <c r="U589" s="64"/>
    </row>
    <row r="590">
      <c r="L590" s="64"/>
      <c r="M590" s="64"/>
      <c r="N590" s="64"/>
      <c r="O590" s="64"/>
      <c r="P590" s="64"/>
      <c r="Q590" s="64"/>
      <c r="R590" s="64"/>
      <c r="S590" s="64"/>
      <c r="T590" s="64"/>
      <c r="U590" s="64"/>
    </row>
    <row r="591">
      <c r="L591" s="64"/>
      <c r="M591" s="64"/>
      <c r="N591" s="64"/>
      <c r="O591" s="64"/>
      <c r="P591" s="64"/>
      <c r="Q591" s="64"/>
      <c r="R591" s="64"/>
      <c r="S591" s="64"/>
      <c r="T591" s="64"/>
      <c r="U591" s="64"/>
    </row>
    <row r="592">
      <c r="L592" s="64"/>
      <c r="M592" s="64"/>
      <c r="N592" s="64"/>
      <c r="O592" s="64"/>
      <c r="P592" s="64"/>
      <c r="Q592" s="64"/>
      <c r="R592" s="64"/>
      <c r="S592" s="64"/>
      <c r="T592" s="64"/>
      <c r="U592" s="64"/>
    </row>
    <row r="593">
      <c r="L593" s="64"/>
      <c r="M593" s="64"/>
      <c r="N593" s="64"/>
      <c r="O593" s="64"/>
      <c r="P593" s="64"/>
      <c r="Q593" s="64"/>
      <c r="R593" s="64"/>
      <c r="S593" s="64"/>
      <c r="T593" s="64"/>
      <c r="U593" s="64"/>
    </row>
    <row r="594">
      <c r="L594" s="64"/>
      <c r="M594" s="64"/>
      <c r="N594" s="64"/>
      <c r="O594" s="64"/>
      <c r="P594" s="64"/>
      <c r="Q594" s="64"/>
      <c r="R594" s="64"/>
      <c r="S594" s="64"/>
      <c r="T594" s="64"/>
      <c r="U594" s="64"/>
    </row>
    <row r="595">
      <c r="L595" s="64"/>
      <c r="M595" s="64"/>
      <c r="N595" s="64"/>
      <c r="O595" s="64"/>
      <c r="P595" s="64"/>
      <c r="Q595" s="64"/>
      <c r="R595" s="64"/>
      <c r="S595" s="64"/>
      <c r="T595" s="64"/>
      <c r="U595" s="64"/>
    </row>
    <row r="596">
      <c r="L596" s="64"/>
      <c r="M596" s="64"/>
      <c r="N596" s="64"/>
      <c r="O596" s="64"/>
      <c r="P596" s="64"/>
      <c r="Q596" s="64"/>
      <c r="R596" s="64"/>
      <c r="S596" s="64"/>
      <c r="T596" s="64"/>
      <c r="U596" s="64"/>
    </row>
    <row r="597">
      <c r="L597" s="64"/>
      <c r="M597" s="64"/>
      <c r="N597" s="64"/>
      <c r="O597" s="64"/>
      <c r="P597" s="64"/>
      <c r="Q597" s="64"/>
      <c r="R597" s="64"/>
      <c r="S597" s="64"/>
      <c r="T597" s="64"/>
      <c r="U597" s="64"/>
    </row>
    <row r="598">
      <c r="L598" s="64"/>
      <c r="M598" s="64"/>
      <c r="N598" s="64"/>
      <c r="O598" s="64"/>
      <c r="P598" s="64"/>
      <c r="Q598" s="64"/>
      <c r="R598" s="64"/>
      <c r="S598" s="64"/>
      <c r="T598" s="64"/>
      <c r="U598" s="64"/>
    </row>
    <row r="599">
      <c r="L599" s="64"/>
      <c r="M599" s="64"/>
      <c r="N599" s="64"/>
      <c r="O599" s="64"/>
      <c r="P599" s="64"/>
      <c r="Q599" s="64"/>
      <c r="R599" s="64"/>
      <c r="S599" s="64"/>
      <c r="T599" s="64"/>
      <c r="U599" s="64"/>
    </row>
    <row r="600">
      <c r="L600" s="64"/>
      <c r="M600" s="64"/>
      <c r="N600" s="64"/>
      <c r="O600" s="64"/>
      <c r="P600" s="64"/>
      <c r="Q600" s="64"/>
      <c r="R600" s="64"/>
      <c r="S600" s="64"/>
      <c r="T600" s="64"/>
      <c r="U600" s="64"/>
    </row>
    <row r="601">
      <c r="L601" s="64"/>
      <c r="M601" s="64"/>
      <c r="N601" s="64"/>
      <c r="O601" s="64"/>
      <c r="P601" s="64"/>
      <c r="Q601" s="64"/>
      <c r="R601" s="64"/>
      <c r="S601" s="64"/>
      <c r="T601" s="64"/>
      <c r="U601" s="64"/>
    </row>
    <row r="602">
      <c r="L602" s="64"/>
      <c r="M602" s="64"/>
      <c r="N602" s="64"/>
      <c r="O602" s="64"/>
      <c r="P602" s="64"/>
      <c r="Q602" s="64"/>
      <c r="R602" s="64"/>
      <c r="S602" s="64"/>
      <c r="T602" s="64"/>
      <c r="U602" s="64"/>
    </row>
    <row r="603">
      <c r="L603" s="64"/>
      <c r="M603" s="64"/>
      <c r="N603" s="64"/>
      <c r="O603" s="64"/>
      <c r="P603" s="64"/>
      <c r="Q603" s="64"/>
      <c r="R603" s="64"/>
      <c r="S603" s="64"/>
      <c r="T603" s="64"/>
      <c r="U603" s="64"/>
    </row>
    <row r="604">
      <c r="L604" s="64"/>
      <c r="M604" s="64"/>
      <c r="N604" s="64"/>
      <c r="O604" s="64"/>
      <c r="P604" s="64"/>
      <c r="Q604" s="64"/>
      <c r="R604" s="64"/>
      <c r="S604" s="64"/>
      <c r="T604" s="64"/>
      <c r="U604" s="64"/>
    </row>
    <row r="605">
      <c r="L605" s="64"/>
      <c r="M605" s="64"/>
      <c r="N605" s="64"/>
      <c r="O605" s="64"/>
      <c r="P605" s="64"/>
      <c r="Q605" s="64"/>
      <c r="R605" s="64"/>
      <c r="S605" s="64"/>
      <c r="T605" s="64"/>
      <c r="U605" s="64"/>
    </row>
    <row r="606">
      <c r="L606" s="64"/>
      <c r="M606" s="64"/>
      <c r="N606" s="64"/>
      <c r="O606" s="64"/>
      <c r="P606" s="64"/>
      <c r="Q606" s="64"/>
      <c r="R606" s="64"/>
      <c r="S606" s="64"/>
      <c r="T606" s="64"/>
      <c r="U606" s="64"/>
    </row>
    <row r="607">
      <c r="L607" s="64"/>
      <c r="M607" s="64"/>
      <c r="N607" s="64"/>
      <c r="O607" s="64"/>
      <c r="P607" s="64"/>
      <c r="Q607" s="64"/>
      <c r="R607" s="64"/>
      <c r="S607" s="64"/>
      <c r="T607" s="64"/>
      <c r="U607" s="64"/>
    </row>
    <row r="608">
      <c r="L608" s="64"/>
      <c r="M608" s="64"/>
      <c r="N608" s="64"/>
      <c r="O608" s="64"/>
      <c r="P608" s="64"/>
      <c r="Q608" s="64"/>
      <c r="R608" s="64"/>
      <c r="S608" s="64"/>
      <c r="T608" s="64"/>
      <c r="U608" s="64"/>
    </row>
    <row r="609">
      <c r="L609" s="64"/>
      <c r="M609" s="64"/>
      <c r="N609" s="64"/>
      <c r="O609" s="64"/>
      <c r="P609" s="64"/>
      <c r="Q609" s="64"/>
      <c r="R609" s="64"/>
      <c r="S609" s="64"/>
      <c r="T609" s="64"/>
      <c r="U609" s="64"/>
    </row>
    <row r="610">
      <c r="L610" s="64"/>
      <c r="M610" s="64"/>
      <c r="N610" s="64"/>
      <c r="O610" s="64"/>
      <c r="P610" s="64"/>
      <c r="Q610" s="64"/>
      <c r="R610" s="64"/>
      <c r="S610" s="64"/>
      <c r="T610" s="64"/>
      <c r="U610" s="64"/>
    </row>
    <row r="611">
      <c r="L611" s="64"/>
      <c r="M611" s="64"/>
      <c r="N611" s="64"/>
      <c r="O611" s="64"/>
      <c r="P611" s="64"/>
      <c r="Q611" s="64"/>
      <c r="R611" s="64"/>
      <c r="S611" s="64"/>
      <c r="T611" s="64"/>
      <c r="U611" s="64"/>
    </row>
    <row r="612">
      <c r="L612" s="64"/>
      <c r="M612" s="64"/>
      <c r="N612" s="64"/>
      <c r="O612" s="64"/>
      <c r="P612" s="64"/>
      <c r="Q612" s="64"/>
      <c r="R612" s="64"/>
      <c r="S612" s="64"/>
      <c r="T612" s="64"/>
      <c r="U612" s="64"/>
    </row>
    <row r="613">
      <c r="L613" s="64"/>
      <c r="M613" s="64"/>
      <c r="N613" s="64"/>
      <c r="O613" s="64"/>
      <c r="P613" s="64"/>
      <c r="Q613" s="64"/>
      <c r="R613" s="64"/>
      <c r="S613" s="64"/>
      <c r="T613" s="64"/>
      <c r="U613" s="64"/>
    </row>
    <row r="614">
      <c r="L614" s="64"/>
      <c r="M614" s="64"/>
      <c r="N614" s="64"/>
      <c r="O614" s="64"/>
      <c r="P614" s="64"/>
      <c r="Q614" s="64"/>
      <c r="R614" s="64"/>
      <c r="S614" s="64"/>
      <c r="T614" s="64"/>
      <c r="U614" s="64"/>
    </row>
    <row r="615">
      <c r="L615" s="64"/>
      <c r="M615" s="64"/>
      <c r="N615" s="64"/>
      <c r="O615" s="64"/>
      <c r="P615" s="64"/>
      <c r="Q615" s="64"/>
      <c r="R615" s="64"/>
      <c r="S615" s="64"/>
      <c r="T615" s="64"/>
      <c r="U615" s="64"/>
    </row>
    <row r="616">
      <c r="L616" s="64"/>
      <c r="M616" s="64"/>
      <c r="N616" s="64"/>
      <c r="O616" s="64"/>
      <c r="P616" s="64"/>
      <c r="Q616" s="64"/>
      <c r="R616" s="64"/>
      <c r="S616" s="64"/>
      <c r="T616" s="64"/>
      <c r="U616" s="64"/>
    </row>
    <row r="617">
      <c r="L617" s="64"/>
      <c r="M617" s="64"/>
      <c r="N617" s="64"/>
      <c r="O617" s="64"/>
      <c r="P617" s="64"/>
      <c r="Q617" s="64"/>
      <c r="R617" s="64"/>
      <c r="S617" s="64"/>
      <c r="T617" s="64"/>
      <c r="U617" s="64"/>
    </row>
    <row r="618">
      <c r="L618" s="64"/>
      <c r="M618" s="64"/>
      <c r="N618" s="64"/>
      <c r="O618" s="64"/>
      <c r="P618" s="64"/>
      <c r="Q618" s="64"/>
      <c r="R618" s="64"/>
      <c r="S618" s="64"/>
      <c r="T618" s="64"/>
      <c r="U618" s="64"/>
    </row>
    <row r="619">
      <c r="L619" s="64"/>
      <c r="M619" s="64"/>
      <c r="N619" s="64"/>
      <c r="O619" s="64"/>
      <c r="P619" s="64"/>
      <c r="Q619" s="64"/>
      <c r="R619" s="64"/>
      <c r="S619" s="64"/>
      <c r="T619" s="64"/>
      <c r="U619" s="64"/>
    </row>
    <row r="620">
      <c r="L620" s="64"/>
      <c r="M620" s="64"/>
      <c r="N620" s="64"/>
      <c r="O620" s="64"/>
      <c r="P620" s="64"/>
      <c r="Q620" s="64"/>
      <c r="R620" s="64"/>
      <c r="S620" s="64"/>
      <c r="T620" s="64"/>
      <c r="U620" s="64"/>
    </row>
    <row r="621">
      <c r="L621" s="64"/>
      <c r="M621" s="64"/>
      <c r="N621" s="64"/>
      <c r="O621" s="64"/>
      <c r="P621" s="64"/>
      <c r="Q621" s="64"/>
      <c r="R621" s="64"/>
      <c r="S621" s="64"/>
      <c r="T621" s="64"/>
      <c r="U621" s="64"/>
    </row>
    <row r="622">
      <c r="L622" s="64"/>
      <c r="M622" s="64"/>
      <c r="N622" s="64"/>
      <c r="O622" s="64"/>
      <c r="P622" s="64"/>
      <c r="Q622" s="64"/>
      <c r="R622" s="64"/>
      <c r="S622" s="64"/>
      <c r="T622" s="64"/>
      <c r="U622" s="64"/>
    </row>
    <row r="623">
      <c r="L623" s="64"/>
      <c r="M623" s="64"/>
      <c r="N623" s="64"/>
      <c r="O623" s="64"/>
      <c r="P623" s="64"/>
      <c r="Q623" s="64"/>
      <c r="R623" s="64"/>
      <c r="S623" s="64"/>
      <c r="T623" s="64"/>
      <c r="U623" s="64"/>
    </row>
    <row r="624">
      <c r="L624" s="64"/>
      <c r="M624" s="64"/>
      <c r="N624" s="64"/>
      <c r="O624" s="64"/>
      <c r="P624" s="64"/>
      <c r="Q624" s="64"/>
      <c r="R624" s="64"/>
      <c r="S624" s="64"/>
      <c r="T624" s="64"/>
      <c r="U624" s="64"/>
    </row>
    <row r="625">
      <c r="L625" s="64"/>
      <c r="M625" s="64"/>
      <c r="N625" s="64"/>
      <c r="O625" s="64"/>
      <c r="P625" s="64"/>
      <c r="Q625" s="64"/>
      <c r="R625" s="64"/>
      <c r="S625" s="64"/>
      <c r="T625" s="64"/>
      <c r="U625" s="64"/>
    </row>
    <row r="626">
      <c r="L626" s="64"/>
      <c r="M626" s="64"/>
      <c r="N626" s="64"/>
      <c r="O626" s="64"/>
      <c r="P626" s="64"/>
      <c r="Q626" s="64"/>
      <c r="R626" s="64"/>
      <c r="S626" s="64"/>
      <c r="T626" s="64"/>
      <c r="U626" s="64"/>
    </row>
    <row r="627">
      <c r="L627" s="64"/>
      <c r="M627" s="64"/>
      <c r="N627" s="64"/>
      <c r="O627" s="64"/>
      <c r="P627" s="64"/>
      <c r="Q627" s="64"/>
      <c r="R627" s="64"/>
      <c r="S627" s="64"/>
      <c r="T627" s="64"/>
      <c r="U627" s="64"/>
    </row>
    <row r="628">
      <c r="L628" s="64"/>
      <c r="M628" s="64"/>
      <c r="N628" s="64"/>
      <c r="O628" s="64"/>
      <c r="P628" s="64"/>
      <c r="Q628" s="64"/>
      <c r="R628" s="64"/>
      <c r="S628" s="64"/>
      <c r="T628" s="64"/>
      <c r="U628" s="64"/>
    </row>
    <row r="629">
      <c r="L629" s="64"/>
      <c r="M629" s="64"/>
      <c r="N629" s="64"/>
      <c r="O629" s="64"/>
      <c r="P629" s="64"/>
      <c r="Q629" s="64"/>
      <c r="R629" s="64"/>
      <c r="S629" s="64"/>
      <c r="T629" s="64"/>
      <c r="U629" s="64"/>
    </row>
    <row r="630">
      <c r="L630" s="64"/>
      <c r="M630" s="64"/>
      <c r="N630" s="64"/>
      <c r="O630" s="64"/>
      <c r="P630" s="64"/>
      <c r="Q630" s="64"/>
      <c r="R630" s="64"/>
      <c r="S630" s="64"/>
      <c r="T630" s="64"/>
      <c r="U630" s="64"/>
    </row>
    <row r="631">
      <c r="L631" s="64"/>
      <c r="M631" s="64"/>
      <c r="N631" s="64"/>
      <c r="O631" s="64"/>
      <c r="P631" s="64"/>
      <c r="Q631" s="64"/>
      <c r="R631" s="64"/>
      <c r="S631" s="64"/>
      <c r="T631" s="64"/>
      <c r="U631" s="64"/>
    </row>
    <row r="632">
      <c r="L632" s="64"/>
      <c r="M632" s="64"/>
      <c r="N632" s="64"/>
      <c r="O632" s="64"/>
      <c r="P632" s="64"/>
      <c r="Q632" s="64"/>
      <c r="R632" s="64"/>
      <c r="S632" s="64"/>
      <c r="T632" s="64"/>
      <c r="U632" s="64"/>
    </row>
    <row r="633">
      <c r="L633" s="64"/>
      <c r="M633" s="64"/>
      <c r="N633" s="64"/>
      <c r="O633" s="64"/>
      <c r="P633" s="64"/>
      <c r="Q633" s="64"/>
      <c r="R633" s="64"/>
      <c r="S633" s="64"/>
      <c r="T633" s="64"/>
      <c r="U633" s="64"/>
    </row>
    <row r="634">
      <c r="L634" s="64"/>
      <c r="M634" s="64"/>
      <c r="N634" s="64"/>
      <c r="O634" s="64"/>
      <c r="P634" s="64"/>
      <c r="Q634" s="64"/>
      <c r="R634" s="64"/>
      <c r="S634" s="64"/>
      <c r="T634" s="64"/>
      <c r="U634" s="64"/>
    </row>
    <row r="635">
      <c r="L635" s="64"/>
      <c r="M635" s="64"/>
      <c r="N635" s="64"/>
      <c r="O635" s="64"/>
      <c r="P635" s="64"/>
      <c r="Q635" s="64"/>
      <c r="R635" s="64"/>
      <c r="S635" s="64"/>
      <c r="T635" s="64"/>
      <c r="U635" s="64"/>
    </row>
    <row r="636">
      <c r="L636" s="64"/>
      <c r="M636" s="64"/>
      <c r="N636" s="64"/>
      <c r="O636" s="64"/>
      <c r="P636" s="64"/>
      <c r="Q636" s="64"/>
      <c r="R636" s="64"/>
      <c r="S636" s="64"/>
      <c r="T636" s="64"/>
      <c r="U636" s="64"/>
    </row>
    <row r="637">
      <c r="L637" s="64"/>
      <c r="M637" s="64"/>
      <c r="N637" s="64"/>
      <c r="O637" s="64"/>
      <c r="P637" s="64"/>
      <c r="Q637" s="64"/>
      <c r="R637" s="64"/>
      <c r="S637" s="64"/>
      <c r="T637" s="64"/>
      <c r="U637" s="64"/>
    </row>
    <row r="638">
      <c r="L638" s="64"/>
      <c r="M638" s="64"/>
      <c r="N638" s="64"/>
      <c r="O638" s="64"/>
      <c r="P638" s="64"/>
      <c r="Q638" s="64"/>
      <c r="R638" s="64"/>
      <c r="S638" s="64"/>
      <c r="T638" s="64"/>
      <c r="U638" s="64"/>
    </row>
    <row r="639">
      <c r="L639" s="64"/>
      <c r="M639" s="64"/>
      <c r="N639" s="64"/>
      <c r="O639" s="64"/>
      <c r="P639" s="64"/>
      <c r="Q639" s="64"/>
      <c r="R639" s="64"/>
      <c r="S639" s="64"/>
      <c r="T639" s="64"/>
      <c r="U639" s="64"/>
    </row>
    <row r="640">
      <c r="L640" s="64"/>
      <c r="M640" s="64"/>
      <c r="N640" s="64"/>
      <c r="O640" s="64"/>
      <c r="P640" s="64"/>
      <c r="Q640" s="64"/>
      <c r="R640" s="64"/>
      <c r="S640" s="64"/>
      <c r="T640" s="64"/>
      <c r="U640" s="64"/>
    </row>
    <row r="641">
      <c r="L641" s="64"/>
      <c r="M641" s="64"/>
      <c r="N641" s="64"/>
      <c r="O641" s="64"/>
      <c r="P641" s="64"/>
      <c r="Q641" s="64"/>
      <c r="R641" s="64"/>
      <c r="S641" s="64"/>
      <c r="T641" s="64"/>
      <c r="U641" s="64"/>
    </row>
    <row r="642">
      <c r="L642" s="64"/>
      <c r="M642" s="64"/>
      <c r="N642" s="64"/>
      <c r="O642" s="64"/>
      <c r="P642" s="64"/>
      <c r="Q642" s="64"/>
      <c r="R642" s="64"/>
      <c r="S642" s="64"/>
      <c r="T642" s="64"/>
      <c r="U642" s="64"/>
    </row>
    <row r="643">
      <c r="L643" s="64"/>
      <c r="M643" s="64"/>
      <c r="N643" s="64"/>
      <c r="O643" s="64"/>
      <c r="P643" s="64"/>
      <c r="Q643" s="64"/>
      <c r="R643" s="64"/>
      <c r="S643" s="64"/>
      <c r="T643" s="64"/>
      <c r="U643" s="64"/>
    </row>
    <row r="644">
      <c r="L644" s="64"/>
      <c r="M644" s="64"/>
      <c r="N644" s="64"/>
      <c r="O644" s="64"/>
      <c r="P644" s="64"/>
      <c r="Q644" s="64"/>
      <c r="R644" s="64"/>
      <c r="S644" s="64"/>
      <c r="T644" s="64"/>
      <c r="U644" s="64"/>
    </row>
    <row r="645">
      <c r="L645" s="64"/>
      <c r="M645" s="64"/>
      <c r="N645" s="64"/>
      <c r="O645" s="64"/>
      <c r="P645" s="64"/>
      <c r="Q645" s="64"/>
      <c r="R645" s="64"/>
      <c r="S645" s="64"/>
      <c r="T645" s="64"/>
      <c r="U645" s="64"/>
    </row>
    <row r="646">
      <c r="L646" s="64"/>
      <c r="M646" s="64"/>
      <c r="N646" s="64"/>
      <c r="O646" s="64"/>
      <c r="P646" s="64"/>
      <c r="Q646" s="64"/>
      <c r="R646" s="64"/>
      <c r="S646" s="64"/>
      <c r="T646" s="64"/>
      <c r="U646" s="64"/>
    </row>
    <row r="647">
      <c r="L647" s="64"/>
      <c r="M647" s="64"/>
      <c r="N647" s="64"/>
      <c r="O647" s="64"/>
      <c r="P647" s="64"/>
      <c r="Q647" s="64"/>
      <c r="R647" s="64"/>
      <c r="S647" s="64"/>
      <c r="T647" s="64"/>
      <c r="U647" s="64"/>
    </row>
    <row r="648">
      <c r="L648" s="64"/>
      <c r="M648" s="64"/>
      <c r="N648" s="64"/>
      <c r="O648" s="64"/>
      <c r="P648" s="64"/>
      <c r="Q648" s="64"/>
      <c r="R648" s="64"/>
      <c r="S648" s="64"/>
      <c r="T648" s="64"/>
      <c r="U648" s="64"/>
    </row>
    <row r="649">
      <c r="L649" s="64"/>
      <c r="M649" s="64"/>
      <c r="N649" s="64"/>
      <c r="O649" s="64"/>
      <c r="P649" s="64"/>
      <c r="Q649" s="64"/>
      <c r="R649" s="64"/>
      <c r="S649" s="64"/>
      <c r="T649" s="64"/>
      <c r="U649" s="64"/>
    </row>
    <row r="650">
      <c r="L650" s="64"/>
      <c r="M650" s="64"/>
      <c r="N650" s="64"/>
      <c r="O650" s="64"/>
      <c r="P650" s="64"/>
      <c r="Q650" s="64"/>
      <c r="R650" s="64"/>
      <c r="S650" s="64"/>
      <c r="T650" s="64"/>
      <c r="U650" s="64"/>
    </row>
    <row r="651">
      <c r="L651" s="64"/>
      <c r="M651" s="64"/>
      <c r="N651" s="64"/>
      <c r="O651" s="64"/>
      <c r="P651" s="64"/>
      <c r="Q651" s="64"/>
      <c r="R651" s="64"/>
      <c r="S651" s="64"/>
      <c r="T651" s="64"/>
      <c r="U651" s="64"/>
    </row>
    <row r="652">
      <c r="L652" s="64"/>
      <c r="M652" s="64"/>
      <c r="N652" s="64"/>
      <c r="O652" s="64"/>
      <c r="P652" s="64"/>
      <c r="Q652" s="64"/>
      <c r="R652" s="64"/>
      <c r="S652" s="64"/>
      <c r="T652" s="64"/>
      <c r="U652" s="64"/>
    </row>
    <row r="653">
      <c r="L653" s="64"/>
      <c r="M653" s="64"/>
      <c r="N653" s="64"/>
      <c r="O653" s="64"/>
      <c r="P653" s="64"/>
      <c r="Q653" s="64"/>
      <c r="R653" s="64"/>
      <c r="S653" s="64"/>
      <c r="T653" s="64"/>
      <c r="U653" s="64"/>
    </row>
    <row r="654">
      <c r="L654" s="64"/>
      <c r="M654" s="64"/>
      <c r="N654" s="64"/>
      <c r="O654" s="64"/>
      <c r="P654" s="64"/>
      <c r="Q654" s="64"/>
      <c r="R654" s="64"/>
      <c r="S654" s="64"/>
      <c r="T654" s="64"/>
      <c r="U654" s="64"/>
    </row>
    <row r="655">
      <c r="L655" s="64"/>
      <c r="M655" s="64"/>
      <c r="N655" s="64"/>
      <c r="O655" s="64"/>
      <c r="P655" s="64"/>
      <c r="Q655" s="64"/>
      <c r="R655" s="64"/>
      <c r="S655" s="64"/>
      <c r="T655" s="64"/>
      <c r="U655" s="64"/>
    </row>
    <row r="656">
      <c r="L656" s="64"/>
      <c r="M656" s="64"/>
      <c r="N656" s="64"/>
      <c r="O656" s="64"/>
      <c r="P656" s="64"/>
      <c r="Q656" s="64"/>
      <c r="R656" s="64"/>
      <c r="S656" s="64"/>
      <c r="T656" s="64"/>
      <c r="U656" s="64"/>
    </row>
    <row r="657">
      <c r="L657" s="64"/>
      <c r="M657" s="64"/>
      <c r="N657" s="64"/>
      <c r="O657" s="64"/>
      <c r="P657" s="64"/>
      <c r="Q657" s="64"/>
      <c r="R657" s="64"/>
      <c r="S657" s="64"/>
      <c r="T657" s="64"/>
      <c r="U657" s="64"/>
    </row>
    <row r="658">
      <c r="L658" s="64"/>
      <c r="M658" s="64"/>
      <c r="N658" s="64"/>
      <c r="O658" s="64"/>
      <c r="P658" s="64"/>
      <c r="Q658" s="64"/>
      <c r="R658" s="64"/>
      <c r="S658" s="64"/>
      <c r="T658" s="64"/>
      <c r="U658" s="64"/>
    </row>
    <row r="659">
      <c r="L659" s="64"/>
      <c r="M659" s="64"/>
      <c r="N659" s="64"/>
      <c r="O659" s="64"/>
      <c r="P659" s="64"/>
      <c r="Q659" s="64"/>
      <c r="R659" s="64"/>
      <c r="S659" s="64"/>
      <c r="T659" s="64"/>
      <c r="U659" s="64"/>
    </row>
    <row r="660">
      <c r="L660" s="64"/>
      <c r="M660" s="64"/>
      <c r="N660" s="64"/>
      <c r="O660" s="64"/>
      <c r="P660" s="64"/>
      <c r="Q660" s="64"/>
      <c r="R660" s="64"/>
      <c r="S660" s="64"/>
      <c r="T660" s="64"/>
      <c r="U660" s="64"/>
    </row>
    <row r="661">
      <c r="L661" s="64"/>
      <c r="M661" s="64"/>
      <c r="N661" s="64"/>
      <c r="O661" s="64"/>
      <c r="P661" s="64"/>
      <c r="Q661" s="64"/>
      <c r="R661" s="64"/>
      <c r="S661" s="64"/>
      <c r="T661" s="64"/>
      <c r="U661" s="64"/>
    </row>
    <row r="662">
      <c r="L662" s="64"/>
      <c r="M662" s="64"/>
      <c r="N662" s="64"/>
      <c r="O662" s="64"/>
      <c r="P662" s="64"/>
      <c r="Q662" s="64"/>
      <c r="R662" s="64"/>
      <c r="S662" s="64"/>
      <c r="T662" s="64"/>
      <c r="U662" s="64"/>
    </row>
    <row r="663">
      <c r="L663" s="64"/>
      <c r="M663" s="64"/>
      <c r="N663" s="64"/>
      <c r="O663" s="64"/>
      <c r="P663" s="64"/>
      <c r="Q663" s="64"/>
      <c r="R663" s="64"/>
      <c r="S663" s="64"/>
      <c r="T663" s="64"/>
      <c r="U663" s="64"/>
    </row>
    <row r="664">
      <c r="L664" s="64"/>
      <c r="M664" s="64"/>
      <c r="N664" s="64"/>
      <c r="O664" s="64"/>
      <c r="P664" s="64"/>
      <c r="Q664" s="64"/>
      <c r="R664" s="64"/>
      <c r="S664" s="64"/>
      <c r="T664" s="64"/>
      <c r="U664" s="64"/>
    </row>
    <row r="665">
      <c r="L665" s="64"/>
      <c r="M665" s="64"/>
      <c r="N665" s="64"/>
      <c r="O665" s="64"/>
      <c r="P665" s="64"/>
      <c r="Q665" s="64"/>
      <c r="R665" s="64"/>
      <c r="S665" s="64"/>
      <c r="T665" s="64"/>
      <c r="U665" s="64"/>
    </row>
    <row r="666">
      <c r="L666" s="64"/>
      <c r="M666" s="64"/>
      <c r="N666" s="64"/>
      <c r="O666" s="64"/>
      <c r="P666" s="64"/>
      <c r="Q666" s="64"/>
      <c r="R666" s="64"/>
      <c r="S666" s="64"/>
      <c r="T666" s="64"/>
      <c r="U666" s="64"/>
    </row>
    <row r="667">
      <c r="L667" s="64"/>
      <c r="M667" s="64"/>
      <c r="N667" s="64"/>
      <c r="O667" s="64"/>
      <c r="P667" s="64"/>
      <c r="Q667" s="64"/>
      <c r="R667" s="64"/>
      <c r="S667" s="64"/>
      <c r="T667" s="64"/>
      <c r="U667" s="64"/>
    </row>
    <row r="668">
      <c r="L668" s="64"/>
      <c r="M668" s="64"/>
      <c r="N668" s="64"/>
      <c r="O668" s="64"/>
      <c r="P668" s="64"/>
      <c r="Q668" s="64"/>
      <c r="R668" s="64"/>
      <c r="S668" s="64"/>
      <c r="T668" s="64"/>
      <c r="U668" s="64"/>
    </row>
    <row r="669">
      <c r="L669" s="64"/>
      <c r="M669" s="64"/>
      <c r="N669" s="64"/>
      <c r="O669" s="64"/>
      <c r="P669" s="64"/>
      <c r="Q669" s="64"/>
      <c r="R669" s="64"/>
      <c r="S669" s="64"/>
      <c r="T669" s="64"/>
      <c r="U669" s="64"/>
    </row>
    <row r="670">
      <c r="L670" s="64"/>
      <c r="M670" s="64"/>
      <c r="N670" s="64"/>
      <c r="O670" s="64"/>
      <c r="P670" s="64"/>
      <c r="Q670" s="64"/>
      <c r="R670" s="64"/>
      <c r="S670" s="64"/>
      <c r="T670" s="64"/>
      <c r="U670" s="64"/>
    </row>
    <row r="671">
      <c r="L671" s="64"/>
      <c r="M671" s="64"/>
      <c r="N671" s="64"/>
      <c r="O671" s="64"/>
      <c r="P671" s="64"/>
      <c r="Q671" s="64"/>
      <c r="R671" s="64"/>
      <c r="S671" s="64"/>
      <c r="T671" s="64"/>
      <c r="U671" s="64"/>
    </row>
    <row r="672">
      <c r="L672" s="64"/>
      <c r="M672" s="64"/>
      <c r="N672" s="64"/>
      <c r="O672" s="64"/>
      <c r="P672" s="64"/>
      <c r="Q672" s="64"/>
      <c r="R672" s="64"/>
      <c r="S672" s="64"/>
      <c r="T672" s="64"/>
      <c r="U672" s="64"/>
    </row>
    <row r="673">
      <c r="L673" s="64"/>
      <c r="M673" s="64"/>
      <c r="N673" s="64"/>
      <c r="O673" s="64"/>
      <c r="P673" s="64"/>
      <c r="Q673" s="64"/>
      <c r="R673" s="64"/>
      <c r="S673" s="64"/>
      <c r="T673" s="64"/>
      <c r="U673" s="64"/>
    </row>
    <row r="674">
      <c r="L674" s="64"/>
      <c r="M674" s="64"/>
      <c r="N674" s="64"/>
      <c r="O674" s="64"/>
      <c r="P674" s="64"/>
      <c r="Q674" s="64"/>
      <c r="R674" s="64"/>
      <c r="S674" s="64"/>
      <c r="T674" s="64"/>
      <c r="U674" s="64"/>
    </row>
    <row r="675">
      <c r="L675" s="64"/>
      <c r="M675" s="64"/>
      <c r="N675" s="64"/>
      <c r="O675" s="64"/>
      <c r="P675" s="64"/>
      <c r="Q675" s="64"/>
      <c r="R675" s="64"/>
      <c r="S675" s="64"/>
      <c r="T675" s="64"/>
      <c r="U675" s="64"/>
    </row>
    <row r="676">
      <c r="L676" s="64"/>
      <c r="M676" s="64"/>
      <c r="N676" s="64"/>
      <c r="O676" s="64"/>
      <c r="P676" s="64"/>
      <c r="Q676" s="64"/>
      <c r="R676" s="64"/>
      <c r="S676" s="64"/>
      <c r="T676" s="64"/>
      <c r="U676" s="64"/>
    </row>
    <row r="677">
      <c r="L677" s="64"/>
      <c r="M677" s="64"/>
      <c r="N677" s="64"/>
      <c r="O677" s="64"/>
      <c r="P677" s="64"/>
      <c r="Q677" s="64"/>
      <c r="R677" s="64"/>
      <c r="S677" s="64"/>
      <c r="T677" s="64"/>
      <c r="U677" s="64"/>
    </row>
    <row r="678">
      <c r="L678" s="64"/>
      <c r="M678" s="64"/>
      <c r="N678" s="64"/>
      <c r="O678" s="64"/>
      <c r="P678" s="64"/>
      <c r="Q678" s="64"/>
      <c r="R678" s="64"/>
      <c r="S678" s="64"/>
      <c r="T678" s="64"/>
      <c r="U678" s="64"/>
    </row>
    <row r="679">
      <c r="L679" s="64"/>
      <c r="M679" s="64"/>
      <c r="N679" s="64"/>
      <c r="O679" s="64"/>
      <c r="P679" s="64"/>
      <c r="Q679" s="64"/>
      <c r="R679" s="64"/>
      <c r="S679" s="64"/>
      <c r="T679" s="64"/>
      <c r="U679" s="64"/>
    </row>
    <row r="680">
      <c r="L680" s="64"/>
      <c r="M680" s="64"/>
      <c r="N680" s="64"/>
      <c r="O680" s="64"/>
      <c r="P680" s="64"/>
      <c r="Q680" s="64"/>
      <c r="R680" s="64"/>
      <c r="S680" s="64"/>
      <c r="T680" s="64"/>
      <c r="U680" s="64"/>
    </row>
    <row r="681">
      <c r="L681" s="64"/>
      <c r="M681" s="64"/>
      <c r="N681" s="64"/>
      <c r="O681" s="64"/>
      <c r="P681" s="64"/>
      <c r="Q681" s="64"/>
      <c r="R681" s="64"/>
      <c r="S681" s="64"/>
      <c r="T681" s="64"/>
      <c r="U681" s="64"/>
    </row>
    <row r="682">
      <c r="L682" s="64"/>
      <c r="M682" s="64"/>
      <c r="N682" s="64"/>
      <c r="O682" s="64"/>
      <c r="P682" s="64"/>
      <c r="Q682" s="64"/>
      <c r="R682" s="64"/>
      <c r="S682" s="64"/>
      <c r="T682" s="64"/>
      <c r="U682" s="64"/>
    </row>
    <row r="683">
      <c r="L683" s="64"/>
      <c r="M683" s="64"/>
      <c r="N683" s="64"/>
      <c r="O683" s="64"/>
      <c r="P683" s="64"/>
      <c r="Q683" s="64"/>
      <c r="R683" s="64"/>
      <c r="S683" s="64"/>
      <c r="T683" s="64"/>
      <c r="U683" s="64"/>
    </row>
    <row r="684">
      <c r="L684" s="64"/>
      <c r="M684" s="64"/>
      <c r="N684" s="64"/>
      <c r="O684" s="64"/>
      <c r="P684" s="64"/>
      <c r="Q684" s="64"/>
      <c r="R684" s="64"/>
      <c r="S684" s="64"/>
      <c r="T684" s="64"/>
      <c r="U684" s="64"/>
    </row>
    <row r="685">
      <c r="L685" s="64"/>
      <c r="M685" s="64"/>
      <c r="N685" s="64"/>
      <c r="O685" s="64"/>
      <c r="P685" s="64"/>
      <c r="Q685" s="64"/>
      <c r="R685" s="64"/>
      <c r="S685" s="64"/>
      <c r="T685" s="64"/>
      <c r="U685" s="64"/>
    </row>
    <row r="686">
      <c r="L686" s="64"/>
      <c r="M686" s="64"/>
      <c r="N686" s="64"/>
      <c r="O686" s="64"/>
      <c r="P686" s="64"/>
      <c r="Q686" s="64"/>
      <c r="R686" s="64"/>
      <c r="S686" s="64"/>
      <c r="T686" s="64"/>
      <c r="U686" s="64"/>
    </row>
    <row r="687">
      <c r="L687" s="64"/>
      <c r="M687" s="64"/>
      <c r="N687" s="64"/>
      <c r="O687" s="64"/>
      <c r="P687" s="64"/>
      <c r="Q687" s="64"/>
      <c r="R687" s="64"/>
      <c r="S687" s="64"/>
      <c r="T687" s="64"/>
      <c r="U687" s="64"/>
    </row>
    <row r="688">
      <c r="L688" s="64"/>
      <c r="M688" s="64"/>
      <c r="N688" s="64"/>
      <c r="O688" s="64"/>
      <c r="P688" s="64"/>
      <c r="Q688" s="64"/>
      <c r="R688" s="64"/>
      <c r="S688" s="64"/>
      <c r="T688" s="64"/>
      <c r="U688" s="64"/>
    </row>
    <row r="689">
      <c r="L689" s="64"/>
      <c r="M689" s="64"/>
      <c r="N689" s="64"/>
      <c r="O689" s="64"/>
      <c r="P689" s="64"/>
      <c r="Q689" s="64"/>
      <c r="R689" s="64"/>
      <c r="S689" s="64"/>
      <c r="T689" s="64"/>
      <c r="U689" s="64"/>
    </row>
    <row r="690">
      <c r="L690" s="64"/>
      <c r="M690" s="64"/>
      <c r="N690" s="64"/>
      <c r="O690" s="64"/>
      <c r="P690" s="64"/>
      <c r="Q690" s="64"/>
      <c r="R690" s="64"/>
      <c r="S690" s="64"/>
      <c r="T690" s="64"/>
      <c r="U690" s="64"/>
    </row>
    <row r="691">
      <c r="L691" s="64"/>
      <c r="M691" s="64"/>
      <c r="N691" s="64"/>
      <c r="O691" s="64"/>
      <c r="P691" s="64"/>
      <c r="Q691" s="64"/>
      <c r="R691" s="64"/>
      <c r="S691" s="64"/>
      <c r="T691" s="64"/>
      <c r="U691" s="64"/>
    </row>
    <row r="692">
      <c r="L692" s="64"/>
      <c r="M692" s="64"/>
      <c r="N692" s="64"/>
      <c r="O692" s="64"/>
      <c r="P692" s="64"/>
      <c r="Q692" s="64"/>
      <c r="R692" s="64"/>
      <c r="S692" s="64"/>
      <c r="T692" s="64"/>
      <c r="U692" s="64"/>
    </row>
    <row r="693">
      <c r="L693" s="64"/>
      <c r="M693" s="64"/>
      <c r="N693" s="64"/>
      <c r="O693" s="64"/>
      <c r="P693" s="64"/>
      <c r="Q693" s="64"/>
      <c r="R693" s="64"/>
      <c r="S693" s="64"/>
      <c r="T693" s="64"/>
      <c r="U693" s="64"/>
    </row>
    <row r="694">
      <c r="L694" s="64"/>
      <c r="M694" s="64"/>
      <c r="N694" s="64"/>
      <c r="O694" s="64"/>
      <c r="P694" s="64"/>
      <c r="Q694" s="64"/>
      <c r="R694" s="64"/>
      <c r="S694" s="64"/>
      <c r="T694" s="64"/>
      <c r="U694" s="64"/>
    </row>
    <row r="695">
      <c r="L695" s="64"/>
      <c r="M695" s="64"/>
      <c r="N695" s="64"/>
      <c r="O695" s="64"/>
      <c r="P695" s="64"/>
      <c r="Q695" s="64"/>
      <c r="R695" s="64"/>
      <c r="S695" s="64"/>
      <c r="T695" s="64"/>
      <c r="U695" s="64"/>
    </row>
    <row r="696">
      <c r="L696" s="64"/>
      <c r="M696" s="64"/>
      <c r="N696" s="64"/>
      <c r="O696" s="64"/>
      <c r="P696" s="64"/>
      <c r="Q696" s="64"/>
      <c r="R696" s="64"/>
      <c r="S696" s="64"/>
      <c r="T696" s="64"/>
      <c r="U696" s="64"/>
    </row>
    <row r="697">
      <c r="L697" s="64"/>
      <c r="M697" s="64"/>
      <c r="N697" s="64"/>
      <c r="O697" s="64"/>
      <c r="P697" s="64"/>
      <c r="Q697" s="64"/>
      <c r="R697" s="64"/>
      <c r="S697" s="64"/>
      <c r="T697" s="64"/>
      <c r="U697" s="64"/>
    </row>
    <row r="698">
      <c r="L698" s="64"/>
      <c r="M698" s="64"/>
      <c r="N698" s="64"/>
      <c r="O698" s="64"/>
      <c r="P698" s="64"/>
      <c r="Q698" s="64"/>
      <c r="R698" s="64"/>
      <c r="S698" s="64"/>
      <c r="T698" s="64"/>
      <c r="U698" s="64"/>
    </row>
    <row r="699">
      <c r="L699" s="64"/>
      <c r="M699" s="64"/>
      <c r="N699" s="64"/>
      <c r="O699" s="64"/>
      <c r="P699" s="64"/>
      <c r="Q699" s="64"/>
      <c r="R699" s="64"/>
      <c r="S699" s="64"/>
      <c r="T699" s="64"/>
      <c r="U699" s="64"/>
    </row>
    <row r="700">
      <c r="L700" s="64"/>
      <c r="M700" s="64"/>
      <c r="N700" s="64"/>
      <c r="O700" s="64"/>
      <c r="P700" s="64"/>
      <c r="Q700" s="64"/>
      <c r="R700" s="64"/>
      <c r="S700" s="64"/>
      <c r="T700" s="64"/>
      <c r="U700" s="64"/>
    </row>
    <row r="701">
      <c r="L701" s="64"/>
      <c r="M701" s="64"/>
      <c r="N701" s="64"/>
      <c r="O701" s="64"/>
      <c r="P701" s="64"/>
      <c r="Q701" s="64"/>
      <c r="R701" s="64"/>
      <c r="S701" s="64"/>
      <c r="T701" s="64"/>
      <c r="U701" s="64"/>
    </row>
    <row r="702">
      <c r="L702" s="64"/>
      <c r="M702" s="64"/>
      <c r="N702" s="64"/>
      <c r="O702" s="64"/>
      <c r="P702" s="64"/>
      <c r="Q702" s="64"/>
      <c r="R702" s="64"/>
      <c r="S702" s="64"/>
      <c r="T702" s="64"/>
      <c r="U702" s="64"/>
    </row>
    <row r="703">
      <c r="L703" s="64"/>
      <c r="M703" s="64"/>
      <c r="N703" s="64"/>
      <c r="O703" s="64"/>
      <c r="P703" s="64"/>
      <c r="Q703" s="64"/>
      <c r="R703" s="64"/>
      <c r="S703" s="64"/>
      <c r="T703" s="64"/>
      <c r="U703" s="64"/>
    </row>
    <row r="704">
      <c r="L704" s="64"/>
      <c r="M704" s="64"/>
      <c r="N704" s="64"/>
      <c r="O704" s="64"/>
      <c r="P704" s="64"/>
      <c r="Q704" s="64"/>
      <c r="R704" s="64"/>
      <c r="S704" s="64"/>
      <c r="T704" s="64"/>
      <c r="U704" s="64"/>
    </row>
    <row r="705">
      <c r="L705" s="64"/>
      <c r="M705" s="64"/>
      <c r="N705" s="64"/>
      <c r="O705" s="64"/>
      <c r="P705" s="64"/>
      <c r="Q705" s="64"/>
      <c r="R705" s="64"/>
      <c r="S705" s="64"/>
      <c r="T705" s="64"/>
      <c r="U705" s="64"/>
    </row>
    <row r="706">
      <c r="L706" s="64"/>
      <c r="M706" s="64"/>
      <c r="N706" s="64"/>
      <c r="O706" s="64"/>
      <c r="P706" s="64"/>
      <c r="Q706" s="64"/>
      <c r="R706" s="64"/>
      <c r="S706" s="64"/>
      <c r="T706" s="64"/>
      <c r="U706" s="64"/>
    </row>
    <row r="707">
      <c r="L707" s="64"/>
      <c r="M707" s="64"/>
      <c r="N707" s="64"/>
      <c r="O707" s="64"/>
      <c r="P707" s="64"/>
      <c r="Q707" s="64"/>
      <c r="R707" s="64"/>
      <c r="S707" s="64"/>
      <c r="T707" s="64"/>
      <c r="U707" s="64"/>
    </row>
    <row r="708">
      <c r="L708" s="64"/>
      <c r="M708" s="64"/>
      <c r="N708" s="64"/>
      <c r="O708" s="64"/>
      <c r="P708" s="64"/>
      <c r="Q708" s="64"/>
      <c r="R708" s="64"/>
      <c r="S708" s="64"/>
      <c r="T708" s="64"/>
      <c r="U708" s="64"/>
    </row>
    <row r="709">
      <c r="L709" s="64"/>
      <c r="M709" s="64"/>
      <c r="N709" s="64"/>
      <c r="O709" s="64"/>
      <c r="P709" s="64"/>
      <c r="Q709" s="64"/>
      <c r="R709" s="64"/>
      <c r="S709" s="64"/>
      <c r="T709" s="64"/>
      <c r="U709" s="64"/>
    </row>
    <row r="710">
      <c r="L710" s="64"/>
      <c r="M710" s="64"/>
      <c r="N710" s="64"/>
      <c r="O710" s="64"/>
      <c r="P710" s="64"/>
      <c r="Q710" s="64"/>
      <c r="R710" s="64"/>
      <c r="S710" s="64"/>
      <c r="T710" s="64"/>
      <c r="U710" s="64"/>
    </row>
    <row r="711">
      <c r="L711" s="64"/>
      <c r="M711" s="64"/>
      <c r="N711" s="64"/>
      <c r="O711" s="64"/>
      <c r="P711" s="64"/>
      <c r="Q711" s="64"/>
      <c r="R711" s="64"/>
      <c r="S711" s="64"/>
      <c r="T711" s="64"/>
      <c r="U711" s="64"/>
    </row>
    <row r="712">
      <c r="L712" s="64"/>
      <c r="M712" s="64"/>
      <c r="N712" s="64"/>
      <c r="O712" s="64"/>
      <c r="P712" s="64"/>
      <c r="Q712" s="64"/>
      <c r="R712" s="64"/>
      <c r="S712" s="64"/>
      <c r="T712" s="64"/>
      <c r="U712" s="64"/>
    </row>
    <row r="713">
      <c r="L713" s="64"/>
      <c r="M713" s="64"/>
      <c r="N713" s="64"/>
      <c r="O713" s="64"/>
      <c r="P713" s="64"/>
      <c r="Q713" s="64"/>
      <c r="R713" s="64"/>
      <c r="S713" s="64"/>
      <c r="T713" s="64"/>
      <c r="U713" s="64"/>
    </row>
    <row r="714">
      <c r="L714" s="64"/>
      <c r="M714" s="64"/>
      <c r="N714" s="64"/>
      <c r="O714" s="64"/>
      <c r="P714" s="64"/>
      <c r="Q714" s="64"/>
      <c r="R714" s="64"/>
      <c r="S714" s="64"/>
      <c r="T714" s="64"/>
      <c r="U714" s="64"/>
    </row>
    <row r="715">
      <c r="L715" s="64"/>
      <c r="M715" s="64"/>
      <c r="N715" s="64"/>
      <c r="O715" s="64"/>
      <c r="P715" s="64"/>
      <c r="Q715" s="64"/>
      <c r="R715" s="64"/>
      <c r="S715" s="64"/>
      <c r="T715" s="64"/>
      <c r="U715" s="64"/>
    </row>
    <row r="716">
      <c r="L716" s="64"/>
      <c r="M716" s="64"/>
      <c r="N716" s="64"/>
      <c r="O716" s="64"/>
      <c r="P716" s="64"/>
      <c r="Q716" s="64"/>
      <c r="R716" s="64"/>
      <c r="S716" s="64"/>
      <c r="T716" s="64"/>
      <c r="U716" s="64"/>
    </row>
    <row r="717">
      <c r="L717" s="64"/>
      <c r="M717" s="64"/>
      <c r="N717" s="64"/>
      <c r="O717" s="64"/>
      <c r="P717" s="64"/>
      <c r="Q717" s="64"/>
      <c r="R717" s="64"/>
      <c r="S717" s="64"/>
      <c r="T717" s="64"/>
      <c r="U717" s="64"/>
    </row>
    <row r="718">
      <c r="L718" s="64"/>
      <c r="M718" s="64"/>
      <c r="N718" s="64"/>
      <c r="O718" s="64"/>
      <c r="P718" s="64"/>
      <c r="Q718" s="64"/>
      <c r="R718" s="64"/>
      <c r="S718" s="64"/>
      <c r="T718" s="64"/>
      <c r="U718" s="64"/>
    </row>
    <row r="719">
      <c r="L719" s="64"/>
      <c r="M719" s="64"/>
      <c r="N719" s="64"/>
      <c r="O719" s="64"/>
      <c r="P719" s="64"/>
      <c r="Q719" s="64"/>
      <c r="R719" s="64"/>
      <c r="S719" s="64"/>
      <c r="T719" s="64"/>
      <c r="U719" s="64"/>
    </row>
    <row r="720">
      <c r="L720" s="64"/>
      <c r="M720" s="64"/>
      <c r="N720" s="64"/>
      <c r="O720" s="64"/>
      <c r="P720" s="64"/>
      <c r="Q720" s="64"/>
      <c r="R720" s="64"/>
      <c r="S720" s="64"/>
      <c r="T720" s="64"/>
      <c r="U720" s="64"/>
    </row>
    <row r="721">
      <c r="L721" s="64"/>
      <c r="M721" s="64"/>
      <c r="N721" s="64"/>
      <c r="O721" s="64"/>
      <c r="P721" s="64"/>
      <c r="Q721" s="64"/>
      <c r="R721" s="64"/>
      <c r="S721" s="64"/>
      <c r="T721" s="64"/>
      <c r="U721" s="64"/>
    </row>
    <row r="722">
      <c r="L722" s="64"/>
      <c r="M722" s="64"/>
      <c r="N722" s="64"/>
      <c r="O722" s="64"/>
      <c r="P722" s="64"/>
      <c r="Q722" s="64"/>
      <c r="R722" s="64"/>
      <c r="S722" s="64"/>
      <c r="T722" s="64"/>
      <c r="U722" s="64"/>
    </row>
    <row r="723">
      <c r="L723" s="64"/>
      <c r="M723" s="64"/>
      <c r="N723" s="64"/>
      <c r="O723" s="64"/>
      <c r="P723" s="64"/>
      <c r="Q723" s="64"/>
      <c r="R723" s="64"/>
      <c r="S723" s="64"/>
      <c r="T723" s="64"/>
      <c r="U723" s="64"/>
    </row>
    <row r="724">
      <c r="L724" s="64"/>
      <c r="M724" s="64"/>
      <c r="N724" s="64"/>
      <c r="O724" s="64"/>
      <c r="P724" s="64"/>
      <c r="Q724" s="64"/>
      <c r="R724" s="64"/>
      <c r="S724" s="64"/>
      <c r="T724" s="64"/>
      <c r="U724" s="64"/>
    </row>
    <row r="725">
      <c r="L725" s="64"/>
      <c r="M725" s="64"/>
      <c r="N725" s="64"/>
      <c r="O725" s="64"/>
      <c r="P725" s="64"/>
      <c r="Q725" s="64"/>
      <c r="R725" s="64"/>
      <c r="S725" s="64"/>
      <c r="T725" s="64"/>
      <c r="U725" s="64"/>
    </row>
    <row r="726">
      <c r="L726" s="64"/>
      <c r="M726" s="64"/>
      <c r="N726" s="64"/>
      <c r="O726" s="64"/>
      <c r="P726" s="64"/>
      <c r="Q726" s="64"/>
      <c r="R726" s="64"/>
      <c r="S726" s="64"/>
      <c r="T726" s="64"/>
      <c r="U726" s="64"/>
    </row>
    <row r="727">
      <c r="L727" s="64"/>
      <c r="M727" s="64"/>
      <c r="N727" s="64"/>
      <c r="O727" s="64"/>
      <c r="P727" s="64"/>
      <c r="Q727" s="64"/>
      <c r="R727" s="64"/>
      <c r="S727" s="64"/>
      <c r="T727" s="64"/>
      <c r="U727" s="64"/>
    </row>
    <row r="728">
      <c r="L728" s="64"/>
      <c r="M728" s="64"/>
      <c r="N728" s="64"/>
      <c r="O728" s="64"/>
      <c r="P728" s="64"/>
      <c r="Q728" s="64"/>
      <c r="R728" s="64"/>
      <c r="S728" s="64"/>
      <c r="T728" s="64"/>
      <c r="U728" s="64"/>
    </row>
    <row r="729">
      <c r="L729" s="64"/>
      <c r="M729" s="64"/>
      <c r="N729" s="64"/>
      <c r="O729" s="64"/>
      <c r="P729" s="64"/>
      <c r="Q729" s="64"/>
      <c r="R729" s="64"/>
      <c r="S729" s="64"/>
      <c r="T729" s="64"/>
      <c r="U729" s="64"/>
    </row>
    <row r="730">
      <c r="L730" s="64"/>
      <c r="M730" s="64"/>
      <c r="N730" s="64"/>
      <c r="O730" s="64"/>
      <c r="P730" s="64"/>
      <c r="Q730" s="64"/>
      <c r="R730" s="64"/>
      <c r="S730" s="64"/>
      <c r="T730" s="64"/>
      <c r="U730" s="64"/>
    </row>
    <row r="731">
      <c r="L731" s="64"/>
      <c r="M731" s="64"/>
      <c r="N731" s="64"/>
      <c r="O731" s="64"/>
      <c r="P731" s="64"/>
      <c r="Q731" s="64"/>
      <c r="R731" s="64"/>
      <c r="S731" s="64"/>
      <c r="T731" s="64"/>
      <c r="U731" s="64"/>
    </row>
    <row r="732">
      <c r="L732" s="64"/>
      <c r="M732" s="64"/>
      <c r="N732" s="64"/>
      <c r="O732" s="64"/>
      <c r="P732" s="64"/>
      <c r="Q732" s="64"/>
      <c r="R732" s="64"/>
      <c r="S732" s="64"/>
      <c r="T732" s="64"/>
      <c r="U732" s="64"/>
    </row>
    <row r="733">
      <c r="L733" s="64"/>
      <c r="M733" s="64"/>
      <c r="N733" s="64"/>
      <c r="O733" s="64"/>
      <c r="P733" s="64"/>
      <c r="Q733" s="64"/>
      <c r="R733" s="64"/>
      <c r="S733" s="64"/>
      <c r="T733" s="64"/>
      <c r="U733" s="64"/>
    </row>
    <row r="734">
      <c r="L734" s="64"/>
      <c r="M734" s="64"/>
      <c r="N734" s="64"/>
      <c r="O734" s="64"/>
      <c r="P734" s="64"/>
      <c r="Q734" s="64"/>
      <c r="R734" s="64"/>
      <c r="S734" s="64"/>
      <c r="T734" s="64"/>
      <c r="U734" s="64"/>
    </row>
    <row r="735">
      <c r="L735" s="64"/>
      <c r="M735" s="64"/>
      <c r="N735" s="64"/>
      <c r="O735" s="64"/>
      <c r="P735" s="64"/>
      <c r="Q735" s="64"/>
      <c r="R735" s="64"/>
      <c r="S735" s="64"/>
      <c r="T735" s="64"/>
      <c r="U735" s="64"/>
    </row>
    <row r="736">
      <c r="L736" s="64"/>
      <c r="M736" s="64"/>
      <c r="N736" s="64"/>
      <c r="O736" s="64"/>
      <c r="P736" s="64"/>
      <c r="Q736" s="64"/>
      <c r="R736" s="64"/>
      <c r="S736" s="64"/>
      <c r="T736" s="64"/>
      <c r="U736" s="64"/>
    </row>
    <row r="737">
      <c r="L737" s="64"/>
      <c r="M737" s="64"/>
      <c r="N737" s="64"/>
      <c r="O737" s="64"/>
      <c r="P737" s="64"/>
      <c r="Q737" s="64"/>
      <c r="R737" s="64"/>
      <c r="S737" s="64"/>
      <c r="T737" s="64"/>
      <c r="U737" s="64"/>
    </row>
    <row r="738">
      <c r="L738" s="64"/>
      <c r="M738" s="64"/>
      <c r="N738" s="64"/>
      <c r="O738" s="64"/>
      <c r="P738" s="64"/>
      <c r="Q738" s="64"/>
      <c r="R738" s="64"/>
      <c r="S738" s="64"/>
      <c r="T738" s="64"/>
      <c r="U738" s="64"/>
    </row>
    <row r="739">
      <c r="L739" s="64"/>
      <c r="M739" s="64"/>
      <c r="N739" s="64"/>
      <c r="O739" s="64"/>
      <c r="P739" s="64"/>
      <c r="Q739" s="64"/>
      <c r="R739" s="64"/>
      <c r="S739" s="64"/>
      <c r="T739" s="64"/>
      <c r="U739" s="64"/>
    </row>
    <row r="740">
      <c r="L740" s="64"/>
      <c r="M740" s="64"/>
      <c r="N740" s="64"/>
      <c r="O740" s="64"/>
      <c r="P740" s="64"/>
      <c r="Q740" s="64"/>
      <c r="R740" s="64"/>
      <c r="S740" s="64"/>
      <c r="T740" s="64"/>
      <c r="U740" s="64"/>
    </row>
    <row r="741">
      <c r="L741" s="64"/>
      <c r="M741" s="64"/>
      <c r="N741" s="64"/>
      <c r="O741" s="64"/>
      <c r="P741" s="64"/>
      <c r="Q741" s="64"/>
      <c r="R741" s="64"/>
      <c r="S741" s="64"/>
      <c r="T741" s="64"/>
      <c r="U741" s="64"/>
    </row>
    <row r="742">
      <c r="L742" s="64"/>
      <c r="M742" s="64"/>
      <c r="N742" s="64"/>
      <c r="O742" s="64"/>
      <c r="P742" s="64"/>
      <c r="Q742" s="64"/>
      <c r="R742" s="64"/>
      <c r="S742" s="64"/>
      <c r="T742" s="64"/>
      <c r="U742" s="64"/>
    </row>
    <row r="743">
      <c r="L743" s="64"/>
      <c r="M743" s="64"/>
      <c r="N743" s="64"/>
      <c r="O743" s="64"/>
      <c r="P743" s="64"/>
      <c r="Q743" s="64"/>
      <c r="R743" s="64"/>
      <c r="S743" s="64"/>
      <c r="T743" s="64"/>
      <c r="U743" s="64"/>
    </row>
    <row r="744">
      <c r="L744" s="64"/>
      <c r="M744" s="64"/>
      <c r="N744" s="64"/>
      <c r="O744" s="64"/>
      <c r="P744" s="64"/>
      <c r="Q744" s="64"/>
      <c r="R744" s="64"/>
      <c r="S744" s="64"/>
      <c r="T744" s="64"/>
      <c r="U744" s="64"/>
    </row>
    <row r="745">
      <c r="L745" s="64"/>
      <c r="M745" s="64"/>
      <c r="N745" s="64"/>
      <c r="O745" s="64"/>
      <c r="P745" s="64"/>
      <c r="Q745" s="64"/>
      <c r="R745" s="64"/>
      <c r="S745" s="64"/>
      <c r="T745" s="64"/>
      <c r="U745" s="64"/>
    </row>
    <row r="746">
      <c r="L746" s="64"/>
      <c r="M746" s="64"/>
      <c r="N746" s="64"/>
      <c r="O746" s="64"/>
      <c r="P746" s="64"/>
      <c r="Q746" s="64"/>
      <c r="R746" s="64"/>
      <c r="S746" s="64"/>
      <c r="T746" s="64"/>
      <c r="U746" s="64"/>
    </row>
    <row r="747">
      <c r="L747" s="64"/>
      <c r="M747" s="64"/>
      <c r="N747" s="64"/>
      <c r="O747" s="64"/>
      <c r="P747" s="64"/>
      <c r="Q747" s="64"/>
      <c r="R747" s="64"/>
      <c r="S747" s="64"/>
      <c r="T747" s="64"/>
      <c r="U747" s="64"/>
    </row>
    <row r="748">
      <c r="L748" s="64"/>
      <c r="M748" s="64"/>
      <c r="N748" s="64"/>
      <c r="O748" s="64"/>
      <c r="P748" s="64"/>
      <c r="Q748" s="64"/>
      <c r="R748" s="64"/>
      <c r="S748" s="64"/>
      <c r="T748" s="64"/>
      <c r="U748" s="64"/>
    </row>
    <row r="749">
      <c r="L749" s="64"/>
      <c r="M749" s="64"/>
      <c r="N749" s="64"/>
      <c r="O749" s="64"/>
      <c r="P749" s="64"/>
      <c r="Q749" s="64"/>
      <c r="R749" s="64"/>
      <c r="S749" s="64"/>
      <c r="T749" s="64"/>
      <c r="U749" s="64"/>
    </row>
    <row r="750">
      <c r="L750" s="64"/>
      <c r="M750" s="64"/>
      <c r="N750" s="64"/>
      <c r="O750" s="64"/>
      <c r="P750" s="64"/>
      <c r="Q750" s="64"/>
      <c r="R750" s="64"/>
      <c r="S750" s="64"/>
      <c r="T750" s="64"/>
      <c r="U750" s="64"/>
    </row>
    <row r="751">
      <c r="L751" s="64"/>
      <c r="M751" s="64"/>
      <c r="N751" s="64"/>
      <c r="O751" s="64"/>
      <c r="P751" s="64"/>
      <c r="Q751" s="64"/>
      <c r="R751" s="64"/>
      <c r="S751" s="64"/>
      <c r="T751" s="64"/>
      <c r="U751" s="64"/>
    </row>
    <row r="752">
      <c r="L752" s="64"/>
      <c r="M752" s="64"/>
      <c r="N752" s="64"/>
      <c r="O752" s="64"/>
      <c r="P752" s="64"/>
      <c r="Q752" s="64"/>
      <c r="R752" s="64"/>
      <c r="S752" s="64"/>
      <c r="T752" s="64"/>
      <c r="U752" s="64"/>
    </row>
    <row r="753">
      <c r="L753" s="64"/>
      <c r="M753" s="64"/>
      <c r="N753" s="64"/>
      <c r="O753" s="64"/>
      <c r="P753" s="64"/>
      <c r="Q753" s="64"/>
      <c r="R753" s="64"/>
      <c r="S753" s="64"/>
      <c r="T753" s="64"/>
      <c r="U753" s="64"/>
    </row>
    <row r="754">
      <c r="L754" s="64"/>
      <c r="M754" s="64"/>
      <c r="N754" s="64"/>
      <c r="O754" s="64"/>
      <c r="P754" s="64"/>
      <c r="Q754" s="64"/>
      <c r="R754" s="64"/>
      <c r="S754" s="64"/>
      <c r="T754" s="64"/>
      <c r="U754" s="64"/>
    </row>
    <row r="755">
      <c r="L755" s="64"/>
      <c r="M755" s="64"/>
      <c r="N755" s="64"/>
      <c r="O755" s="64"/>
      <c r="P755" s="64"/>
      <c r="Q755" s="64"/>
      <c r="R755" s="64"/>
      <c r="S755" s="64"/>
      <c r="T755" s="64"/>
      <c r="U755" s="64"/>
    </row>
    <row r="756">
      <c r="L756" s="64"/>
      <c r="M756" s="64"/>
      <c r="N756" s="64"/>
      <c r="O756" s="64"/>
      <c r="P756" s="64"/>
      <c r="Q756" s="64"/>
      <c r="R756" s="64"/>
      <c r="S756" s="64"/>
      <c r="T756" s="64"/>
      <c r="U756" s="64"/>
    </row>
    <row r="757">
      <c r="L757" s="64"/>
      <c r="M757" s="64"/>
      <c r="N757" s="64"/>
      <c r="O757" s="64"/>
      <c r="P757" s="64"/>
      <c r="Q757" s="64"/>
      <c r="R757" s="64"/>
      <c r="S757" s="64"/>
      <c r="T757" s="64"/>
      <c r="U757" s="64"/>
    </row>
    <row r="758">
      <c r="L758" s="64"/>
      <c r="M758" s="64"/>
      <c r="N758" s="64"/>
      <c r="O758" s="64"/>
      <c r="P758" s="64"/>
      <c r="Q758" s="64"/>
      <c r="R758" s="64"/>
      <c r="S758" s="64"/>
      <c r="T758" s="64"/>
      <c r="U758" s="64"/>
    </row>
    <row r="759">
      <c r="L759" s="64"/>
      <c r="M759" s="64"/>
      <c r="N759" s="64"/>
      <c r="O759" s="64"/>
      <c r="P759" s="64"/>
      <c r="Q759" s="64"/>
      <c r="R759" s="64"/>
      <c r="S759" s="64"/>
      <c r="T759" s="64"/>
      <c r="U759" s="64"/>
    </row>
    <row r="760">
      <c r="L760" s="64"/>
      <c r="M760" s="64"/>
      <c r="N760" s="64"/>
      <c r="O760" s="64"/>
      <c r="P760" s="64"/>
      <c r="Q760" s="64"/>
      <c r="R760" s="64"/>
      <c r="S760" s="64"/>
      <c r="T760" s="64"/>
      <c r="U760" s="64"/>
    </row>
    <row r="761">
      <c r="L761" s="64"/>
      <c r="M761" s="64"/>
      <c r="N761" s="64"/>
      <c r="O761" s="64"/>
      <c r="P761" s="64"/>
      <c r="Q761" s="64"/>
      <c r="R761" s="64"/>
      <c r="S761" s="64"/>
      <c r="T761" s="64"/>
      <c r="U761" s="64"/>
    </row>
    <row r="762">
      <c r="L762" s="64"/>
      <c r="M762" s="64"/>
      <c r="N762" s="64"/>
      <c r="O762" s="64"/>
      <c r="P762" s="64"/>
      <c r="Q762" s="64"/>
      <c r="R762" s="64"/>
      <c r="S762" s="64"/>
      <c r="T762" s="64"/>
      <c r="U762" s="64"/>
    </row>
    <row r="763">
      <c r="L763" s="64"/>
      <c r="M763" s="64"/>
      <c r="N763" s="64"/>
      <c r="O763" s="64"/>
      <c r="P763" s="64"/>
      <c r="Q763" s="64"/>
      <c r="R763" s="64"/>
      <c r="S763" s="64"/>
      <c r="T763" s="64"/>
      <c r="U763" s="64"/>
    </row>
    <row r="764">
      <c r="L764" s="64"/>
      <c r="M764" s="64"/>
      <c r="N764" s="64"/>
      <c r="O764" s="64"/>
      <c r="P764" s="64"/>
      <c r="Q764" s="64"/>
      <c r="R764" s="64"/>
      <c r="S764" s="64"/>
      <c r="T764" s="64"/>
      <c r="U764" s="64"/>
    </row>
    <row r="765">
      <c r="L765" s="64"/>
      <c r="M765" s="64"/>
      <c r="N765" s="64"/>
      <c r="O765" s="64"/>
      <c r="P765" s="64"/>
      <c r="Q765" s="64"/>
      <c r="R765" s="64"/>
      <c r="S765" s="64"/>
      <c r="T765" s="64"/>
      <c r="U765" s="64"/>
    </row>
    <row r="766">
      <c r="L766" s="64"/>
      <c r="M766" s="64"/>
      <c r="N766" s="64"/>
      <c r="O766" s="64"/>
      <c r="P766" s="64"/>
      <c r="Q766" s="64"/>
      <c r="R766" s="64"/>
      <c r="S766" s="64"/>
      <c r="T766" s="64"/>
      <c r="U766" s="64"/>
    </row>
    <row r="767">
      <c r="L767" s="64"/>
      <c r="M767" s="64"/>
      <c r="N767" s="64"/>
      <c r="O767" s="64"/>
      <c r="P767" s="64"/>
      <c r="Q767" s="64"/>
      <c r="R767" s="64"/>
      <c r="S767" s="64"/>
      <c r="T767" s="64"/>
      <c r="U767" s="64"/>
    </row>
    <row r="768">
      <c r="L768" s="64"/>
      <c r="M768" s="64"/>
      <c r="N768" s="64"/>
      <c r="O768" s="64"/>
      <c r="P768" s="64"/>
      <c r="Q768" s="64"/>
      <c r="R768" s="64"/>
      <c r="S768" s="64"/>
      <c r="T768" s="64"/>
      <c r="U768" s="64"/>
    </row>
    <row r="769">
      <c r="L769" s="64"/>
      <c r="M769" s="64"/>
      <c r="N769" s="64"/>
      <c r="O769" s="64"/>
      <c r="P769" s="64"/>
      <c r="Q769" s="64"/>
      <c r="R769" s="64"/>
      <c r="S769" s="64"/>
      <c r="T769" s="64"/>
      <c r="U769" s="64"/>
    </row>
    <row r="770">
      <c r="L770" s="64"/>
      <c r="M770" s="64"/>
      <c r="N770" s="64"/>
      <c r="O770" s="64"/>
      <c r="P770" s="64"/>
      <c r="Q770" s="64"/>
      <c r="R770" s="64"/>
      <c r="S770" s="64"/>
      <c r="T770" s="64"/>
      <c r="U770" s="64"/>
    </row>
    <row r="771">
      <c r="L771" s="64"/>
      <c r="M771" s="64"/>
      <c r="N771" s="64"/>
      <c r="O771" s="64"/>
      <c r="P771" s="64"/>
      <c r="Q771" s="64"/>
      <c r="R771" s="64"/>
      <c r="S771" s="64"/>
      <c r="T771" s="64"/>
      <c r="U771" s="64"/>
    </row>
    <row r="772">
      <c r="L772" s="64"/>
      <c r="M772" s="64"/>
      <c r="N772" s="64"/>
      <c r="O772" s="64"/>
      <c r="P772" s="64"/>
      <c r="Q772" s="64"/>
      <c r="R772" s="64"/>
      <c r="S772" s="64"/>
      <c r="T772" s="64"/>
      <c r="U772" s="64"/>
    </row>
    <row r="773">
      <c r="L773" s="64"/>
      <c r="M773" s="64"/>
      <c r="N773" s="64"/>
      <c r="O773" s="64"/>
      <c r="P773" s="64"/>
      <c r="Q773" s="64"/>
      <c r="R773" s="64"/>
      <c r="S773" s="64"/>
      <c r="T773" s="64"/>
      <c r="U773" s="64"/>
    </row>
    <row r="774">
      <c r="L774" s="64"/>
      <c r="M774" s="64"/>
      <c r="N774" s="64"/>
      <c r="O774" s="64"/>
      <c r="P774" s="64"/>
      <c r="Q774" s="64"/>
      <c r="R774" s="64"/>
      <c r="S774" s="64"/>
      <c r="T774" s="64"/>
      <c r="U774" s="64"/>
    </row>
    <row r="775">
      <c r="L775" s="64"/>
      <c r="M775" s="64"/>
      <c r="N775" s="64"/>
      <c r="O775" s="64"/>
      <c r="P775" s="64"/>
      <c r="Q775" s="64"/>
      <c r="R775" s="64"/>
      <c r="S775" s="64"/>
      <c r="T775" s="64"/>
      <c r="U775" s="64"/>
    </row>
    <row r="776">
      <c r="L776" s="64"/>
      <c r="M776" s="64"/>
      <c r="N776" s="64"/>
      <c r="O776" s="64"/>
      <c r="P776" s="64"/>
      <c r="Q776" s="64"/>
      <c r="R776" s="64"/>
      <c r="S776" s="64"/>
      <c r="T776" s="64"/>
      <c r="U776" s="64"/>
    </row>
    <row r="777">
      <c r="L777" s="64"/>
      <c r="M777" s="64"/>
      <c r="N777" s="64"/>
      <c r="O777" s="64"/>
      <c r="P777" s="64"/>
      <c r="Q777" s="64"/>
      <c r="R777" s="64"/>
      <c r="S777" s="64"/>
      <c r="T777" s="64"/>
      <c r="U777" s="64"/>
    </row>
    <row r="778">
      <c r="L778" s="64"/>
      <c r="M778" s="64"/>
      <c r="N778" s="64"/>
      <c r="O778" s="64"/>
      <c r="P778" s="64"/>
      <c r="Q778" s="64"/>
      <c r="R778" s="64"/>
      <c r="S778" s="64"/>
      <c r="T778" s="64"/>
      <c r="U778" s="64"/>
    </row>
    <row r="779">
      <c r="L779" s="64"/>
      <c r="M779" s="64"/>
      <c r="N779" s="64"/>
      <c r="O779" s="64"/>
      <c r="P779" s="64"/>
      <c r="Q779" s="64"/>
      <c r="R779" s="64"/>
      <c r="S779" s="64"/>
      <c r="T779" s="64"/>
      <c r="U779" s="64"/>
    </row>
    <row r="780">
      <c r="L780" s="64"/>
      <c r="M780" s="64"/>
      <c r="N780" s="64"/>
      <c r="O780" s="64"/>
      <c r="P780" s="64"/>
      <c r="Q780" s="64"/>
      <c r="R780" s="64"/>
      <c r="S780" s="64"/>
      <c r="T780" s="64"/>
      <c r="U780" s="64"/>
    </row>
    <row r="781">
      <c r="L781" s="64"/>
      <c r="M781" s="64"/>
      <c r="N781" s="64"/>
      <c r="O781" s="64"/>
      <c r="P781" s="64"/>
      <c r="Q781" s="64"/>
      <c r="R781" s="64"/>
      <c r="S781" s="64"/>
      <c r="T781" s="64"/>
      <c r="U781" s="64"/>
    </row>
    <row r="782">
      <c r="L782" s="64"/>
      <c r="M782" s="64"/>
      <c r="N782" s="64"/>
      <c r="O782" s="64"/>
      <c r="P782" s="64"/>
      <c r="Q782" s="64"/>
      <c r="R782" s="64"/>
      <c r="S782" s="64"/>
      <c r="T782" s="64"/>
      <c r="U782" s="64"/>
    </row>
    <row r="783">
      <c r="L783" s="64"/>
      <c r="M783" s="64"/>
      <c r="N783" s="64"/>
      <c r="O783" s="64"/>
      <c r="P783" s="64"/>
      <c r="Q783" s="64"/>
      <c r="R783" s="64"/>
      <c r="S783" s="64"/>
      <c r="T783" s="64"/>
      <c r="U783" s="64"/>
    </row>
    <row r="784">
      <c r="L784" s="64"/>
      <c r="M784" s="64"/>
      <c r="N784" s="64"/>
      <c r="O784" s="64"/>
      <c r="P784" s="64"/>
      <c r="Q784" s="64"/>
      <c r="R784" s="64"/>
      <c r="S784" s="64"/>
      <c r="T784" s="64"/>
      <c r="U784" s="64"/>
    </row>
    <row r="785">
      <c r="L785" s="64"/>
      <c r="M785" s="64"/>
      <c r="N785" s="64"/>
      <c r="O785" s="64"/>
      <c r="P785" s="64"/>
      <c r="Q785" s="64"/>
      <c r="R785" s="64"/>
      <c r="S785" s="64"/>
      <c r="T785" s="64"/>
      <c r="U785" s="64"/>
    </row>
    <row r="786">
      <c r="L786" s="64"/>
      <c r="M786" s="64"/>
      <c r="N786" s="64"/>
      <c r="O786" s="64"/>
      <c r="P786" s="64"/>
      <c r="Q786" s="64"/>
      <c r="R786" s="64"/>
      <c r="S786" s="64"/>
      <c r="T786" s="64"/>
      <c r="U786" s="64"/>
    </row>
    <row r="787">
      <c r="L787" s="64"/>
      <c r="M787" s="64"/>
      <c r="N787" s="64"/>
      <c r="O787" s="64"/>
      <c r="P787" s="64"/>
      <c r="Q787" s="64"/>
      <c r="R787" s="64"/>
      <c r="S787" s="64"/>
      <c r="T787" s="64"/>
      <c r="U787" s="64"/>
    </row>
    <row r="788">
      <c r="L788" s="64"/>
      <c r="M788" s="64"/>
      <c r="N788" s="64"/>
      <c r="O788" s="64"/>
      <c r="P788" s="64"/>
      <c r="Q788" s="64"/>
      <c r="R788" s="64"/>
      <c r="S788" s="64"/>
      <c r="T788" s="64"/>
      <c r="U788" s="64"/>
    </row>
    <row r="789">
      <c r="L789" s="64"/>
      <c r="M789" s="64"/>
      <c r="N789" s="64"/>
      <c r="O789" s="64"/>
      <c r="P789" s="64"/>
      <c r="Q789" s="64"/>
      <c r="R789" s="64"/>
      <c r="S789" s="64"/>
      <c r="T789" s="64"/>
      <c r="U789" s="64"/>
    </row>
    <row r="790">
      <c r="L790" s="64"/>
      <c r="M790" s="64"/>
      <c r="N790" s="64"/>
      <c r="O790" s="64"/>
      <c r="P790" s="64"/>
      <c r="Q790" s="64"/>
      <c r="R790" s="64"/>
      <c r="S790" s="64"/>
      <c r="T790" s="64"/>
      <c r="U790" s="64"/>
    </row>
    <row r="791">
      <c r="L791" s="64"/>
      <c r="M791" s="64"/>
      <c r="N791" s="64"/>
      <c r="O791" s="64"/>
      <c r="P791" s="64"/>
      <c r="Q791" s="64"/>
      <c r="R791" s="64"/>
      <c r="S791" s="64"/>
      <c r="T791" s="64"/>
      <c r="U791" s="64"/>
    </row>
    <row r="792">
      <c r="L792" s="64"/>
      <c r="M792" s="64"/>
      <c r="N792" s="64"/>
      <c r="O792" s="64"/>
      <c r="P792" s="64"/>
      <c r="Q792" s="64"/>
      <c r="R792" s="64"/>
      <c r="S792" s="64"/>
      <c r="T792" s="64"/>
      <c r="U792" s="64"/>
    </row>
    <row r="793">
      <c r="L793" s="64"/>
      <c r="M793" s="64"/>
      <c r="N793" s="64"/>
      <c r="O793" s="64"/>
      <c r="P793" s="64"/>
      <c r="Q793" s="64"/>
      <c r="R793" s="64"/>
      <c r="S793" s="64"/>
      <c r="T793" s="64"/>
      <c r="U793" s="64"/>
    </row>
    <row r="794">
      <c r="L794" s="64"/>
      <c r="M794" s="64"/>
      <c r="N794" s="64"/>
      <c r="O794" s="64"/>
      <c r="P794" s="64"/>
      <c r="Q794" s="64"/>
      <c r="R794" s="64"/>
      <c r="S794" s="64"/>
      <c r="T794" s="64"/>
      <c r="U794" s="64"/>
    </row>
    <row r="795">
      <c r="L795" s="64"/>
      <c r="M795" s="64"/>
      <c r="N795" s="64"/>
      <c r="O795" s="64"/>
      <c r="P795" s="64"/>
      <c r="Q795" s="64"/>
      <c r="R795" s="64"/>
      <c r="S795" s="64"/>
      <c r="T795" s="64"/>
      <c r="U795" s="64"/>
    </row>
    <row r="796">
      <c r="L796" s="64"/>
      <c r="M796" s="64"/>
      <c r="N796" s="64"/>
      <c r="O796" s="64"/>
      <c r="P796" s="64"/>
      <c r="Q796" s="64"/>
      <c r="R796" s="64"/>
      <c r="S796" s="64"/>
      <c r="T796" s="64"/>
      <c r="U796" s="64"/>
    </row>
    <row r="797">
      <c r="L797" s="64"/>
      <c r="M797" s="64"/>
      <c r="N797" s="64"/>
      <c r="O797" s="64"/>
      <c r="P797" s="64"/>
      <c r="Q797" s="64"/>
      <c r="R797" s="64"/>
      <c r="S797" s="64"/>
      <c r="T797" s="64"/>
      <c r="U797" s="64"/>
    </row>
    <row r="798">
      <c r="L798" s="64"/>
      <c r="M798" s="64"/>
      <c r="N798" s="64"/>
      <c r="O798" s="64"/>
      <c r="P798" s="64"/>
      <c r="Q798" s="64"/>
      <c r="R798" s="64"/>
      <c r="S798" s="64"/>
      <c r="T798" s="64"/>
      <c r="U798" s="64"/>
    </row>
    <row r="799">
      <c r="L799" s="64"/>
      <c r="M799" s="64"/>
      <c r="N799" s="64"/>
      <c r="O799" s="64"/>
      <c r="P799" s="64"/>
      <c r="Q799" s="64"/>
      <c r="R799" s="64"/>
      <c r="S799" s="64"/>
      <c r="T799" s="64"/>
      <c r="U799" s="64"/>
    </row>
    <row r="800">
      <c r="L800" s="64"/>
      <c r="M800" s="64"/>
      <c r="N800" s="64"/>
      <c r="O800" s="64"/>
      <c r="P800" s="64"/>
      <c r="Q800" s="64"/>
      <c r="R800" s="64"/>
      <c r="S800" s="64"/>
      <c r="T800" s="64"/>
      <c r="U800" s="64"/>
    </row>
    <row r="801">
      <c r="L801" s="64"/>
      <c r="M801" s="64"/>
      <c r="N801" s="64"/>
      <c r="O801" s="64"/>
      <c r="P801" s="64"/>
      <c r="Q801" s="64"/>
      <c r="R801" s="64"/>
      <c r="S801" s="64"/>
      <c r="T801" s="64"/>
      <c r="U801" s="64"/>
    </row>
    <row r="802">
      <c r="L802" s="64"/>
      <c r="M802" s="64"/>
      <c r="N802" s="64"/>
      <c r="O802" s="64"/>
      <c r="P802" s="64"/>
      <c r="Q802" s="64"/>
      <c r="R802" s="64"/>
      <c r="S802" s="64"/>
      <c r="T802" s="64"/>
      <c r="U802" s="64"/>
    </row>
    <row r="803">
      <c r="L803" s="64"/>
      <c r="M803" s="64"/>
      <c r="N803" s="64"/>
      <c r="O803" s="64"/>
      <c r="P803" s="64"/>
      <c r="Q803" s="64"/>
      <c r="R803" s="64"/>
      <c r="S803" s="64"/>
      <c r="T803" s="64"/>
      <c r="U803" s="64"/>
    </row>
    <row r="804">
      <c r="L804" s="64"/>
      <c r="M804" s="64"/>
      <c r="N804" s="64"/>
      <c r="O804" s="64"/>
      <c r="P804" s="64"/>
      <c r="Q804" s="64"/>
      <c r="R804" s="64"/>
      <c r="S804" s="64"/>
      <c r="T804" s="64"/>
      <c r="U804" s="64"/>
    </row>
    <row r="805">
      <c r="L805" s="64"/>
      <c r="M805" s="64"/>
      <c r="N805" s="64"/>
      <c r="O805" s="64"/>
      <c r="P805" s="64"/>
      <c r="Q805" s="64"/>
      <c r="R805" s="64"/>
      <c r="S805" s="64"/>
      <c r="T805" s="64"/>
      <c r="U805" s="64"/>
    </row>
    <row r="806">
      <c r="L806" s="64"/>
      <c r="M806" s="64"/>
      <c r="N806" s="64"/>
      <c r="O806" s="64"/>
      <c r="P806" s="64"/>
      <c r="Q806" s="64"/>
      <c r="R806" s="64"/>
      <c r="S806" s="64"/>
      <c r="T806" s="64"/>
      <c r="U806" s="64"/>
    </row>
    <row r="807">
      <c r="L807" s="64"/>
      <c r="M807" s="64"/>
      <c r="N807" s="64"/>
      <c r="O807" s="64"/>
      <c r="P807" s="64"/>
      <c r="Q807" s="64"/>
      <c r="R807" s="64"/>
      <c r="S807" s="64"/>
      <c r="T807" s="64"/>
      <c r="U807" s="64"/>
    </row>
    <row r="808">
      <c r="L808" s="64"/>
      <c r="M808" s="64"/>
      <c r="N808" s="64"/>
      <c r="O808" s="64"/>
      <c r="P808" s="64"/>
      <c r="Q808" s="64"/>
      <c r="R808" s="64"/>
      <c r="S808" s="64"/>
      <c r="T808" s="64"/>
      <c r="U808" s="64"/>
    </row>
    <row r="809">
      <c r="L809" s="64"/>
      <c r="M809" s="64"/>
      <c r="N809" s="64"/>
      <c r="O809" s="64"/>
      <c r="P809" s="64"/>
      <c r="Q809" s="64"/>
      <c r="R809" s="64"/>
      <c r="S809" s="64"/>
      <c r="T809" s="64"/>
      <c r="U809" s="64"/>
    </row>
    <row r="810">
      <c r="L810" s="64"/>
      <c r="M810" s="64"/>
      <c r="N810" s="64"/>
      <c r="O810" s="64"/>
      <c r="P810" s="64"/>
      <c r="Q810" s="64"/>
      <c r="R810" s="64"/>
      <c r="S810" s="64"/>
      <c r="T810" s="64"/>
      <c r="U810" s="64"/>
    </row>
    <row r="811">
      <c r="L811" s="64"/>
      <c r="M811" s="64"/>
      <c r="N811" s="64"/>
      <c r="O811" s="64"/>
      <c r="P811" s="64"/>
      <c r="Q811" s="64"/>
      <c r="R811" s="64"/>
      <c r="S811" s="64"/>
      <c r="T811" s="64"/>
      <c r="U811" s="64"/>
    </row>
    <row r="812">
      <c r="L812" s="64"/>
      <c r="M812" s="64"/>
      <c r="N812" s="64"/>
      <c r="O812" s="64"/>
      <c r="P812" s="64"/>
      <c r="Q812" s="64"/>
      <c r="R812" s="64"/>
      <c r="S812" s="64"/>
      <c r="T812" s="64"/>
      <c r="U812" s="64"/>
    </row>
    <row r="813">
      <c r="L813" s="64"/>
      <c r="M813" s="64"/>
      <c r="N813" s="64"/>
      <c r="O813" s="64"/>
      <c r="P813" s="64"/>
      <c r="Q813" s="64"/>
      <c r="R813" s="64"/>
      <c r="S813" s="64"/>
      <c r="T813" s="64"/>
      <c r="U813" s="64"/>
    </row>
    <row r="814">
      <c r="L814" s="64"/>
      <c r="M814" s="64"/>
      <c r="N814" s="64"/>
      <c r="O814" s="64"/>
      <c r="P814" s="64"/>
      <c r="Q814" s="64"/>
      <c r="R814" s="64"/>
      <c r="S814" s="64"/>
      <c r="T814" s="64"/>
      <c r="U814" s="64"/>
    </row>
    <row r="815">
      <c r="L815" s="64"/>
      <c r="M815" s="64"/>
      <c r="N815" s="64"/>
      <c r="O815" s="64"/>
      <c r="P815" s="64"/>
      <c r="Q815" s="64"/>
      <c r="R815" s="64"/>
      <c r="S815" s="64"/>
      <c r="T815" s="64"/>
      <c r="U815" s="64"/>
    </row>
    <row r="816">
      <c r="L816" s="64"/>
      <c r="M816" s="64"/>
      <c r="N816" s="64"/>
      <c r="O816" s="64"/>
      <c r="P816" s="64"/>
      <c r="Q816" s="64"/>
      <c r="R816" s="64"/>
      <c r="S816" s="64"/>
      <c r="T816" s="64"/>
      <c r="U816" s="64"/>
    </row>
    <row r="817">
      <c r="L817" s="64"/>
      <c r="M817" s="64"/>
      <c r="N817" s="64"/>
      <c r="O817" s="64"/>
      <c r="P817" s="64"/>
      <c r="Q817" s="64"/>
      <c r="R817" s="64"/>
      <c r="S817" s="64"/>
      <c r="T817" s="64"/>
      <c r="U817" s="64"/>
    </row>
    <row r="818">
      <c r="L818" s="64"/>
      <c r="M818" s="64"/>
      <c r="N818" s="64"/>
      <c r="O818" s="64"/>
      <c r="P818" s="64"/>
      <c r="Q818" s="64"/>
      <c r="R818" s="64"/>
      <c r="S818" s="64"/>
      <c r="T818" s="64"/>
      <c r="U818" s="64"/>
    </row>
    <row r="819">
      <c r="L819" s="64"/>
      <c r="M819" s="64"/>
      <c r="N819" s="64"/>
      <c r="O819" s="64"/>
      <c r="P819" s="64"/>
      <c r="Q819" s="64"/>
      <c r="R819" s="64"/>
      <c r="S819" s="64"/>
      <c r="T819" s="64"/>
      <c r="U819" s="64"/>
    </row>
    <row r="820">
      <c r="L820" s="64"/>
      <c r="M820" s="64"/>
      <c r="N820" s="64"/>
      <c r="O820" s="64"/>
      <c r="P820" s="64"/>
      <c r="Q820" s="64"/>
      <c r="R820" s="64"/>
      <c r="S820" s="64"/>
      <c r="T820" s="64"/>
      <c r="U820" s="64"/>
    </row>
    <row r="821">
      <c r="L821" s="64"/>
      <c r="M821" s="64"/>
      <c r="N821" s="64"/>
      <c r="O821" s="64"/>
      <c r="P821" s="64"/>
      <c r="Q821" s="64"/>
      <c r="R821" s="64"/>
      <c r="S821" s="64"/>
      <c r="T821" s="64"/>
      <c r="U821" s="64"/>
    </row>
    <row r="822">
      <c r="L822" s="64"/>
      <c r="M822" s="64"/>
      <c r="N822" s="64"/>
      <c r="O822" s="64"/>
      <c r="P822" s="64"/>
      <c r="Q822" s="64"/>
      <c r="R822" s="64"/>
      <c r="S822" s="64"/>
      <c r="T822" s="64"/>
      <c r="U822" s="64"/>
    </row>
    <row r="823">
      <c r="L823" s="64"/>
      <c r="M823" s="64"/>
      <c r="N823" s="64"/>
      <c r="O823" s="64"/>
      <c r="P823" s="64"/>
      <c r="Q823" s="64"/>
      <c r="R823" s="64"/>
      <c r="S823" s="64"/>
      <c r="T823" s="64"/>
      <c r="U823" s="64"/>
    </row>
    <row r="824">
      <c r="L824" s="64"/>
      <c r="M824" s="64"/>
      <c r="N824" s="64"/>
      <c r="O824" s="64"/>
      <c r="P824" s="64"/>
      <c r="Q824" s="64"/>
      <c r="R824" s="64"/>
      <c r="S824" s="64"/>
      <c r="T824" s="64"/>
      <c r="U824" s="64"/>
    </row>
    <row r="825">
      <c r="L825" s="64"/>
      <c r="M825" s="64"/>
      <c r="N825" s="64"/>
      <c r="O825" s="64"/>
      <c r="P825" s="64"/>
      <c r="Q825" s="64"/>
      <c r="R825" s="64"/>
      <c r="S825" s="64"/>
      <c r="T825" s="64"/>
      <c r="U825" s="64"/>
    </row>
    <row r="826">
      <c r="L826" s="64"/>
      <c r="M826" s="64"/>
      <c r="N826" s="64"/>
      <c r="O826" s="64"/>
      <c r="P826" s="64"/>
      <c r="Q826" s="64"/>
      <c r="R826" s="64"/>
      <c r="S826" s="64"/>
      <c r="T826" s="64"/>
      <c r="U826" s="64"/>
    </row>
    <row r="827">
      <c r="L827" s="64"/>
      <c r="M827" s="64"/>
      <c r="N827" s="64"/>
      <c r="O827" s="64"/>
      <c r="P827" s="64"/>
      <c r="Q827" s="64"/>
      <c r="R827" s="64"/>
      <c r="S827" s="64"/>
      <c r="T827" s="64"/>
      <c r="U827" s="64"/>
    </row>
    <row r="828">
      <c r="L828" s="64"/>
      <c r="M828" s="64"/>
      <c r="N828" s="64"/>
      <c r="O828" s="64"/>
      <c r="P828" s="64"/>
      <c r="Q828" s="64"/>
      <c r="R828" s="64"/>
      <c r="S828" s="64"/>
      <c r="T828" s="64"/>
      <c r="U828" s="64"/>
    </row>
    <row r="829">
      <c r="L829" s="64"/>
      <c r="M829" s="64"/>
      <c r="N829" s="64"/>
      <c r="O829" s="64"/>
      <c r="P829" s="64"/>
      <c r="Q829" s="64"/>
      <c r="R829" s="64"/>
      <c r="S829" s="64"/>
      <c r="T829" s="64"/>
      <c r="U829" s="64"/>
    </row>
    <row r="830">
      <c r="L830" s="64"/>
      <c r="M830" s="64"/>
      <c r="N830" s="64"/>
      <c r="O830" s="64"/>
      <c r="P830" s="64"/>
      <c r="Q830" s="64"/>
      <c r="R830" s="64"/>
      <c r="S830" s="64"/>
      <c r="T830" s="64"/>
      <c r="U830" s="64"/>
    </row>
    <row r="831">
      <c r="L831" s="64"/>
      <c r="M831" s="64"/>
      <c r="N831" s="64"/>
      <c r="O831" s="64"/>
      <c r="P831" s="64"/>
      <c r="Q831" s="64"/>
      <c r="R831" s="64"/>
      <c r="S831" s="64"/>
      <c r="T831" s="64"/>
      <c r="U831" s="64"/>
    </row>
    <row r="832">
      <c r="L832" s="64"/>
      <c r="M832" s="64"/>
      <c r="N832" s="64"/>
      <c r="O832" s="64"/>
      <c r="P832" s="64"/>
      <c r="Q832" s="64"/>
      <c r="R832" s="64"/>
      <c r="S832" s="64"/>
      <c r="T832" s="64"/>
      <c r="U832" s="64"/>
    </row>
    <row r="833">
      <c r="L833" s="64"/>
      <c r="M833" s="64"/>
      <c r="N833" s="64"/>
      <c r="O833" s="64"/>
      <c r="P833" s="64"/>
      <c r="Q833" s="64"/>
      <c r="R833" s="64"/>
      <c r="S833" s="64"/>
      <c r="T833" s="64"/>
      <c r="U833" s="64"/>
    </row>
    <row r="834">
      <c r="L834" s="64"/>
      <c r="M834" s="64"/>
      <c r="N834" s="64"/>
      <c r="O834" s="64"/>
      <c r="P834" s="64"/>
      <c r="Q834" s="64"/>
      <c r="R834" s="64"/>
      <c r="S834" s="64"/>
      <c r="T834" s="64"/>
      <c r="U834" s="64"/>
    </row>
    <row r="835">
      <c r="L835" s="64"/>
      <c r="M835" s="64"/>
      <c r="N835" s="64"/>
      <c r="O835" s="64"/>
      <c r="P835" s="64"/>
      <c r="Q835" s="64"/>
      <c r="R835" s="64"/>
      <c r="S835" s="64"/>
      <c r="T835" s="64"/>
      <c r="U835" s="64"/>
    </row>
    <row r="836">
      <c r="L836" s="64"/>
      <c r="M836" s="64"/>
      <c r="N836" s="64"/>
      <c r="O836" s="64"/>
      <c r="P836" s="64"/>
      <c r="Q836" s="64"/>
      <c r="R836" s="64"/>
      <c r="S836" s="64"/>
      <c r="T836" s="64"/>
      <c r="U836" s="64"/>
    </row>
    <row r="837">
      <c r="L837" s="64"/>
      <c r="M837" s="64"/>
      <c r="N837" s="64"/>
      <c r="O837" s="64"/>
      <c r="P837" s="64"/>
      <c r="Q837" s="64"/>
      <c r="R837" s="64"/>
      <c r="S837" s="64"/>
      <c r="T837" s="64"/>
      <c r="U837" s="64"/>
    </row>
    <row r="838">
      <c r="L838" s="64"/>
      <c r="M838" s="64"/>
      <c r="N838" s="64"/>
      <c r="O838" s="64"/>
      <c r="P838" s="64"/>
      <c r="Q838" s="64"/>
      <c r="R838" s="64"/>
      <c r="S838" s="64"/>
      <c r="T838" s="64"/>
      <c r="U838" s="64"/>
    </row>
    <row r="839">
      <c r="L839" s="64"/>
      <c r="M839" s="64"/>
      <c r="N839" s="64"/>
      <c r="O839" s="64"/>
      <c r="P839" s="64"/>
      <c r="Q839" s="64"/>
      <c r="R839" s="64"/>
      <c r="S839" s="64"/>
      <c r="T839" s="64"/>
      <c r="U839" s="64"/>
    </row>
    <row r="840">
      <c r="L840" s="64"/>
      <c r="M840" s="64"/>
      <c r="N840" s="64"/>
      <c r="O840" s="64"/>
      <c r="P840" s="64"/>
      <c r="Q840" s="64"/>
      <c r="R840" s="64"/>
      <c r="S840" s="64"/>
      <c r="T840" s="64"/>
      <c r="U840" s="64"/>
    </row>
    <row r="841">
      <c r="L841" s="64"/>
      <c r="M841" s="64"/>
      <c r="N841" s="64"/>
      <c r="O841" s="64"/>
      <c r="P841" s="64"/>
      <c r="Q841" s="64"/>
      <c r="R841" s="64"/>
      <c r="S841" s="64"/>
      <c r="T841" s="64"/>
      <c r="U841" s="64"/>
    </row>
    <row r="842">
      <c r="L842" s="64"/>
      <c r="M842" s="64"/>
      <c r="N842" s="64"/>
      <c r="O842" s="64"/>
      <c r="P842" s="64"/>
      <c r="Q842" s="64"/>
      <c r="R842" s="64"/>
      <c r="S842" s="64"/>
      <c r="T842" s="64"/>
      <c r="U842" s="64"/>
    </row>
    <row r="843">
      <c r="L843" s="64"/>
      <c r="M843" s="64"/>
      <c r="N843" s="64"/>
      <c r="O843" s="64"/>
      <c r="P843" s="64"/>
      <c r="Q843" s="64"/>
      <c r="R843" s="64"/>
      <c r="S843" s="64"/>
      <c r="T843" s="64"/>
      <c r="U843" s="64"/>
    </row>
    <row r="844">
      <c r="L844" s="64"/>
      <c r="M844" s="64"/>
      <c r="N844" s="64"/>
      <c r="O844" s="64"/>
      <c r="P844" s="64"/>
      <c r="Q844" s="64"/>
      <c r="R844" s="64"/>
      <c r="S844" s="64"/>
      <c r="T844" s="64"/>
      <c r="U844" s="64"/>
    </row>
    <row r="845">
      <c r="L845" s="64"/>
      <c r="M845" s="64"/>
      <c r="N845" s="64"/>
      <c r="O845" s="64"/>
      <c r="P845" s="64"/>
      <c r="Q845" s="64"/>
      <c r="R845" s="64"/>
      <c r="S845" s="64"/>
      <c r="T845" s="64"/>
      <c r="U845" s="64"/>
    </row>
    <row r="846">
      <c r="L846" s="64"/>
      <c r="M846" s="64"/>
      <c r="N846" s="64"/>
      <c r="O846" s="64"/>
      <c r="P846" s="64"/>
      <c r="Q846" s="64"/>
      <c r="R846" s="64"/>
      <c r="S846" s="64"/>
      <c r="T846" s="64"/>
      <c r="U846" s="64"/>
    </row>
    <row r="847">
      <c r="L847" s="64"/>
      <c r="M847" s="64"/>
      <c r="N847" s="64"/>
      <c r="O847" s="64"/>
      <c r="P847" s="64"/>
      <c r="Q847" s="64"/>
      <c r="R847" s="64"/>
      <c r="S847" s="64"/>
      <c r="T847" s="64"/>
      <c r="U847" s="64"/>
    </row>
    <row r="848">
      <c r="L848" s="64"/>
      <c r="M848" s="64"/>
      <c r="N848" s="64"/>
      <c r="O848" s="64"/>
      <c r="P848" s="64"/>
      <c r="Q848" s="64"/>
      <c r="R848" s="64"/>
      <c r="S848" s="64"/>
      <c r="T848" s="64"/>
      <c r="U848" s="64"/>
    </row>
    <row r="849">
      <c r="L849" s="64"/>
      <c r="M849" s="64"/>
      <c r="N849" s="64"/>
      <c r="O849" s="64"/>
      <c r="P849" s="64"/>
      <c r="Q849" s="64"/>
      <c r="R849" s="64"/>
      <c r="S849" s="64"/>
      <c r="T849" s="64"/>
      <c r="U849" s="64"/>
    </row>
    <row r="850">
      <c r="L850" s="64"/>
      <c r="M850" s="64"/>
      <c r="N850" s="64"/>
      <c r="O850" s="64"/>
      <c r="P850" s="64"/>
      <c r="Q850" s="64"/>
      <c r="R850" s="64"/>
      <c r="S850" s="64"/>
      <c r="T850" s="64"/>
      <c r="U850" s="64"/>
    </row>
    <row r="851">
      <c r="L851" s="64"/>
      <c r="M851" s="64"/>
      <c r="N851" s="64"/>
      <c r="O851" s="64"/>
      <c r="P851" s="64"/>
      <c r="Q851" s="64"/>
      <c r="R851" s="64"/>
      <c r="S851" s="64"/>
      <c r="T851" s="64"/>
      <c r="U851" s="64"/>
    </row>
    <row r="852">
      <c r="L852" s="64"/>
      <c r="M852" s="64"/>
      <c r="N852" s="64"/>
      <c r="O852" s="64"/>
      <c r="P852" s="64"/>
      <c r="Q852" s="64"/>
      <c r="R852" s="64"/>
      <c r="S852" s="64"/>
      <c r="T852" s="64"/>
      <c r="U852" s="64"/>
    </row>
    <row r="853">
      <c r="L853" s="64"/>
      <c r="M853" s="64"/>
      <c r="N853" s="64"/>
      <c r="O853" s="64"/>
      <c r="P853" s="64"/>
      <c r="Q853" s="64"/>
      <c r="R853" s="64"/>
      <c r="S853" s="64"/>
      <c r="T853" s="64"/>
      <c r="U853" s="64"/>
    </row>
    <row r="854">
      <c r="L854" s="64"/>
      <c r="M854" s="64"/>
      <c r="N854" s="64"/>
      <c r="O854" s="64"/>
      <c r="P854" s="64"/>
      <c r="Q854" s="64"/>
      <c r="R854" s="64"/>
      <c r="S854" s="64"/>
      <c r="T854" s="64"/>
      <c r="U854" s="64"/>
    </row>
    <row r="855">
      <c r="L855" s="64"/>
      <c r="M855" s="64"/>
      <c r="N855" s="64"/>
      <c r="O855" s="64"/>
      <c r="P855" s="64"/>
      <c r="Q855" s="64"/>
      <c r="R855" s="64"/>
      <c r="S855" s="64"/>
      <c r="T855" s="64"/>
      <c r="U855" s="64"/>
    </row>
    <row r="856">
      <c r="L856" s="64"/>
      <c r="M856" s="64"/>
      <c r="N856" s="64"/>
      <c r="O856" s="64"/>
      <c r="P856" s="64"/>
      <c r="Q856" s="64"/>
      <c r="R856" s="64"/>
      <c r="S856" s="64"/>
      <c r="T856" s="64"/>
      <c r="U856" s="64"/>
    </row>
    <row r="857">
      <c r="L857" s="64"/>
      <c r="M857" s="64"/>
      <c r="N857" s="64"/>
      <c r="O857" s="64"/>
      <c r="P857" s="64"/>
      <c r="Q857" s="64"/>
      <c r="R857" s="64"/>
      <c r="S857" s="64"/>
      <c r="T857" s="64"/>
      <c r="U857" s="64"/>
    </row>
    <row r="858">
      <c r="L858" s="64"/>
      <c r="M858" s="64"/>
      <c r="N858" s="64"/>
      <c r="O858" s="64"/>
      <c r="P858" s="64"/>
      <c r="Q858" s="64"/>
      <c r="R858" s="64"/>
      <c r="S858" s="64"/>
      <c r="T858" s="64"/>
      <c r="U858" s="64"/>
    </row>
    <row r="859">
      <c r="L859" s="64"/>
      <c r="M859" s="64"/>
      <c r="N859" s="64"/>
      <c r="O859" s="64"/>
      <c r="P859" s="64"/>
      <c r="Q859" s="64"/>
      <c r="R859" s="64"/>
      <c r="S859" s="64"/>
      <c r="T859" s="64"/>
      <c r="U859" s="64"/>
    </row>
    <row r="860">
      <c r="L860" s="64"/>
      <c r="M860" s="64"/>
      <c r="N860" s="64"/>
      <c r="O860" s="64"/>
      <c r="P860" s="64"/>
      <c r="Q860" s="64"/>
      <c r="R860" s="64"/>
      <c r="S860" s="64"/>
      <c r="T860" s="64"/>
      <c r="U860" s="64"/>
    </row>
    <row r="861">
      <c r="L861" s="64"/>
      <c r="M861" s="64"/>
      <c r="N861" s="64"/>
      <c r="O861" s="64"/>
      <c r="P861" s="64"/>
      <c r="Q861" s="64"/>
      <c r="R861" s="64"/>
      <c r="S861" s="64"/>
      <c r="T861" s="64"/>
      <c r="U861" s="64"/>
    </row>
    <row r="862">
      <c r="L862" s="64"/>
      <c r="M862" s="64"/>
      <c r="N862" s="64"/>
      <c r="O862" s="64"/>
      <c r="P862" s="64"/>
      <c r="Q862" s="64"/>
      <c r="R862" s="64"/>
      <c r="S862" s="64"/>
      <c r="T862" s="64"/>
      <c r="U862" s="64"/>
    </row>
    <row r="863">
      <c r="L863" s="64"/>
      <c r="M863" s="64"/>
      <c r="N863" s="64"/>
      <c r="O863" s="64"/>
      <c r="P863" s="64"/>
      <c r="Q863" s="64"/>
      <c r="R863" s="64"/>
      <c r="S863" s="64"/>
      <c r="T863" s="64"/>
      <c r="U863" s="64"/>
    </row>
    <row r="864">
      <c r="L864" s="64"/>
      <c r="M864" s="64"/>
      <c r="N864" s="64"/>
      <c r="O864" s="64"/>
      <c r="P864" s="64"/>
      <c r="Q864" s="64"/>
      <c r="R864" s="64"/>
      <c r="S864" s="64"/>
      <c r="T864" s="64"/>
      <c r="U864" s="64"/>
    </row>
    <row r="865">
      <c r="L865" s="64"/>
      <c r="M865" s="64"/>
      <c r="N865" s="64"/>
      <c r="O865" s="64"/>
      <c r="P865" s="64"/>
      <c r="Q865" s="64"/>
      <c r="R865" s="64"/>
      <c r="S865" s="64"/>
      <c r="T865" s="64"/>
      <c r="U865" s="64"/>
    </row>
    <row r="866">
      <c r="L866" s="64"/>
      <c r="M866" s="64"/>
      <c r="N866" s="64"/>
      <c r="O866" s="64"/>
      <c r="P866" s="64"/>
      <c r="Q866" s="64"/>
      <c r="R866" s="64"/>
      <c r="S866" s="64"/>
      <c r="T866" s="64"/>
      <c r="U866" s="64"/>
    </row>
    <row r="867">
      <c r="L867" s="64"/>
      <c r="M867" s="64"/>
      <c r="N867" s="64"/>
      <c r="O867" s="64"/>
      <c r="P867" s="64"/>
      <c r="Q867" s="64"/>
      <c r="R867" s="64"/>
      <c r="S867" s="64"/>
      <c r="T867" s="64"/>
      <c r="U867" s="64"/>
    </row>
    <row r="868">
      <c r="L868" s="64"/>
      <c r="M868" s="64"/>
      <c r="N868" s="64"/>
      <c r="O868" s="64"/>
      <c r="P868" s="64"/>
      <c r="Q868" s="64"/>
      <c r="R868" s="64"/>
      <c r="S868" s="64"/>
      <c r="T868" s="64"/>
      <c r="U868" s="64"/>
    </row>
    <row r="869">
      <c r="L869" s="64"/>
      <c r="M869" s="64"/>
      <c r="N869" s="64"/>
      <c r="O869" s="64"/>
      <c r="P869" s="64"/>
      <c r="Q869" s="64"/>
      <c r="R869" s="64"/>
      <c r="S869" s="64"/>
      <c r="T869" s="64"/>
      <c r="U869" s="64"/>
    </row>
    <row r="870">
      <c r="L870" s="64"/>
      <c r="M870" s="64"/>
      <c r="N870" s="64"/>
      <c r="O870" s="64"/>
      <c r="P870" s="64"/>
      <c r="Q870" s="64"/>
      <c r="R870" s="64"/>
      <c r="S870" s="64"/>
      <c r="T870" s="64"/>
      <c r="U870" s="64"/>
    </row>
    <row r="871">
      <c r="L871" s="64"/>
      <c r="M871" s="64"/>
      <c r="N871" s="64"/>
      <c r="O871" s="64"/>
      <c r="P871" s="64"/>
      <c r="Q871" s="64"/>
      <c r="R871" s="64"/>
      <c r="S871" s="64"/>
      <c r="T871" s="64"/>
      <c r="U871" s="64"/>
    </row>
    <row r="872">
      <c r="L872" s="64"/>
      <c r="M872" s="64"/>
      <c r="N872" s="64"/>
      <c r="O872" s="64"/>
      <c r="P872" s="64"/>
      <c r="Q872" s="64"/>
      <c r="R872" s="64"/>
      <c r="S872" s="64"/>
      <c r="T872" s="64"/>
      <c r="U872" s="64"/>
    </row>
    <row r="873">
      <c r="L873" s="64"/>
      <c r="M873" s="64"/>
      <c r="N873" s="64"/>
      <c r="O873" s="64"/>
      <c r="P873" s="64"/>
      <c r="Q873" s="64"/>
      <c r="R873" s="64"/>
      <c r="S873" s="64"/>
      <c r="T873" s="64"/>
      <c r="U873" s="64"/>
    </row>
    <row r="874">
      <c r="L874" s="64"/>
      <c r="M874" s="64"/>
      <c r="N874" s="64"/>
      <c r="O874" s="64"/>
      <c r="P874" s="64"/>
      <c r="Q874" s="64"/>
      <c r="R874" s="64"/>
      <c r="S874" s="64"/>
      <c r="T874" s="64"/>
      <c r="U874" s="64"/>
    </row>
    <row r="875">
      <c r="L875" s="64"/>
      <c r="M875" s="64"/>
      <c r="N875" s="64"/>
      <c r="O875" s="64"/>
      <c r="P875" s="64"/>
      <c r="Q875" s="64"/>
      <c r="R875" s="64"/>
      <c r="S875" s="64"/>
      <c r="T875" s="64"/>
      <c r="U875" s="64"/>
    </row>
    <row r="876">
      <c r="L876" s="64"/>
      <c r="M876" s="64"/>
      <c r="N876" s="64"/>
      <c r="O876" s="64"/>
      <c r="P876" s="64"/>
      <c r="Q876" s="64"/>
      <c r="R876" s="64"/>
      <c r="S876" s="64"/>
      <c r="T876" s="64"/>
      <c r="U876" s="64"/>
    </row>
    <row r="877">
      <c r="L877" s="64"/>
      <c r="M877" s="64"/>
      <c r="N877" s="64"/>
      <c r="O877" s="64"/>
      <c r="P877" s="64"/>
      <c r="Q877" s="64"/>
      <c r="R877" s="64"/>
      <c r="S877" s="64"/>
      <c r="T877" s="64"/>
      <c r="U877" s="64"/>
    </row>
    <row r="878">
      <c r="L878" s="64"/>
      <c r="M878" s="64"/>
      <c r="N878" s="64"/>
      <c r="O878" s="64"/>
      <c r="P878" s="64"/>
      <c r="Q878" s="64"/>
      <c r="R878" s="64"/>
      <c r="S878" s="64"/>
      <c r="T878" s="64"/>
      <c r="U878" s="64"/>
    </row>
    <row r="879">
      <c r="L879" s="64"/>
      <c r="M879" s="64"/>
      <c r="N879" s="64"/>
      <c r="O879" s="64"/>
      <c r="P879" s="64"/>
      <c r="Q879" s="64"/>
      <c r="R879" s="64"/>
      <c r="S879" s="64"/>
      <c r="T879" s="64"/>
      <c r="U879" s="64"/>
    </row>
    <row r="880">
      <c r="L880" s="64"/>
      <c r="M880" s="64"/>
      <c r="N880" s="64"/>
      <c r="O880" s="64"/>
      <c r="P880" s="64"/>
      <c r="Q880" s="64"/>
      <c r="R880" s="64"/>
      <c r="S880" s="64"/>
      <c r="T880" s="64"/>
      <c r="U880" s="64"/>
    </row>
    <row r="881">
      <c r="L881" s="64"/>
      <c r="M881" s="64"/>
      <c r="N881" s="64"/>
      <c r="O881" s="64"/>
      <c r="P881" s="64"/>
      <c r="Q881" s="64"/>
      <c r="R881" s="64"/>
      <c r="S881" s="64"/>
      <c r="T881" s="64"/>
      <c r="U881" s="64"/>
    </row>
    <row r="882">
      <c r="L882" s="64"/>
      <c r="M882" s="64"/>
      <c r="N882" s="64"/>
      <c r="O882" s="64"/>
      <c r="P882" s="64"/>
      <c r="Q882" s="64"/>
      <c r="R882" s="64"/>
      <c r="S882" s="64"/>
      <c r="T882" s="64"/>
      <c r="U882" s="64"/>
    </row>
    <row r="883">
      <c r="L883" s="64"/>
      <c r="M883" s="64"/>
      <c r="N883" s="64"/>
      <c r="O883" s="64"/>
      <c r="P883" s="64"/>
      <c r="Q883" s="64"/>
      <c r="R883" s="64"/>
      <c r="S883" s="64"/>
      <c r="T883" s="64"/>
      <c r="U883" s="64"/>
    </row>
    <row r="884">
      <c r="L884" s="64"/>
      <c r="M884" s="64"/>
      <c r="N884" s="64"/>
      <c r="O884" s="64"/>
      <c r="P884" s="64"/>
      <c r="Q884" s="64"/>
      <c r="R884" s="64"/>
      <c r="S884" s="64"/>
      <c r="T884" s="64"/>
      <c r="U884" s="64"/>
    </row>
    <row r="885">
      <c r="L885" s="64"/>
      <c r="M885" s="64"/>
      <c r="N885" s="64"/>
      <c r="O885" s="64"/>
      <c r="P885" s="64"/>
      <c r="Q885" s="64"/>
      <c r="R885" s="64"/>
      <c r="S885" s="64"/>
      <c r="T885" s="64"/>
      <c r="U885" s="64"/>
    </row>
    <row r="886">
      <c r="L886" s="64"/>
      <c r="M886" s="64"/>
      <c r="N886" s="64"/>
      <c r="O886" s="64"/>
      <c r="P886" s="64"/>
      <c r="Q886" s="64"/>
      <c r="R886" s="64"/>
      <c r="S886" s="64"/>
      <c r="T886" s="64"/>
      <c r="U886" s="64"/>
    </row>
    <row r="887">
      <c r="L887" s="64"/>
      <c r="M887" s="64"/>
      <c r="N887" s="64"/>
      <c r="O887" s="64"/>
      <c r="P887" s="64"/>
      <c r="Q887" s="64"/>
      <c r="R887" s="64"/>
      <c r="S887" s="64"/>
      <c r="T887" s="64"/>
      <c r="U887" s="64"/>
    </row>
    <row r="888">
      <c r="L888" s="64"/>
      <c r="M888" s="64"/>
      <c r="N888" s="64"/>
      <c r="O888" s="64"/>
      <c r="P888" s="64"/>
      <c r="Q888" s="64"/>
      <c r="R888" s="64"/>
      <c r="S888" s="64"/>
      <c r="T888" s="64"/>
      <c r="U888" s="64"/>
    </row>
    <row r="889">
      <c r="L889" s="64"/>
      <c r="M889" s="64"/>
      <c r="N889" s="64"/>
      <c r="O889" s="64"/>
      <c r="P889" s="64"/>
      <c r="Q889" s="64"/>
      <c r="R889" s="64"/>
      <c r="S889" s="64"/>
      <c r="T889" s="64"/>
      <c r="U889" s="64"/>
    </row>
    <row r="890">
      <c r="L890" s="64"/>
      <c r="M890" s="64"/>
      <c r="N890" s="64"/>
      <c r="O890" s="64"/>
      <c r="P890" s="64"/>
      <c r="Q890" s="64"/>
      <c r="R890" s="64"/>
      <c r="S890" s="64"/>
      <c r="T890" s="64"/>
      <c r="U890" s="64"/>
    </row>
    <row r="891">
      <c r="L891" s="64"/>
      <c r="M891" s="64"/>
      <c r="N891" s="64"/>
      <c r="O891" s="64"/>
      <c r="P891" s="64"/>
      <c r="Q891" s="64"/>
      <c r="R891" s="64"/>
      <c r="S891" s="64"/>
      <c r="T891" s="64"/>
      <c r="U891" s="64"/>
    </row>
    <row r="892">
      <c r="L892" s="64"/>
      <c r="M892" s="64"/>
      <c r="N892" s="64"/>
      <c r="O892" s="64"/>
      <c r="P892" s="64"/>
      <c r="Q892" s="64"/>
      <c r="R892" s="64"/>
      <c r="S892" s="64"/>
      <c r="T892" s="64"/>
      <c r="U892" s="64"/>
    </row>
    <row r="893">
      <c r="L893" s="64"/>
      <c r="M893" s="64"/>
      <c r="N893" s="64"/>
      <c r="O893" s="64"/>
      <c r="P893" s="64"/>
      <c r="Q893" s="64"/>
      <c r="R893" s="64"/>
      <c r="S893" s="64"/>
      <c r="T893" s="64"/>
      <c r="U893" s="64"/>
    </row>
    <row r="894">
      <c r="L894" s="64"/>
      <c r="M894" s="64"/>
      <c r="N894" s="64"/>
      <c r="O894" s="64"/>
      <c r="P894" s="64"/>
      <c r="Q894" s="64"/>
      <c r="R894" s="64"/>
      <c r="S894" s="64"/>
      <c r="T894" s="64"/>
      <c r="U894" s="64"/>
    </row>
    <row r="895">
      <c r="L895" s="64"/>
      <c r="M895" s="64"/>
      <c r="N895" s="64"/>
      <c r="O895" s="64"/>
      <c r="P895" s="64"/>
      <c r="Q895" s="64"/>
      <c r="R895" s="64"/>
      <c r="S895" s="64"/>
      <c r="T895" s="64"/>
      <c r="U895" s="64"/>
    </row>
    <row r="896">
      <c r="L896" s="64"/>
      <c r="M896" s="64"/>
      <c r="N896" s="64"/>
      <c r="O896" s="64"/>
      <c r="P896" s="64"/>
      <c r="Q896" s="64"/>
      <c r="R896" s="64"/>
      <c r="S896" s="64"/>
      <c r="T896" s="64"/>
      <c r="U896" s="64"/>
    </row>
    <row r="897">
      <c r="L897" s="64"/>
      <c r="M897" s="64"/>
      <c r="N897" s="64"/>
      <c r="O897" s="64"/>
      <c r="P897" s="64"/>
      <c r="Q897" s="64"/>
      <c r="R897" s="64"/>
      <c r="S897" s="64"/>
      <c r="T897" s="64"/>
      <c r="U897" s="64"/>
    </row>
    <row r="898">
      <c r="L898" s="64"/>
      <c r="M898" s="64"/>
      <c r="N898" s="64"/>
      <c r="O898" s="64"/>
      <c r="P898" s="64"/>
      <c r="Q898" s="64"/>
      <c r="R898" s="64"/>
      <c r="S898" s="64"/>
      <c r="T898" s="64"/>
      <c r="U898" s="64"/>
    </row>
    <row r="899">
      <c r="L899" s="64"/>
      <c r="M899" s="64"/>
      <c r="N899" s="64"/>
      <c r="O899" s="64"/>
      <c r="P899" s="64"/>
      <c r="Q899" s="64"/>
      <c r="R899" s="64"/>
      <c r="S899" s="64"/>
      <c r="T899" s="64"/>
      <c r="U899" s="64"/>
    </row>
    <row r="900">
      <c r="L900" s="64"/>
      <c r="M900" s="64"/>
      <c r="N900" s="64"/>
      <c r="O900" s="64"/>
      <c r="P900" s="64"/>
      <c r="Q900" s="64"/>
      <c r="R900" s="64"/>
      <c r="S900" s="64"/>
      <c r="T900" s="64"/>
      <c r="U900" s="64"/>
    </row>
    <row r="901">
      <c r="L901" s="64"/>
      <c r="M901" s="64"/>
      <c r="N901" s="64"/>
      <c r="O901" s="64"/>
      <c r="P901" s="64"/>
      <c r="Q901" s="64"/>
      <c r="R901" s="64"/>
      <c r="S901" s="64"/>
      <c r="T901" s="64"/>
      <c r="U901" s="64"/>
    </row>
    <row r="902">
      <c r="L902" s="64"/>
      <c r="M902" s="64"/>
      <c r="N902" s="64"/>
      <c r="O902" s="64"/>
      <c r="P902" s="64"/>
      <c r="Q902" s="64"/>
      <c r="R902" s="64"/>
      <c r="S902" s="64"/>
      <c r="T902" s="64"/>
      <c r="U902" s="64"/>
    </row>
    <row r="903">
      <c r="L903" s="64"/>
      <c r="M903" s="64"/>
      <c r="N903" s="64"/>
      <c r="O903" s="64"/>
      <c r="P903" s="64"/>
      <c r="Q903" s="64"/>
      <c r="R903" s="64"/>
      <c r="S903" s="64"/>
      <c r="T903" s="64"/>
      <c r="U903" s="64"/>
    </row>
    <row r="904">
      <c r="L904" s="64"/>
      <c r="M904" s="64"/>
      <c r="N904" s="64"/>
      <c r="O904" s="64"/>
      <c r="P904" s="64"/>
      <c r="Q904" s="64"/>
      <c r="R904" s="64"/>
      <c r="S904" s="64"/>
      <c r="T904" s="64"/>
      <c r="U904" s="64"/>
    </row>
    <row r="905">
      <c r="L905" s="64"/>
      <c r="M905" s="64"/>
      <c r="N905" s="64"/>
      <c r="O905" s="64"/>
      <c r="P905" s="64"/>
      <c r="Q905" s="64"/>
      <c r="R905" s="64"/>
      <c r="S905" s="64"/>
      <c r="T905" s="64"/>
      <c r="U905" s="64"/>
    </row>
    <row r="906">
      <c r="L906" s="64"/>
      <c r="M906" s="64"/>
      <c r="N906" s="64"/>
      <c r="O906" s="64"/>
      <c r="P906" s="64"/>
      <c r="Q906" s="64"/>
      <c r="R906" s="64"/>
      <c r="S906" s="64"/>
      <c r="T906" s="64"/>
      <c r="U906" s="64"/>
    </row>
    <row r="907">
      <c r="L907" s="64"/>
      <c r="M907" s="64"/>
      <c r="N907" s="64"/>
      <c r="O907" s="64"/>
      <c r="P907" s="64"/>
      <c r="Q907" s="64"/>
      <c r="R907" s="64"/>
      <c r="S907" s="64"/>
      <c r="T907" s="64"/>
      <c r="U907" s="64"/>
    </row>
    <row r="908">
      <c r="L908" s="64"/>
      <c r="M908" s="64"/>
      <c r="N908" s="64"/>
      <c r="O908" s="64"/>
      <c r="P908" s="64"/>
      <c r="Q908" s="64"/>
      <c r="R908" s="64"/>
      <c r="S908" s="64"/>
      <c r="T908" s="64"/>
      <c r="U908" s="64"/>
    </row>
    <row r="909">
      <c r="L909" s="64"/>
      <c r="M909" s="64"/>
      <c r="N909" s="64"/>
      <c r="O909" s="64"/>
      <c r="P909" s="64"/>
      <c r="Q909" s="64"/>
      <c r="R909" s="64"/>
      <c r="S909" s="64"/>
      <c r="T909" s="64"/>
      <c r="U909" s="64"/>
    </row>
    <row r="910">
      <c r="L910" s="64"/>
      <c r="M910" s="64"/>
      <c r="N910" s="64"/>
      <c r="O910" s="64"/>
      <c r="P910" s="64"/>
      <c r="Q910" s="64"/>
      <c r="R910" s="64"/>
      <c r="S910" s="64"/>
      <c r="T910" s="64"/>
      <c r="U910" s="64"/>
    </row>
    <row r="911">
      <c r="L911" s="64"/>
      <c r="M911" s="64"/>
      <c r="N911" s="64"/>
      <c r="O911" s="64"/>
      <c r="P911" s="64"/>
      <c r="Q911" s="64"/>
      <c r="R911" s="64"/>
      <c r="S911" s="64"/>
      <c r="T911" s="64"/>
      <c r="U911" s="64"/>
    </row>
    <row r="912">
      <c r="L912" s="64"/>
      <c r="M912" s="64"/>
      <c r="N912" s="64"/>
      <c r="O912" s="64"/>
      <c r="P912" s="64"/>
      <c r="Q912" s="64"/>
      <c r="R912" s="64"/>
      <c r="S912" s="64"/>
      <c r="T912" s="64"/>
      <c r="U912" s="64"/>
    </row>
    <row r="913">
      <c r="L913" s="64"/>
      <c r="M913" s="64"/>
      <c r="N913" s="64"/>
      <c r="O913" s="64"/>
      <c r="P913" s="64"/>
      <c r="Q913" s="64"/>
      <c r="R913" s="64"/>
      <c r="S913" s="64"/>
      <c r="T913" s="64"/>
      <c r="U913" s="64"/>
    </row>
    <row r="914">
      <c r="L914" s="64"/>
      <c r="M914" s="64"/>
      <c r="N914" s="64"/>
      <c r="O914" s="64"/>
      <c r="P914" s="64"/>
      <c r="Q914" s="64"/>
      <c r="R914" s="64"/>
      <c r="S914" s="64"/>
      <c r="T914" s="64"/>
      <c r="U914" s="64"/>
    </row>
    <row r="915">
      <c r="L915" s="64"/>
      <c r="M915" s="64"/>
      <c r="N915" s="64"/>
      <c r="O915" s="64"/>
      <c r="P915" s="64"/>
      <c r="Q915" s="64"/>
      <c r="R915" s="64"/>
      <c r="S915" s="64"/>
      <c r="T915" s="64"/>
      <c r="U915" s="64"/>
    </row>
    <row r="916">
      <c r="L916" s="64"/>
      <c r="M916" s="64"/>
      <c r="N916" s="64"/>
      <c r="O916" s="64"/>
      <c r="P916" s="64"/>
      <c r="Q916" s="64"/>
      <c r="R916" s="64"/>
      <c r="S916" s="64"/>
      <c r="T916" s="64"/>
      <c r="U916" s="64"/>
    </row>
    <row r="917">
      <c r="L917" s="64"/>
      <c r="M917" s="64"/>
      <c r="N917" s="64"/>
      <c r="O917" s="64"/>
      <c r="P917" s="64"/>
      <c r="Q917" s="64"/>
      <c r="R917" s="64"/>
      <c r="S917" s="64"/>
      <c r="T917" s="64"/>
      <c r="U917" s="64"/>
    </row>
    <row r="918">
      <c r="L918" s="64"/>
      <c r="M918" s="64"/>
      <c r="N918" s="64"/>
      <c r="O918" s="64"/>
      <c r="P918" s="64"/>
      <c r="Q918" s="64"/>
      <c r="R918" s="64"/>
      <c r="S918" s="64"/>
      <c r="T918" s="64"/>
      <c r="U918" s="64"/>
    </row>
    <row r="919">
      <c r="L919" s="64"/>
      <c r="M919" s="64"/>
      <c r="N919" s="64"/>
      <c r="O919" s="64"/>
      <c r="P919" s="64"/>
      <c r="Q919" s="64"/>
      <c r="R919" s="64"/>
      <c r="S919" s="64"/>
      <c r="T919" s="64"/>
      <c r="U919" s="64"/>
    </row>
    <row r="920">
      <c r="L920" s="64"/>
      <c r="M920" s="64"/>
      <c r="N920" s="64"/>
      <c r="O920" s="64"/>
      <c r="P920" s="64"/>
      <c r="Q920" s="64"/>
      <c r="R920" s="64"/>
      <c r="S920" s="64"/>
      <c r="T920" s="64"/>
      <c r="U920" s="64"/>
    </row>
    <row r="921">
      <c r="L921" s="64"/>
      <c r="M921" s="64"/>
      <c r="N921" s="64"/>
      <c r="O921" s="64"/>
      <c r="P921" s="64"/>
      <c r="Q921" s="64"/>
      <c r="R921" s="64"/>
      <c r="S921" s="64"/>
      <c r="T921" s="64"/>
      <c r="U921" s="64"/>
    </row>
    <row r="922">
      <c r="L922" s="64"/>
      <c r="M922" s="64"/>
      <c r="N922" s="64"/>
      <c r="O922" s="64"/>
      <c r="P922" s="64"/>
      <c r="Q922" s="64"/>
      <c r="R922" s="64"/>
      <c r="S922" s="64"/>
      <c r="T922" s="64"/>
      <c r="U922" s="64"/>
    </row>
    <row r="923">
      <c r="L923" s="64"/>
      <c r="M923" s="64"/>
      <c r="N923" s="64"/>
      <c r="O923" s="64"/>
      <c r="P923" s="64"/>
      <c r="Q923" s="64"/>
      <c r="R923" s="64"/>
      <c r="S923" s="64"/>
      <c r="T923" s="64"/>
      <c r="U923" s="64"/>
    </row>
    <row r="924">
      <c r="L924" s="64"/>
      <c r="M924" s="64"/>
      <c r="N924" s="64"/>
      <c r="O924" s="64"/>
      <c r="P924" s="64"/>
      <c r="Q924" s="64"/>
      <c r="R924" s="64"/>
      <c r="S924" s="64"/>
      <c r="T924" s="64"/>
      <c r="U924" s="64"/>
    </row>
    <row r="925">
      <c r="L925" s="64"/>
      <c r="M925" s="64"/>
      <c r="N925" s="64"/>
      <c r="O925" s="64"/>
      <c r="P925" s="64"/>
      <c r="Q925" s="64"/>
      <c r="R925" s="64"/>
      <c r="S925" s="64"/>
      <c r="T925" s="64"/>
      <c r="U925" s="64"/>
    </row>
    <row r="926">
      <c r="L926" s="64"/>
      <c r="M926" s="64"/>
      <c r="N926" s="64"/>
      <c r="O926" s="64"/>
      <c r="P926" s="64"/>
      <c r="Q926" s="64"/>
      <c r="R926" s="64"/>
      <c r="S926" s="64"/>
      <c r="T926" s="64"/>
      <c r="U926" s="64"/>
    </row>
    <row r="927">
      <c r="L927" s="64"/>
      <c r="M927" s="64"/>
      <c r="N927" s="64"/>
      <c r="O927" s="64"/>
      <c r="P927" s="64"/>
      <c r="Q927" s="64"/>
      <c r="R927" s="64"/>
      <c r="S927" s="64"/>
      <c r="T927" s="64"/>
      <c r="U927" s="64"/>
    </row>
    <row r="928">
      <c r="L928" s="64"/>
      <c r="M928" s="64"/>
      <c r="N928" s="64"/>
      <c r="O928" s="64"/>
      <c r="P928" s="64"/>
      <c r="Q928" s="64"/>
      <c r="R928" s="64"/>
      <c r="S928" s="64"/>
      <c r="T928" s="64"/>
      <c r="U928" s="64"/>
    </row>
    <row r="929">
      <c r="L929" s="64"/>
      <c r="M929" s="64"/>
      <c r="N929" s="64"/>
      <c r="O929" s="64"/>
      <c r="P929" s="64"/>
      <c r="Q929" s="64"/>
      <c r="R929" s="64"/>
      <c r="S929" s="64"/>
      <c r="T929" s="64"/>
      <c r="U929" s="64"/>
    </row>
    <row r="930">
      <c r="L930" s="64"/>
      <c r="M930" s="64"/>
      <c r="N930" s="64"/>
      <c r="O930" s="64"/>
      <c r="P930" s="64"/>
      <c r="Q930" s="64"/>
      <c r="R930" s="64"/>
      <c r="S930" s="64"/>
      <c r="T930" s="64"/>
      <c r="U930" s="64"/>
    </row>
    <row r="931">
      <c r="L931" s="64"/>
      <c r="M931" s="64"/>
      <c r="N931" s="64"/>
      <c r="O931" s="64"/>
      <c r="P931" s="64"/>
      <c r="Q931" s="64"/>
      <c r="R931" s="64"/>
      <c r="S931" s="64"/>
      <c r="T931" s="64"/>
      <c r="U931" s="64"/>
    </row>
    <row r="932">
      <c r="L932" s="64"/>
      <c r="M932" s="64"/>
      <c r="N932" s="64"/>
      <c r="O932" s="64"/>
      <c r="P932" s="64"/>
      <c r="Q932" s="64"/>
      <c r="R932" s="64"/>
      <c r="S932" s="64"/>
      <c r="T932" s="64"/>
      <c r="U932" s="64"/>
    </row>
    <row r="933">
      <c r="L933" s="64"/>
      <c r="M933" s="64"/>
      <c r="N933" s="64"/>
      <c r="O933" s="64"/>
      <c r="P933" s="64"/>
      <c r="Q933" s="64"/>
      <c r="R933" s="64"/>
      <c r="S933" s="64"/>
      <c r="T933" s="64"/>
      <c r="U933" s="64"/>
    </row>
    <row r="934">
      <c r="L934" s="64"/>
      <c r="M934" s="64"/>
      <c r="N934" s="64"/>
      <c r="O934" s="64"/>
      <c r="P934" s="64"/>
      <c r="Q934" s="64"/>
      <c r="R934" s="64"/>
      <c r="S934" s="64"/>
      <c r="T934" s="64"/>
      <c r="U934" s="64"/>
    </row>
    <row r="935">
      <c r="L935" s="64"/>
      <c r="M935" s="64"/>
      <c r="N935" s="64"/>
      <c r="O935" s="64"/>
      <c r="P935" s="64"/>
      <c r="Q935" s="64"/>
      <c r="R935" s="64"/>
      <c r="S935" s="64"/>
      <c r="T935" s="64"/>
      <c r="U935" s="64"/>
    </row>
    <row r="936">
      <c r="L936" s="64"/>
      <c r="M936" s="64"/>
      <c r="N936" s="64"/>
      <c r="O936" s="64"/>
      <c r="P936" s="64"/>
      <c r="Q936" s="64"/>
      <c r="R936" s="64"/>
      <c r="S936" s="64"/>
      <c r="T936" s="64"/>
      <c r="U936" s="64"/>
    </row>
    <row r="937">
      <c r="L937" s="64"/>
      <c r="M937" s="64"/>
      <c r="N937" s="64"/>
      <c r="O937" s="64"/>
      <c r="P937" s="64"/>
      <c r="Q937" s="64"/>
      <c r="R937" s="64"/>
      <c r="S937" s="64"/>
      <c r="T937" s="64"/>
      <c r="U937" s="64"/>
    </row>
    <row r="938">
      <c r="L938" s="64"/>
      <c r="M938" s="64"/>
      <c r="N938" s="64"/>
      <c r="O938" s="64"/>
      <c r="P938" s="64"/>
      <c r="Q938" s="64"/>
      <c r="R938" s="64"/>
      <c r="S938" s="64"/>
      <c r="T938" s="64"/>
      <c r="U938" s="64"/>
    </row>
    <row r="939">
      <c r="L939" s="64"/>
      <c r="M939" s="64"/>
      <c r="N939" s="64"/>
      <c r="O939" s="64"/>
      <c r="P939" s="64"/>
      <c r="Q939" s="64"/>
      <c r="R939" s="64"/>
      <c r="S939" s="64"/>
      <c r="T939" s="64"/>
      <c r="U939" s="64"/>
    </row>
    <row r="940">
      <c r="L940" s="64"/>
      <c r="M940" s="64"/>
      <c r="N940" s="64"/>
      <c r="O940" s="64"/>
      <c r="P940" s="64"/>
      <c r="Q940" s="64"/>
      <c r="R940" s="64"/>
      <c r="S940" s="64"/>
      <c r="T940" s="64"/>
      <c r="U940" s="64"/>
    </row>
    <row r="941">
      <c r="L941" s="64"/>
      <c r="M941" s="64"/>
      <c r="N941" s="64"/>
      <c r="O941" s="64"/>
      <c r="P941" s="64"/>
      <c r="Q941" s="64"/>
      <c r="R941" s="64"/>
      <c r="S941" s="64"/>
      <c r="T941" s="64"/>
      <c r="U941" s="64"/>
    </row>
    <row r="942">
      <c r="L942" s="64"/>
      <c r="M942" s="64"/>
      <c r="N942" s="64"/>
      <c r="O942" s="64"/>
      <c r="P942" s="64"/>
      <c r="Q942" s="64"/>
      <c r="R942" s="64"/>
      <c r="S942" s="64"/>
      <c r="T942" s="64"/>
      <c r="U942" s="64"/>
    </row>
    <row r="943">
      <c r="L943" s="64"/>
      <c r="M943" s="64"/>
      <c r="N943" s="64"/>
      <c r="O943" s="64"/>
      <c r="P943" s="64"/>
      <c r="Q943" s="64"/>
      <c r="R943" s="64"/>
      <c r="S943" s="64"/>
      <c r="T943" s="64"/>
      <c r="U943" s="64"/>
    </row>
    <row r="944">
      <c r="L944" s="64"/>
      <c r="M944" s="64"/>
      <c r="N944" s="64"/>
      <c r="O944" s="64"/>
      <c r="P944" s="64"/>
      <c r="Q944" s="64"/>
      <c r="R944" s="64"/>
      <c r="S944" s="64"/>
      <c r="T944" s="64"/>
      <c r="U944" s="64"/>
    </row>
    <row r="945">
      <c r="L945" s="64"/>
      <c r="M945" s="64"/>
      <c r="N945" s="64"/>
      <c r="O945" s="64"/>
      <c r="P945" s="64"/>
      <c r="Q945" s="64"/>
      <c r="R945" s="64"/>
      <c r="S945" s="64"/>
      <c r="T945" s="64"/>
      <c r="U945" s="64"/>
    </row>
    <row r="946">
      <c r="L946" s="64"/>
      <c r="M946" s="64"/>
      <c r="N946" s="64"/>
      <c r="O946" s="64"/>
      <c r="P946" s="64"/>
      <c r="Q946" s="64"/>
      <c r="R946" s="64"/>
      <c r="S946" s="64"/>
      <c r="T946" s="64"/>
      <c r="U946" s="64"/>
    </row>
    <row r="947">
      <c r="L947" s="64"/>
      <c r="M947" s="64"/>
      <c r="N947" s="64"/>
      <c r="O947" s="64"/>
      <c r="P947" s="64"/>
      <c r="Q947" s="64"/>
      <c r="R947" s="64"/>
      <c r="S947" s="64"/>
      <c r="T947" s="64"/>
      <c r="U947" s="64"/>
    </row>
    <row r="948">
      <c r="L948" s="64"/>
      <c r="M948" s="64"/>
      <c r="N948" s="64"/>
      <c r="O948" s="64"/>
      <c r="P948" s="64"/>
      <c r="Q948" s="64"/>
      <c r="R948" s="64"/>
      <c r="S948" s="64"/>
      <c r="T948" s="64"/>
      <c r="U948" s="64"/>
    </row>
    <row r="949">
      <c r="L949" s="64"/>
      <c r="M949" s="64"/>
      <c r="N949" s="64"/>
      <c r="O949" s="64"/>
      <c r="P949" s="64"/>
      <c r="Q949" s="64"/>
      <c r="R949" s="64"/>
      <c r="S949" s="64"/>
      <c r="T949" s="64"/>
      <c r="U949" s="64"/>
    </row>
    <row r="950">
      <c r="L950" s="64"/>
      <c r="M950" s="64"/>
      <c r="N950" s="64"/>
      <c r="O950" s="64"/>
      <c r="P950" s="64"/>
      <c r="Q950" s="64"/>
      <c r="R950" s="64"/>
      <c r="S950" s="64"/>
      <c r="T950" s="64"/>
      <c r="U950" s="64"/>
    </row>
    <row r="951">
      <c r="L951" s="64"/>
      <c r="M951" s="64"/>
      <c r="N951" s="64"/>
      <c r="O951" s="64"/>
      <c r="P951" s="64"/>
      <c r="Q951" s="64"/>
      <c r="R951" s="64"/>
      <c r="S951" s="64"/>
      <c r="T951" s="64"/>
      <c r="U951" s="64"/>
    </row>
    <row r="952">
      <c r="L952" s="64"/>
      <c r="M952" s="64"/>
      <c r="N952" s="64"/>
      <c r="O952" s="64"/>
      <c r="P952" s="64"/>
      <c r="Q952" s="64"/>
      <c r="R952" s="64"/>
      <c r="S952" s="64"/>
      <c r="T952" s="64"/>
      <c r="U952" s="64"/>
    </row>
    <row r="953">
      <c r="L953" s="64"/>
      <c r="M953" s="64"/>
      <c r="N953" s="64"/>
      <c r="O953" s="64"/>
      <c r="P953" s="64"/>
      <c r="Q953" s="64"/>
      <c r="R953" s="64"/>
      <c r="S953" s="64"/>
      <c r="T953" s="64"/>
      <c r="U953" s="64"/>
    </row>
    <row r="954">
      <c r="L954" s="64"/>
      <c r="M954" s="64"/>
      <c r="N954" s="64"/>
      <c r="O954" s="64"/>
      <c r="P954" s="64"/>
      <c r="Q954" s="64"/>
      <c r="R954" s="64"/>
      <c r="S954" s="64"/>
      <c r="T954" s="64"/>
      <c r="U954" s="64"/>
    </row>
    <row r="955">
      <c r="L955" s="64"/>
      <c r="M955" s="64"/>
      <c r="N955" s="64"/>
      <c r="O955" s="64"/>
      <c r="P955" s="64"/>
      <c r="Q955" s="64"/>
      <c r="R955" s="64"/>
      <c r="S955" s="64"/>
      <c r="T955" s="64"/>
      <c r="U955" s="64"/>
    </row>
    <row r="956">
      <c r="L956" s="64"/>
      <c r="M956" s="64"/>
      <c r="N956" s="64"/>
      <c r="O956" s="64"/>
      <c r="P956" s="64"/>
      <c r="Q956" s="64"/>
      <c r="R956" s="64"/>
      <c r="S956" s="64"/>
      <c r="T956" s="64"/>
      <c r="U956" s="64"/>
    </row>
    <row r="957">
      <c r="L957" s="64"/>
      <c r="M957" s="64"/>
      <c r="N957" s="64"/>
      <c r="O957" s="64"/>
      <c r="P957" s="64"/>
      <c r="Q957" s="64"/>
      <c r="R957" s="64"/>
      <c r="S957" s="64"/>
      <c r="T957" s="64"/>
      <c r="U957" s="64"/>
    </row>
    <row r="958">
      <c r="L958" s="64"/>
      <c r="M958" s="64"/>
      <c r="N958" s="64"/>
      <c r="O958" s="64"/>
      <c r="P958" s="64"/>
      <c r="Q958" s="64"/>
      <c r="R958" s="64"/>
      <c r="S958" s="64"/>
      <c r="T958" s="64"/>
      <c r="U958" s="64"/>
    </row>
    <row r="959">
      <c r="L959" s="64"/>
      <c r="M959" s="64"/>
      <c r="N959" s="64"/>
      <c r="O959" s="64"/>
      <c r="P959" s="64"/>
      <c r="Q959" s="64"/>
      <c r="R959" s="64"/>
      <c r="S959" s="64"/>
      <c r="T959" s="64"/>
      <c r="U959" s="64"/>
    </row>
    <row r="960">
      <c r="L960" s="64"/>
      <c r="M960" s="64"/>
      <c r="N960" s="64"/>
      <c r="O960" s="64"/>
      <c r="P960" s="64"/>
      <c r="Q960" s="64"/>
      <c r="R960" s="64"/>
      <c r="S960" s="64"/>
      <c r="T960" s="64"/>
      <c r="U960" s="64"/>
    </row>
    <row r="961">
      <c r="L961" s="64"/>
      <c r="M961" s="64"/>
      <c r="N961" s="64"/>
      <c r="O961" s="64"/>
      <c r="P961" s="64"/>
      <c r="Q961" s="64"/>
      <c r="R961" s="64"/>
      <c r="S961" s="64"/>
      <c r="T961" s="64"/>
      <c r="U961" s="64"/>
    </row>
    <row r="962">
      <c r="L962" s="64"/>
      <c r="M962" s="64"/>
      <c r="N962" s="64"/>
      <c r="O962" s="64"/>
      <c r="P962" s="64"/>
      <c r="Q962" s="64"/>
      <c r="R962" s="64"/>
      <c r="S962" s="64"/>
      <c r="T962" s="64"/>
      <c r="U962" s="64"/>
    </row>
    <row r="963">
      <c r="L963" s="64"/>
      <c r="M963" s="64"/>
      <c r="N963" s="64"/>
      <c r="O963" s="64"/>
      <c r="P963" s="64"/>
      <c r="Q963" s="64"/>
      <c r="R963" s="64"/>
      <c r="S963" s="64"/>
      <c r="T963" s="64"/>
      <c r="U963" s="64"/>
    </row>
    <row r="964">
      <c r="L964" s="64"/>
      <c r="M964" s="64"/>
      <c r="N964" s="64"/>
      <c r="O964" s="64"/>
      <c r="P964" s="64"/>
      <c r="Q964" s="64"/>
      <c r="R964" s="64"/>
      <c r="S964" s="64"/>
      <c r="T964" s="64"/>
      <c r="U964" s="64"/>
    </row>
    <row r="965">
      <c r="L965" s="64"/>
      <c r="M965" s="64"/>
      <c r="N965" s="64"/>
      <c r="O965" s="64"/>
      <c r="P965" s="64"/>
      <c r="Q965" s="64"/>
      <c r="R965" s="64"/>
      <c r="S965" s="64"/>
      <c r="T965" s="64"/>
      <c r="U965" s="64"/>
    </row>
    <row r="966">
      <c r="L966" s="64"/>
      <c r="M966" s="64"/>
      <c r="N966" s="64"/>
      <c r="O966" s="64"/>
      <c r="P966" s="64"/>
      <c r="Q966" s="64"/>
      <c r="R966" s="64"/>
      <c r="S966" s="64"/>
      <c r="T966" s="64"/>
      <c r="U966" s="64"/>
    </row>
    <row r="967">
      <c r="L967" s="64"/>
      <c r="M967" s="64"/>
      <c r="N967" s="64"/>
      <c r="O967" s="64"/>
      <c r="P967" s="64"/>
      <c r="Q967" s="64"/>
      <c r="R967" s="64"/>
      <c r="S967" s="64"/>
      <c r="T967" s="64"/>
      <c r="U967" s="64"/>
    </row>
    <row r="968">
      <c r="L968" s="64"/>
      <c r="M968" s="64"/>
      <c r="N968" s="64"/>
      <c r="O968" s="64"/>
      <c r="P968" s="64"/>
      <c r="Q968" s="64"/>
      <c r="R968" s="64"/>
      <c r="S968" s="64"/>
      <c r="T968" s="64"/>
      <c r="U968" s="64"/>
    </row>
    <row r="969">
      <c r="L969" s="64"/>
      <c r="M969" s="64"/>
      <c r="N969" s="64"/>
      <c r="O969" s="64"/>
      <c r="P969" s="64"/>
      <c r="Q969" s="64"/>
      <c r="R969" s="64"/>
      <c r="S969" s="64"/>
      <c r="T969" s="64"/>
      <c r="U969" s="64"/>
    </row>
    <row r="970">
      <c r="L970" s="64"/>
      <c r="M970" s="64"/>
      <c r="N970" s="64"/>
      <c r="O970" s="64"/>
      <c r="P970" s="64"/>
      <c r="Q970" s="64"/>
      <c r="R970" s="64"/>
      <c r="S970" s="64"/>
      <c r="T970" s="64"/>
      <c r="U970" s="64"/>
    </row>
    <row r="971">
      <c r="L971" s="64"/>
      <c r="M971" s="64"/>
      <c r="N971" s="64"/>
      <c r="O971" s="64"/>
      <c r="P971" s="64"/>
      <c r="Q971" s="64"/>
      <c r="R971" s="64"/>
      <c r="S971" s="64"/>
      <c r="T971" s="64"/>
      <c r="U971" s="64"/>
    </row>
    <row r="972">
      <c r="L972" s="64"/>
      <c r="M972" s="64"/>
      <c r="N972" s="64"/>
      <c r="O972" s="64"/>
      <c r="P972" s="64"/>
      <c r="Q972" s="64"/>
      <c r="R972" s="64"/>
      <c r="S972" s="64"/>
      <c r="T972" s="64"/>
      <c r="U972" s="64"/>
    </row>
    <row r="973">
      <c r="L973" s="64"/>
      <c r="M973" s="64"/>
      <c r="N973" s="64"/>
      <c r="O973" s="64"/>
      <c r="P973" s="64"/>
      <c r="Q973" s="64"/>
      <c r="R973" s="64"/>
      <c r="S973" s="64"/>
      <c r="T973" s="64"/>
      <c r="U973" s="64"/>
    </row>
    <row r="974">
      <c r="L974" s="64"/>
      <c r="M974" s="64"/>
      <c r="N974" s="64"/>
      <c r="O974" s="64"/>
      <c r="P974" s="64"/>
      <c r="Q974" s="64"/>
      <c r="R974" s="64"/>
      <c r="S974" s="64"/>
      <c r="T974" s="64"/>
      <c r="U974" s="64"/>
    </row>
    <row r="975">
      <c r="L975" s="64"/>
      <c r="M975" s="64"/>
      <c r="N975" s="64"/>
      <c r="O975" s="64"/>
      <c r="P975" s="64"/>
      <c r="Q975" s="64"/>
      <c r="R975" s="64"/>
      <c r="S975" s="64"/>
      <c r="T975" s="64"/>
      <c r="U975" s="64"/>
    </row>
    <row r="976">
      <c r="L976" s="64"/>
      <c r="M976" s="64"/>
      <c r="N976" s="64"/>
      <c r="O976" s="64"/>
      <c r="P976" s="64"/>
      <c r="Q976" s="64"/>
      <c r="R976" s="64"/>
      <c r="S976" s="64"/>
      <c r="T976" s="64"/>
      <c r="U976" s="64"/>
    </row>
    <row r="977">
      <c r="L977" s="64"/>
      <c r="M977" s="64"/>
      <c r="N977" s="64"/>
      <c r="O977" s="64"/>
      <c r="P977" s="64"/>
      <c r="Q977" s="64"/>
      <c r="R977" s="64"/>
      <c r="S977" s="64"/>
      <c r="T977" s="64"/>
      <c r="U977" s="64"/>
    </row>
    <row r="978">
      <c r="L978" s="64"/>
      <c r="M978" s="64"/>
      <c r="N978" s="64"/>
      <c r="O978" s="64"/>
      <c r="P978" s="64"/>
      <c r="Q978" s="64"/>
      <c r="R978" s="64"/>
      <c r="S978" s="64"/>
      <c r="T978" s="64"/>
      <c r="U978" s="64"/>
    </row>
    <row r="979">
      <c r="L979" s="64"/>
      <c r="M979" s="64"/>
      <c r="N979" s="64"/>
      <c r="O979" s="64"/>
      <c r="P979" s="64"/>
      <c r="Q979" s="64"/>
      <c r="R979" s="64"/>
      <c r="S979" s="64"/>
      <c r="T979" s="64"/>
      <c r="U979" s="64"/>
    </row>
    <row r="980">
      <c r="L980" s="64"/>
      <c r="M980" s="64"/>
      <c r="N980" s="64"/>
      <c r="O980" s="64"/>
      <c r="P980" s="64"/>
      <c r="Q980" s="64"/>
      <c r="R980" s="64"/>
      <c r="S980" s="64"/>
      <c r="T980" s="64"/>
      <c r="U980" s="64"/>
    </row>
    <row r="981">
      <c r="L981" s="64"/>
      <c r="M981" s="64"/>
      <c r="N981" s="64"/>
      <c r="O981" s="64"/>
      <c r="P981" s="64"/>
      <c r="Q981" s="64"/>
      <c r="R981" s="64"/>
      <c r="S981" s="64"/>
      <c r="T981" s="64"/>
      <c r="U981" s="64"/>
    </row>
    <row r="982">
      <c r="L982" s="64"/>
      <c r="M982" s="64"/>
      <c r="N982" s="64"/>
      <c r="O982" s="64"/>
      <c r="P982" s="64"/>
      <c r="Q982" s="64"/>
      <c r="R982" s="64"/>
      <c r="S982" s="64"/>
      <c r="T982" s="64"/>
      <c r="U982" s="64"/>
    </row>
    <row r="983">
      <c r="L983" s="64"/>
      <c r="M983" s="64"/>
      <c r="N983" s="64"/>
      <c r="O983" s="64"/>
      <c r="P983" s="64"/>
      <c r="Q983" s="64"/>
      <c r="R983" s="64"/>
      <c r="S983" s="64"/>
      <c r="T983" s="64"/>
      <c r="U983" s="64"/>
    </row>
    <row r="984">
      <c r="L984" s="64"/>
      <c r="M984" s="64"/>
      <c r="N984" s="64"/>
      <c r="O984" s="64"/>
      <c r="P984" s="64"/>
      <c r="Q984" s="64"/>
      <c r="R984" s="64"/>
      <c r="S984" s="64"/>
      <c r="T984" s="64"/>
      <c r="U984" s="64"/>
    </row>
    <row r="985">
      <c r="L985" s="64"/>
      <c r="M985" s="64"/>
      <c r="N985" s="64"/>
      <c r="O985" s="64"/>
      <c r="P985" s="64"/>
      <c r="Q985" s="64"/>
      <c r="R985" s="64"/>
      <c r="S985" s="64"/>
      <c r="T985" s="64"/>
      <c r="U985" s="64"/>
    </row>
    <row r="986">
      <c r="L986" s="64"/>
      <c r="M986" s="64"/>
      <c r="N986" s="64"/>
      <c r="O986" s="64"/>
      <c r="P986" s="64"/>
      <c r="Q986" s="64"/>
      <c r="R986" s="64"/>
      <c r="S986" s="64"/>
      <c r="T986" s="64"/>
      <c r="U986" s="64"/>
    </row>
    <row r="987">
      <c r="L987" s="64"/>
      <c r="M987" s="64"/>
      <c r="N987" s="64"/>
      <c r="O987" s="64"/>
      <c r="P987" s="64"/>
      <c r="Q987" s="64"/>
      <c r="R987" s="64"/>
      <c r="S987" s="64"/>
      <c r="T987" s="64"/>
      <c r="U987" s="64"/>
    </row>
    <row r="988">
      <c r="L988" s="64"/>
      <c r="M988" s="64"/>
      <c r="N988" s="64"/>
      <c r="O988" s="64"/>
      <c r="P988" s="64"/>
      <c r="Q988" s="64"/>
      <c r="R988" s="64"/>
      <c r="S988" s="64"/>
      <c r="T988" s="64"/>
      <c r="U988" s="64"/>
    </row>
    <row r="989">
      <c r="L989" s="64"/>
      <c r="M989" s="64"/>
      <c r="N989" s="64"/>
      <c r="O989" s="64"/>
      <c r="P989" s="64"/>
      <c r="Q989" s="64"/>
      <c r="R989" s="64"/>
      <c r="S989" s="64"/>
      <c r="T989" s="64"/>
      <c r="U989" s="64"/>
    </row>
    <row r="990">
      <c r="L990" s="64"/>
      <c r="M990" s="64"/>
      <c r="N990" s="64"/>
      <c r="O990" s="64"/>
      <c r="P990" s="64"/>
      <c r="Q990" s="64"/>
      <c r="R990" s="64"/>
      <c r="S990" s="64"/>
      <c r="T990" s="64"/>
      <c r="U990" s="64"/>
    </row>
    <row r="991">
      <c r="L991" s="64"/>
      <c r="M991" s="64"/>
      <c r="N991" s="64"/>
      <c r="O991" s="64"/>
      <c r="P991" s="64"/>
      <c r="Q991" s="64"/>
      <c r="R991" s="64"/>
      <c r="S991" s="64"/>
      <c r="T991" s="64"/>
      <c r="U991" s="64"/>
    </row>
    <row r="992">
      <c r="L992" s="64"/>
      <c r="M992" s="64"/>
      <c r="N992" s="64"/>
      <c r="O992" s="64"/>
      <c r="P992" s="64"/>
      <c r="Q992" s="64"/>
      <c r="R992" s="64"/>
      <c r="S992" s="64"/>
      <c r="T992" s="64"/>
      <c r="U992" s="64"/>
    </row>
    <row r="993">
      <c r="L993" s="64"/>
      <c r="M993" s="64"/>
      <c r="N993" s="64"/>
      <c r="O993" s="64"/>
      <c r="P993" s="64"/>
      <c r="Q993" s="64"/>
      <c r="R993" s="64"/>
      <c r="S993" s="64"/>
      <c r="T993" s="64"/>
      <c r="U993" s="64"/>
    </row>
    <row r="994">
      <c r="L994" s="64"/>
      <c r="M994" s="64"/>
      <c r="N994" s="64"/>
      <c r="O994" s="64"/>
      <c r="P994" s="64"/>
      <c r="Q994" s="64"/>
      <c r="R994" s="64"/>
      <c r="S994" s="64"/>
      <c r="T994" s="64"/>
      <c r="U994" s="64"/>
    </row>
    <row r="995">
      <c r="L995" s="64"/>
      <c r="M995" s="64"/>
      <c r="N995" s="64"/>
      <c r="O995" s="64"/>
      <c r="P995" s="64"/>
      <c r="Q995" s="64"/>
      <c r="R995" s="64"/>
      <c r="S995" s="64"/>
      <c r="T995" s="64"/>
      <c r="U995" s="64"/>
    </row>
    <row r="996">
      <c r="L996" s="64"/>
      <c r="M996" s="64"/>
      <c r="N996" s="64"/>
      <c r="O996" s="64"/>
      <c r="P996" s="64"/>
      <c r="Q996" s="64"/>
      <c r="R996" s="64"/>
      <c r="S996" s="64"/>
      <c r="T996" s="64"/>
      <c r="U996" s="64"/>
    </row>
    <row r="997">
      <c r="L997" s="64"/>
      <c r="M997" s="64"/>
      <c r="N997" s="64"/>
      <c r="O997" s="64"/>
      <c r="P997" s="64"/>
      <c r="Q997" s="64"/>
      <c r="R997" s="64"/>
      <c r="S997" s="64"/>
      <c r="T997" s="64"/>
      <c r="U997" s="64"/>
    </row>
    <row r="998">
      <c r="L998" s="64"/>
      <c r="M998" s="64"/>
      <c r="N998" s="64"/>
      <c r="O998" s="64"/>
      <c r="P998" s="64"/>
      <c r="Q998" s="64"/>
      <c r="R998" s="64"/>
      <c r="S998" s="64"/>
      <c r="T998" s="64"/>
      <c r="U998" s="64"/>
    </row>
    <row r="999">
      <c r="L999" s="64"/>
      <c r="M999" s="64"/>
      <c r="N999" s="64"/>
      <c r="O999" s="64"/>
      <c r="P999" s="64"/>
      <c r="Q999" s="64"/>
      <c r="R999" s="64"/>
      <c r="S999" s="64"/>
      <c r="T999" s="64"/>
      <c r="U999" s="64"/>
    </row>
    <row r="1000">
      <c r="L1000" s="64"/>
      <c r="M1000" s="64"/>
      <c r="N1000" s="64"/>
      <c r="O1000" s="64"/>
      <c r="P1000" s="64"/>
      <c r="Q1000" s="64"/>
      <c r="R1000" s="64"/>
      <c r="S1000" s="64"/>
      <c r="T1000" s="64"/>
      <c r="U1000" s="6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67" t="s">
        <v>435</v>
      </c>
    </row>
    <row r="2">
      <c r="A2" s="68" t="s">
        <v>15</v>
      </c>
      <c r="B2" s="68" t="s">
        <v>27</v>
      </c>
      <c r="C2" s="68" t="s">
        <v>35</v>
      </c>
      <c r="D2" s="68" t="s">
        <v>43</v>
      </c>
      <c r="E2" s="68" t="s">
        <v>53</v>
      </c>
      <c r="F2" s="68" t="s">
        <v>63</v>
      </c>
      <c r="G2" s="68" t="s">
        <v>70</v>
      </c>
      <c r="H2" s="68" t="s">
        <v>74</v>
      </c>
      <c r="I2" s="68" t="s">
        <v>76</v>
      </c>
      <c r="J2" s="68" t="s">
        <v>78</v>
      </c>
    </row>
    <row r="3">
      <c r="A3" s="69" t="s">
        <v>0</v>
      </c>
      <c r="B3" s="69" t="s">
        <v>0</v>
      </c>
      <c r="C3" s="69" t="s">
        <v>0</v>
      </c>
      <c r="D3" s="69" t="s">
        <v>0</v>
      </c>
      <c r="E3" s="69" t="s">
        <v>0</v>
      </c>
      <c r="F3" s="69" t="s">
        <v>0</v>
      </c>
      <c r="G3" s="69" t="s">
        <v>0</v>
      </c>
      <c r="H3" s="69" t="s">
        <v>0</v>
      </c>
      <c r="I3" s="69" t="s">
        <v>0</v>
      </c>
      <c r="J3" s="69" t="s">
        <v>0</v>
      </c>
    </row>
    <row r="4">
      <c r="A4" s="70" t="s">
        <v>95</v>
      </c>
      <c r="B4" s="70" t="s">
        <v>177</v>
      </c>
      <c r="C4" s="70" t="s">
        <v>202</v>
      </c>
      <c r="D4" s="70" t="s">
        <v>234</v>
      </c>
      <c r="E4" s="70" t="s">
        <v>266</v>
      </c>
      <c r="F4" s="70" t="s">
        <v>297</v>
      </c>
      <c r="G4" s="70" t="s">
        <v>343</v>
      </c>
      <c r="H4" s="70" t="s">
        <v>203</v>
      </c>
      <c r="I4" s="70" t="s">
        <v>322</v>
      </c>
      <c r="J4" s="70" t="s">
        <v>100</v>
      </c>
    </row>
    <row r="5">
      <c r="A5" s="70" t="s">
        <v>96</v>
      </c>
      <c r="B5" s="70" t="s">
        <v>180</v>
      </c>
      <c r="C5" s="70" t="s">
        <v>206</v>
      </c>
      <c r="D5" s="70" t="s">
        <v>238</v>
      </c>
      <c r="E5" s="70" t="s">
        <v>281</v>
      </c>
      <c r="F5" s="70" t="s">
        <v>439</v>
      </c>
      <c r="G5" s="70" t="s">
        <v>425</v>
      </c>
      <c r="H5" s="70" t="s">
        <v>341</v>
      </c>
      <c r="I5" s="70" t="s">
        <v>339</v>
      </c>
      <c r="J5" s="70" t="s">
        <v>414</v>
      </c>
    </row>
    <row r="6">
      <c r="A6" s="70" t="s">
        <v>97</v>
      </c>
      <c r="B6" s="70" t="s">
        <v>181</v>
      </c>
      <c r="C6" s="70" t="s">
        <v>207</v>
      </c>
      <c r="D6" s="70" t="s">
        <v>241</v>
      </c>
      <c r="E6" s="70" t="s">
        <v>284</v>
      </c>
      <c r="F6" s="70" t="s">
        <v>441</v>
      </c>
      <c r="G6" s="70" t="s">
        <v>442</v>
      </c>
      <c r="H6" s="70" t="s">
        <v>369</v>
      </c>
      <c r="I6" s="70" t="s">
        <v>443</v>
      </c>
      <c r="J6" s="70" t="s">
        <v>417</v>
      </c>
    </row>
    <row r="7">
      <c r="A7" s="70" t="s">
        <v>98</v>
      </c>
      <c r="B7" s="70" t="s">
        <v>182</v>
      </c>
      <c r="C7" s="70" t="s">
        <v>208</v>
      </c>
      <c r="D7" s="70" t="s">
        <v>245</v>
      </c>
      <c r="E7" s="70" t="s">
        <v>287</v>
      </c>
      <c r="F7" s="70" t="s">
        <v>444</v>
      </c>
      <c r="G7" s="70" t="s">
        <v>445</v>
      </c>
      <c r="H7" s="70" t="s">
        <v>370</v>
      </c>
      <c r="I7" s="70" t="s">
        <v>446</v>
      </c>
      <c r="J7" s="70" t="s">
        <v>418</v>
      </c>
    </row>
    <row r="8">
      <c r="A8" s="70" t="s">
        <v>99</v>
      </c>
      <c r="B8" s="70" t="s">
        <v>183</v>
      </c>
      <c r="C8" s="70" t="s">
        <v>209</v>
      </c>
      <c r="D8" s="70" t="s">
        <v>246</v>
      </c>
      <c r="E8" s="70" t="s">
        <v>288</v>
      </c>
      <c r="F8" s="70" t="s">
        <v>448</v>
      </c>
      <c r="G8" s="70" t="s">
        <v>449</v>
      </c>
      <c r="H8" s="70" t="s">
        <v>373</v>
      </c>
      <c r="I8" s="70" t="s">
        <v>450</v>
      </c>
      <c r="J8" s="70" t="s">
        <v>419</v>
      </c>
    </row>
    <row r="9">
      <c r="A9" s="70" t="s">
        <v>101</v>
      </c>
      <c r="B9" s="70" t="s">
        <v>189</v>
      </c>
      <c r="C9" s="70" t="s">
        <v>210</v>
      </c>
      <c r="D9" s="70" t="s">
        <v>249</v>
      </c>
      <c r="E9" s="70" t="s">
        <v>291</v>
      </c>
      <c r="F9" s="70" t="s">
        <v>451</v>
      </c>
      <c r="G9" s="70" t="s">
        <v>452</v>
      </c>
      <c r="H9" s="70" t="s">
        <v>374</v>
      </c>
      <c r="I9" s="70" t="s">
        <v>454</v>
      </c>
      <c r="J9" s="70" t="s">
        <v>422</v>
      </c>
    </row>
    <row r="10">
      <c r="A10" s="70" t="s">
        <v>106</v>
      </c>
      <c r="B10" s="70" t="s">
        <v>190</v>
      </c>
      <c r="C10" s="70" t="s">
        <v>213</v>
      </c>
      <c r="D10" s="70" t="s">
        <v>253</v>
      </c>
      <c r="E10" s="70" t="s">
        <v>292</v>
      </c>
      <c r="F10" s="70" t="s">
        <v>455</v>
      </c>
      <c r="G10" s="70" t="s">
        <v>456</v>
      </c>
      <c r="H10" s="70" t="s">
        <v>377</v>
      </c>
      <c r="I10" s="70" t="s">
        <v>457</v>
      </c>
      <c r="J10" s="70" t="s">
        <v>423</v>
      </c>
    </row>
    <row r="11">
      <c r="A11" s="70" t="s">
        <v>107</v>
      </c>
      <c r="B11" s="70" t="s">
        <v>191</v>
      </c>
      <c r="C11" s="70" t="s">
        <v>217</v>
      </c>
      <c r="D11" s="70" t="s">
        <v>256</v>
      </c>
      <c r="E11" s="70" t="s">
        <v>296</v>
      </c>
      <c r="F11" s="70" t="s">
        <v>458</v>
      </c>
      <c r="G11" s="70" t="s">
        <v>459</v>
      </c>
      <c r="H11" s="70" t="s">
        <v>380</v>
      </c>
      <c r="I11" s="70" t="s">
        <v>460</v>
      </c>
      <c r="J11" s="70" t="s">
        <v>424</v>
      </c>
    </row>
    <row r="12">
      <c r="A12" s="70" t="s">
        <v>108</v>
      </c>
      <c r="B12" s="70" t="s">
        <v>194</v>
      </c>
      <c r="C12" s="70" t="s">
        <v>218</v>
      </c>
      <c r="D12" s="70" t="s">
        <v>259</v>
      </c>
      <c r="E12" s="70" t="s">
        <v>299</v>
      </c>
      <c r="F12" s="70" t="s">
        <v>461</v>
      </c>
      <c r="G12" s="70" t="s">
        <v>462</v>
      </c>
      <c r="H12" s="70" t="s">
        <v>381</v>
      </c>
      <c r="I12" s="70" t="s">
        <v>463</v>
      </c>
      <c r="J12" s="70" t="s">
        <v>427</v>
      </c>
    </row>
    <row r="13">
      <c r="A13" s="70" t="s">
        <v>112</v>
      </c>
      <c r="B13" s="70" t="s">
        <v>198</v>
      </c>
      <c r="C13" s="70" t="s">
        <v>219</v>
      </c>
      <c r="D13" s="70" t="s">
        <v>261</v>
      </c>
      <c r="E13" s="70" t="s">
        <v>301</v>
      </c>
      <c r="F13" s="70" t="s">
        <v>464</v>
      </c>
      <c r="G13" s="70" t="s">
        <v>465</v>
      </c>
      <c r="H13" s="70" t="s">
        <v>382</v>
      </c>
      <c r="I13" s="70" t="s">
        <v>466</v>
      </c>
      <c r="J13" s="70" t="s">
        <v>430</v>
      </c>
    </row>
    <row r="14">
      <c r="A14" s="70" t="s">
        <v>148</v>
      </c>
      <c r="B14" s="70" t="s">
        <v>199</v>
      </c>
      <c r="C14" s="70" t="s">
        <v>222</v>
      </c>
      <c r="D14" s="70" t="s">
        <v>262</v>
      </c>
      <c r="E14" s="70" t="s">
        <v>304</v>
      </c>
      <c r="F14" s="70" t="s">
        <v>467</v>
      </c>
      <c r="G14" s="70" t="s">
        <v>468</v>
      </c>
      <c r="H14" s="70" t="s">
        <v>385</v>
      </c>
      <c r="I14" s="70" t="s">
        <v>469</v>
      </c>
      <c r="J14" s="70" t="s">
        <v>433</v>
      </c>
    </row>
    <row r="15">
      <c r="A15" s="70" t="s">
        <v>163</v>
      </c>
      <c r="B15" s="70" t="s">
        <v>200</v>
      </c>
      <c r="C15" s="70" t="s">
        <v>228</v>
      </c>
      <c r="D15" s="70" t="s">
        <v>263</v>
      </c>
      <c r="E15" s="70" t="s">
        <v>305</v>
      </c>
      <c r="F15" s="70" t="s">
        <v>470</v>
      </c>
      <c r="G15" s="70" t="s">
        <v>471</v>
      </c>
      <c r="H15" s="70" t="s">
        <v>386</v>
      </c>
      <c r="I15" s="70" t="s">
        <v>472</v>
      </c>
      <c r="J15" s="70" t="s">
        <v>434</v>
      </c>
    </row>
    <row r="16">
      <c r="A16" s="70" t="s">
        <v>176</v>
      </c>
      <c r="B16" s="70" t="s">
        <v>201</v>
      </c>
      <c r="C16" s="70" t="s">
        <v>231</v>
      </c>
      <c r="D16" s="71"/>
      <c r="E16" s="70" t="s">
        <v>308</v>
      </c>
      <c r="F16" s="70" t="s">
        <v>473</v>
      </c>
      <c r="G16" s="70" t="s">
        <v>474</v>
      </c>
      <c r="H16" s="70" t="s">
        <v>389</v>
      </c>
      <c r="I16" s="70" t="s">
        <v>475</v>
      </c>
      <c r="J16" s="70" t="s">
        <v>436</v>
      </c>
    </row>
    <row r="17">
      <c r="A17" s="72"/>
      <c r="B17" s="72"/>
      <c r="C17" s="70" t="s">
        <v>233</v>
      </c>
      <c r="D17" s="72"/>
      <c r="E17" s="70" t="s">
        <v>309</v>
      </c>
      <c r="F17" s="73"/>
      <c r="G17" s="73"/>
      <c r="H17" s="70" t="s">
        <v>390</v>
      </c>
      <c r="I17" s="73"/>
      <c r="J17" s="70" t="s">
        <v>437</v>
      </c>
    </row>
    <row r="18">
      <c r="A18" s="72"/>
      <c r="B18" s="72"/>
      <c r="C18" s="73"/>
      <c r="D18" s="73"/>
      <c r="E18" s="70" t="s">
        <v>312</v>
      </c>
      <c r="F18" s="73"/>
      <c r="G18" s="73"/>
      <c r="H18" s="70" t="s">
        <v>391</v>
      </c>
      <c r="I18" s="73"/>
      <c r="J18" s="70" t="s">
        <v>440</v>
      </c>
    </row>
    <row r="19">
      <c r="A19" s="72"/>
      <c r="B19" s="72"/>
      <c r="C19" s="73"/>
      <c r="D19" s="72"/>
      <c r="E19" s="70" t="s">
        <v>316</v>
      </c>
      <c r="F19" s="73"/>
      <c r="G19" s="73"/>
      <c r="H19" s="70" t="s">
        <v>394</v>
      </c>
      <c r="I19" s="73"/>
      <c r="J19" s="70" t="s">
        <v>447</v>
      </c>
    </row>
    <row r="20">
      <c r="A20" s="72"/>
      <c r="B20" s="72"/>
      <c r="C20" s="73"/>
      <c r="D20" s="72"/>
      <c r="E20" s="70" t="s">
        <v>317</v>
      </c>
      <c r="F20" s="73"/>
      <c r="G20" s="73"/>
      <c r="H20" s="73"/>
      <c r="I20" s="73"/>
      <c r="J20" s="73"/>
    </row>
    <row r="22">
      <c r="A22" s="74" t="s">
        <v>478</v>
      </c>
    </row>
    <row r="23">
      <c r="A23" s="41" t="s">
        <v>50</v>
      </c>
      <c r="B23" s="9" t="s">
        <v>229</v>
      </c>
      <c r="C23" s="9" t="s">
        <v>242</v>
      </c>
      <c r="D23" s="9" t="s">
        <v>54</v>
      </c>
      <c r="E23" s="9" t="s">
        <v>56</v>
      </c>
      <c r="F23" s="9" t="s">
        <v>58</v>
      </c>
      <c r="G23" s="9" t="s">
        <v>60</v>
      </c>
      <c r="H23" s="9" t="s">
        <v>61</v>
      </c>
      <c r="I23" s="9" t="s">
        <v>62</v>
      </c>
      <c r="J23" s="9" t="s">
        <v>64</v>
      </c>
      <c r="K23" s="9" t="s">
        <v>66</v>
      </c>
      <c r="L23" s="9" t="s">
        <v>67</v>
      </c>
      <c r="M23" s="9" t="s">
        <v>68</v>
      </c>
      <c r="N23" s="9" t="s">
        <v>69</v>
      </c>
      <c r="O23" s="9" t="s">
        <v>71</v>
      </c>
      <c r="P23" s="9" t="s">
        <v>73</v>
      </c>
    </row>
    <row r="24">
      <c r="A24" s="3" t="s">
        <v>232</v>
      </c>
      <c r="B24" s="3">
        <v>1.0</v>
      </c>
      <c r="C24" s="3">
        <v>6.0</v>
      </c>
      <c r="D24" s="22">
        <v>5.569607423518381E7</v>
      </c>
      <c r="E24" s="22">
        <v>6.962009279397978E7</v>
      </c>
      <c r="F24" s="22">
        <v>8.354411135277572E7</v>
      </c>
      <c r="G24" s="22">
        <v>9.74681299115717E7</v>
      </c>
      <c r="H24" s="22">
        <v>1.1139214847036763E8</v>
      </c>
      <c r="I24" s="22">
        <v>1.253161670291636E8</v>
      </c>
      <c r="J24" s="22">
        <v>1.253161670291636E8</v>
      </c>
      <c r="K24" s="22">
        <v>1.253161670291636E8</v>
      </c>
      <c r="L24" s="22">
        <v>1.3924018558795956E8</v>
      </c>
      <c r="M24" s="22">
        <v>1.3924018558795956E8</v>
      </c>
      <c r="N24" s="22">
        <v>1.5316420414675552E8</v>
      </c>
      <c r="O24" s="22">
        <v>1.6708822270555145E8</v>
      </c>
      <c r="P24" s="22">
        <v>1.3924018628795953E9</v>
      </c>
    </row>
    <row r="25">
      <c r="A25" s="3" t="s">
        <v>235</v>
      </c>
      <c r="B25" s="3">
        <v>2.0</v>
      </c>
      <c r="C25" s="3">
        <v>4.0</v>
      </c>
      <c r="D25" s="22">
        <v>2.784803711759191E7</v>
      </c>
      <c r="E25" s="22">
        <v>3.481004639698989E7</v>
      </c>
      <c r="F25" s="22">
        <v>4.177205567638786E7</v>
      </c>
      <c r="G25" s="22">
        <v>4.873406495578585E7</v>
      </c>
      <c r="H25" s="22">
        <v>5.569607423518382E7</v>
      </c>
      <c r="I25" s="22">
        <v>6.26580835145818E7</v>
      </c>
      <c r="J25" s="22">
        <v>6.26580835145818E7</v>
      </c>
      <c r="K25" s="22">
        <v>6.26580835145818E7</v>
      </c>
      <c r="L25" s="22">
        <v>6.962009279397978E7</v>
      </c>
      <c r="M25" s="22">
        <v>6.962009279397978E7</v>
      </c>
      <c r="N25" s="22">
        <v>7.658210207337776E7</v>
      </c>
      <c r="O25" s="22">
        <v>8.354411135277572E7</v>
      </c>
      <c r="P25" s="22">
        <v>6.962009339397978E8</v>
      </c>
    </row>
    <row r="26">
      <c r="A26" s="9" t="s">
        <v>205</v>
      </c>
      <c r="B26" s="9"/>
      <c r="C26" s="36">
        <v>10.0</v>
      </c>
      <c r="D26" s="36"/>
      <c r="E26" s="36"/>
      <c r="F26" s="36"/>
      <c r="G26" s="36"/>
      <c r="H26" s="36"/>
      <c r="I26" s="36"/>
      <c r="J26" s="36"/>
      <c r="K26" s="36"/>
      <c r="L26" s="36"/>
      <c r="M26" s="36"/>
      <c r="N26" s="36"/>
      <c r="O26" s="36"/>
      <c r="P26" s="39">
        <v>0.0</v>
      </c>
    </row>
    <row r="28">
      <c r="A28" s="75" t="s">
        <v>481</v>
      </c>
    </row>
    <row r="30">
      <c r="A30" s="68" t="s">
        <v>78</v>
      </c>
      <c r="D30" s="3">
        <v>0.5</v>
      </c>
      <c r="E30" s="3">
        <v>0.2</v>
      </c>
      <c r="F30" s="3">
        <v>0.1</v>
      </c>
      <c r="G30" s="3">
        <v>1.0</v>
      </c>
      <c r="H30" s="3">
        <v>0.2</v>
      </c>
      <c r="I30" s="3">
        <v>0.005</v>
      </c>
      <c r="J30" s="3">
        <v>0.67</v>
      </c>
    </row>
    <row r="31">
      <c r="A31" s="69" t="s">
        <v>0</v>
      </c>
      <c r="B31" s="11">
        <f t="shared" ref="B31:C31" si="1">SUM(B32:B47)</f>
        <v>92</v>
      </c>
      <c r="C31" s="66">
        <f t="shared" si="1"/>
        <v>1</v>
      </c>
      <c r="D31" s="76">
        <f t="shared" ref="D31:J31" si="2">D25*D30</f>
        <v>13924018.56</v>
      </c>
      <c r="E31" s="76">
        <f t="shared" si="2"/>
        <v>6962009.279</v>
      </c>
      <c r="F31" s="11">
        <f t="shared" si="2"/>
        <v>4177205.568</v>
      </c>
      <c r="G31" s="11">
        <f t="shared" si="2"/>
        <v>48734064.96</v>
      </c>
      <c r="H31" s="11">
        <f t="shared" si="2"/>
        <v>11139214.85</v>
      </c>
      <c r="I31" s="11">
        <f t="shared" si="2"/>
        <v>313290.4176</v>
      </c>
      <c r="J31" s="11">
        <f t="shared" si="2"/>
        <v>41980915.95</v>
      </c>
    </row>
    <row r="32">
      <c r="A32" s="70" t="s">
        <v>100</v>
      </c>
      <c r="B32" s="11">
        <f t="shared" ref="B32:B47" si="3">RANDBETWEEN(1,10)</f>
        <v>7</v>
      </c>
      <c r="C32" s="66">
        <f t="shared" ref="C32:C47" si="4">B32/$B$31</f>
        <v>0.07608695652</v>
      </c>
      <c r="D32" s="11">
        <f t="shared" ref="D32:D47" si="5">C32*$D$31</f>
        <v>1059436.195</v>
      </c>
      <c r="E32" s="76">
        <f t="shared" ref="E32:E47" si="6">C32*$E$31</f>
        <v>529718.0973</v>
      </c>
      <c r="F32" s="11">
        <f t="shared" ref="F32:F47" si="7">$F$31*C32</f>
        <v>317830.8584</v>
      </c>
      <c r="G32" s="11">
        <f t="shared" ref="G32:G47" si="8">$G$31*C32</f>
        <v>3708026.681</v>
      </c>
      <c r="H32" s="11">
        <f t="shared" ref="H32:H47" si="9">$H$31*C32</f>
        <v>847548.9558</v>
      </c>
      <c r="I32" s="11">
        <f t="shared" ref="I32:I47" si="10">$I$31*C32</f>
        <v>23837.31438</v>
      </c>
      <c r="J32" s="11">
        <f t="shared" ref="J32:J47" si="11">$J$31*C32</f>
        <v>3194200.127</v>
      </c>
    </row>
    <row r="33">
      <c r="A33" s="70" t="s">
        <v>414</v>
      </c>
      <c r="B33" s="11">
        <f t="shared" si="3"/>
        <v>8</v>
      </c>
      <c r="C33" s="66">
        <f t="shared" si="4"/>
        <v>0.08695652174</v>
      </c>
      <c r="D33" s="11">
        <f t="shared" si="5"/>
        <v>1210784.223</v>
      </c>
      <c r="E33" s="76">
        <f t="shared" si="6"/>
        <v>605392.1113</v>
      </c>
      <c r="F33" s="11">
        <f t="shared" si="7"/>
        <v>363235.2668</v>
      </c>
      <c r="G33" s="11">
        <f t="shared" si="8"/>
        <v>4237744.779</v>
      </c>
      <c r="H33" s="11">
        <f t="shared" si="9"/>
        <v>968627.378</v>
      </c>
      <c r="I33" s="11">
        <f t="shared" si="10"/>
        <v>27242.64501</v>
      </c>
      <c r="J33" s="11">
        <f t="shared" si="11"/>
        <v>3650514.431</v>
      </c>
    </row>
    <row r="34">
      <c r="A34" s="70" t="s">
        <v>417</v>
      </c>
      <c r="B34" s="11">
        <f t="shared" si="3"/>
        <v>3</v>
      </c>
      <c r="C34" s="66">
        <f t="shared" si="4"/>
        <v>0.03260869565</v>
      </c>
      <c r="D34" s="11">
        <f t="shared" si="5"/>
        <v>454044.0834</v>
      </c>
      <c r="E34" s="76">
        <f t="shared" si="6"/>
        <v>227022.0417</v>
      </c>
      <c r="F34" s="11">
        <f t="shared" si="7"/>
        <v>136213.225</v>
      </c>
      <c r="G34" s="11">
        <f t="shared" si="8"/>
        <v>1589154.292</v>
      </c>
      <c r="H34" s="11">
        <f t="shared" si="9"/>
        <v>363235.2668</v>
      </c>
      <c r="I34" s="11">
        <f t="shared" si="10"/>
        <v>10215.99188</v>
      </c>
      <c r="J34" s="11">
        <f t="shared" si="11"/>
        <v>1368942.912</v>
      </c>
    </row>
    <row r="35">
      <c r="A35" s="70" t="s">
        <v>418</v>
      </c>
      <c r="B35" s="11">
        <f t="shared" si="3"/>
        <v>9</v>
      </c>
      <c r="C35" s="66">
        <f t="shared" si="4"/>
        <v>0.09782608696</v>
      </c>
      <c r="D35" s="11">
        <f t="shared" si="5"/>
        <v>1362132.25</v>
      </c>
      <c r="E35" s="76">
        <f t="shared" si="6"/>
        <v>681066.1252</v>
      </c>
      <c r="F35" s="11">
        <f t="shared" si="7"/>
        <v>408639.6751</v>
      </c>
      <c r="G35" s="11">
        <f t="shared" si="8"/>
        <v>4767462.876</v>
      </c>
      <c r="H35" s="11">
        <f t="shared" si="9"/>
        <v>1089705.8</v>
      </c>
      <c r="I35" s="11">
        <f t="shared" si="10"/>
        <v>30647.97563</v>
      </c>
      <c r="J35" s="11">
        <f t="shared" si="11"/>
        <v>4106828.735</v>
      </c>
    </row>
    <row r="36">
      <c r="A36" s="70" t="s">
        <v>419</v>
      </c>
      <c r="B36" s="11">
        <f t="shared" si="3"/>
        <v>10</v>
      </c>
      <c r="C36" s="66">
        <f t="shared" si="4"/>
        <v>0.1086956522</v>
      </c>
      <c r="D36" s="11">
        <f t="shared" si="5"/>
        <v>1513480.278</v>
      </c>
      <c r="E36" s="76">
        <f t="shared" si="6"/>
        <v>756740.1391</v>
      </c>
      <c r="F36" s="11">
        <f t="shared" si="7"/>
        <v>454044.0834</v>
      </c>
      <c r="G36" s="11">
        <f t="shared" si="8"/>
        <v>5297180.973</v>
      </c>
      <c r="H36" s="11">
        <f t="shared" si="9"/>
        <v>1210784.223</v>
      </c>
      <c r="I36" s="11">
        <f t="shared" si="10"/>
        <v>34053.30626</v>
      </c>
      <c r="J36" s="11">
        <f t="shared" si="11"/>
        <v>4563143.039</v>
      </c>
    </row>
    <row r="37">
      <c r="A37" s="70" t="s">
        <v>422</v>
      </c>
      <c r="B37" s="11">
        <f t="shared" si="3"/>
        <v>8</v>
      </c>
      <c r="C37" s="66">
        <f t="shared" si="4"/>
        <v>0.08695652174</v>
      </c>
      <c r="D37" s="11">
        <f t="shared" si="5"/>
        <v>1210784.223</v>
      </c>
      <c r="E37" s="76">
        <f t="shared" si="6"/>
        <v>605392.1113</v>
      </c>
      <c r="F37" s="11">
        <f t="shared" si="7"/>
        <v>363235.2668</v>
      </c>
      <c r="G37" s="11">
        <f t="shared" si="8"/>
        <v>4237744.779</v>
      </c>
      <c r="H37" s="11">
        <f t="shared" si="9"/>
        <v>968627.378</v>
      </c>
      <c r="I37" s="11">
        <f t="shared" si="10"/>
        <v>27242.64501</v>
      </c>
      <c r="J37" s="11">
        <f t="shared" si="11"/>
        <v>3650514.431</v>
      </c>
    </row>
    <row r="38">
      <c r="A38" s="70" t="s">
        <v>423</v>
      </c>
      <c r="B38" s="11">
        <f t="shared" si="3"/>
        <v>5</v>
      </c>
      <c r="C38" s="66">
        <f t="shared" si="4"/>
        <v>0.05434782609</v>
      </c>
      <c r="D38" s="11">
        <f t="shared" si="5"/>
        <v>756740.1391</v>
      </c>
      <c r="E38" s="76">
        <f t="shared" si="6"/>
        <v>378370.0695</v>
      </c>
      <c r="F38" s="11">
        <f t="shared" si="7"/>
        <v>227022.0417</v>
      </c>
      <c r="G38" s="11">
        <f t="shared" si="8"/>
        <v>2648590.487</v>
      </c>
      <c r="H38" s="11">
        <f t="shared" si="9"/>
        <v>605392.1113</v>
      </c>
      <c r="I38" s="11">
        <f t="shared" si="10"/>
        <v>17026.65313</v>
      </c>
      <c r="J38" s="11">
        <f t="shared" si="11"/>
        <v>2281571.519</v>
      </c>
    </row>
    <row r="39">
      <c r="A39" s="70" t="s">
        <v>424</v>
      </c>
      <c r="B39" s="11">
        <f t="shared" si="3"/>
        <v>6</v>
      </c>
      <c r="C39" s="66">
        <f t="shared" si="4"/>
        <v>0.0652173913</v>
      </c>
      <c r="D39" s="11">
        <f t="shared" si="5"/>
        <v>908088.1669</v>
      </c>
      <c r="E39" s="76">
        <f t="shared" si="6"/>
        <v>454044.0834</v>
      </c>
      <c r="F39" s="11">
        <f t="shared" si="7"/>
        <v>272426.4501</v>
      </c>
      <c r="G39" s="11">
        <f t="shared" si="8"/>
        <v>3178308.584</v>
      </c>
      <c r="H39" s="11">
        <f t="shared" si="9"/>
        <v>726470.5335</v>
      </c>
      <c r="I39" s="11">
        <f t="shared" si="10"/>
        <v>20431.98375</v>
      </c>
      <c r="J39" s="11">
        <f t="shared" si="11"/>
        <v>2737885.823</v>
      </c>
    </row>
    <row r="40">
      <c r="A40" s="70" t="s">
        <v>427</v>
      </c>
      <c r="B40" s="11">
        <f t="shared" si="3"/>
        <v>5</v>
      </c>
      <c r="C40" s="66">
        <f t="shared" si="4"/>
        <v>0.05434782609</v>
      </c>
      <c r="D40" s="11">
        <f t="shared" si="5"/>
        <v>756740.1391</v>
      </c>
      <c r="E40" s="76">
        <f t="shared" si="6"/>
        <v>378370.0695</v>
      </c>
      <c r="F40" s="11">
        <f t="shared" si="7"/>
        <v>227022.0417</v>
      </c>
      <c r="G40" s="11">
        <f t="shared" si="8"/>
        <v>2648590.487</v>
      </c>
      <c r="H40" s="11">
        <f t="shared" si="9"/>
        <v>605392.1113</v>
      </c>
      <c r="I40" s="11">
        <f t="shared" si="10"/>
        <v>17026.65313</v>
      </c>
      <c r="J40" s="11">
        <f t="shared" si="11"/>
        <v>2281571.519</v>
      </c>
    </row>
    <row r="41">
      <c r="A41" s="70" t="s">
        <v>430</v>
      </c>
      <c r="B41" s="11">
        <f t="shared" si="3"/>
        <v>1</v>
      </c>
      <c r="C41" s="66">
        <f t="shared" si="4"/>
        <v>0.01086956522</v>
      </c>
      <c r="D41" s="11">
        <f t="shared" si="5"/>
        <v>151348.0278</v>
      </c>
      <c r="E41" s="76">
        <f t="shared" si="6"/>
        <v>75674.01391</v>
      </c>
      <c r="F41" s="11">
        <f t="shared" si="7"/>
        <v>45404.40834</v>
      </c>
      <c r="G41" s="11">
        <f t="shared" si="8"/>
        <v>529718.0973</v>
      </c>
      <c r="H41" s="11">
        <f t="shared" si="9"/>
        <v>121078.4223</v>
      </c>
      <c r="I41" s="11">
        <f t="shared" si="10"/>
        <v>3405.330626</v>
      </c>
      <c r="J41" s="11">
        <f t="shared" si="11"/>
        <v>456314.3039</v>
      </c>
    </row>
    <row r="42">
      <c r="A42" s="70" t="s">
        <v>433</v>
      </c>
      <c r="B42" s="11">
        <f t="shared" si="3"/>
        <v>2</v>
      </c>
      <c r="C42" s="66">
        <f t="shared" si="4"/>
        <v>0.02173913043</v>
      </c>
      <c r="D42" s="11">
        <f t="shared" si="5"/>
        <v>302696.0556</v>
      </c>
      <c r="E42" s="76">
        <f t="shared" si="6"/>
        <v>151348.0278</v>
      </c>
      <c r="F42" s="11">
        <f t="shared" si="7"/>
        <v>90808.81669</v>
      </c>
      <c r="G42" s="11">
        <f t="shared" si="8"/>
        <v>1059436.195</v>
      </c>
      <c r="H42" s="11">
        <f t="shared" si="9"/>
        <v>242156.8445</v>
      </c>
      <c r="I42" s="11">
        <f t="shared" si="10"/>
        <v>6810.661252</v>
      </c>
      <c r="J42" s="11">
        <f t="shared" si="11"/>
        <v>912628.6077</v>
      </c>
    </row>
    <row r="43">
      <c r="A43" s="70" t="s">
        <v>434</v>
      </c>
      <c r="B43" s="11">
        <f t="shared" si="3"/>
        <v>4</v>
      </c>
      <c r="C43" s="66">
        <f t="shared" si="4"/>
        <v>0.04347826087</v>
      </c>
      <c r="D43" s="11">
        <f t="shared" si="5"/>
        <v>605392.1113</v>
      </c>
      <c r="E43" s="76">
        <f t="shared" si="6"/>
        <v>302696.0556</v>
      </c>
      <c r="F43" s="11">
        <f t="shared" si="7"/>
        <v>181617.6334</v>
      </c>
      <c r="G43" s="11">
        <f t="shared" si="8"/>
        <v>2118872.389</v>
      </c>
      <c r="H43" s="11">
        <f t="shared" si="9"/>
        <v>484313.689</v>
      </c>
      <c r="I43" s="11">
        <f t="shared" si="10"/>
        <v>13621.3225</v>
      </c>
      <c r="J43" s="11">
        <f t="shared" si="11"/>
        <v>1825257.215</v>
      </c>
    </row>
    <row r="44">
      <c r="A44" s="70" t="s">
        <v>436</v>
      </c>
      <c r="B44" s="11">
        <f t="shared" si="3"/>
        <v>6</v>
      </c>
      <c r="C44" s="66">
        <f t="shared" si="4"/>
        <v>0.0652173913</v>
      </c>
      <c r="D44" s="11">
        <f t="shared" si="5"/>
        <v>908088.1669</v>
      </c>
      <c r="E44" s="76">
        <f t="shared" si="6"/>
        <v>454044.0834</v>
      </c>
      <c r="F44" s="11">
        <f t="shared" si="7"/>
        <v>272426.4501</v>
      </c>
      <c r="G44" s="11">
        <f t="shared" si="8"/>
        <v>3178308.584</v>
      </c>
      <c r="H44" s="11">
        <f t="shared" si="9"/>
        <v>726470.5335</v>
      </c>
      <c r="I44" s="11">
        <f t="shared" si="10"/>
        <v>20431.98375</v>
      </c>
      <c r="J44" s="11">
        <f t="shared" si="11"/>
        <v>2737885.823</v>
      </c>
    </row>
    <row r="45">
      <c r="A45" s="70" t="s">
        <v>437</v>
      </c>
      <c r="B45" s="11">
        <f t="shared" si="3"/>
        <v>7</v>
      </c>
      <c r="C45" s="66">
        <f t="shared" si="4"/>
        <v>0.07608695652</v>
      </c>
      <c r="D45" s="11">
        <f t="shared" si="5"/>
        <v>1059436.195</v>
      </c>
      <c r="E45" s="76">
        <f t="shared" si="6"/>
        <v>529718.0973</v>
      </c>
      <c r="F45" s="11">
        <f t="shared" si="7"/>
        <v>317830.8584</v>
      </c>
      <c r="G45" s="11">
        <f t="shared" si="8"/>
        <v>3708026.681</v>
      </c>
      <c r="H45" s="11">
        <f t="shared" si="9"/>
        <v>847548.9558</v>
      </c>
      <c r="I45" s="11">
        <f t="shared" si="10"/>
        <v>23837.31438</v>
      </c>
      <c r="J45" s="11">
        <f t="shared" si="11"/>
        <v>3194200.127</v>
      </c>
    </row>
    <row r="46">
      <c r="A46" s="70" t="s">
        <v>440</v>
      </c>
      <c r="B46" s="11">
        <f t="shared" si="3"/>
        <v>4</v>
      </c>
      <c r="C46" s="66">
        <f t="shared" si="4"/>
        <v>0.04347826087</v>
      </c>
      <c r="D46" s="11">
        <f t="shared" si="5"/>
        <v>605392.1113</v>
      </c>
      <c r="E46" s="76">
        <f t="shared" si="6"/>
        <v>302696.0556</v>
      </c>
      <c r="F46" s="11">
        <f t="shared" si="7"/>
        <v>181617.6334</v>
      </c>
      <c r="G46" s="11">
        <f t="shared" si="8"/>
        <v>2118872.389</v>
      </c>
      <c r="H46" s="11">
        <f t="shared" si="9"/>
        <v>484313.689</v>
      </c>
      <c r="I46" s="11">
        <f t="shared" si="10"/>
        <v>13621.3225</v>
      </c>
      <c r="J46" s="11">
        <f t="shared" si="11"/>
        <v>1825257.215</v>
      </c>
    </row>
    <row r="47">
      <c r="A47" s="70" t="s">
        <v>447</v>
      </c>
      <c r="B47" s="11">
        <f t="shared" si="3"/>
        <v>7</v>
      </c>
      <c r="C47" s="66">
        <f t="shared" si="4"/>
        <v>0.07608695652</v>
      </c>
      <c r="D47" s="11">
        <f t="shared" si="5"/>
        <v>1059436.195</v>
      </c>
      <c r="E47" s="76">
        <f t="shared" si="6"/>
        <v>529718.0973</v>
      </c>
      <c r="F47" s="11">
        <f t="shared" si="7"/>
        <v>317830.8584</v>
      </c>
      <c r="G47" s="11">
        <f t="shared" si="8"/>
        <v>3708026.681</v>
      </c>
      <c r="H47" s="11">
        <f t="shared" si="9"/>
        <v>847548.9558</v>
      </c>
      <c r="I47" s="11">
        <f t="shared" si="10"/>
        <v>23837.31438</v>
      </c>
      <c r="J47" s="11">
        <f t="shared" si="11"/>
        <v>3194200.127</v>
      </c>
    </row>
    <row r="48">
      <c r="C48" s="66"/>
    </row>
    <row r="49">
      <c r="A49" s="77" t="s">
        <v>488</v>
      </c>
    </row>
    <row r="50">
      <c r="A50" s="78" t="s">
        <v>27</v>
      </c>
      <c r="L50" s="78" t="s">
        <v>35</v>
      </c>
    </row>
    <row r="51">
      <c r="D51" s="3">
        <v>1.5</v>
      </c>
      <c r="E51" s="3">
        <v>1.2</v>
      </c>
      <c r="F51" s="3">
        <v>2.0</v>
      </c>
      <c r="G51" s="3">
        <v>1.4</v>
      </c>
      <c r="H51" s="3">
        <v>1.1</v>
      </c>
      <c r="I51" s="3">
        <v>2.5</v>
      </c>
      <c r="J51" s="3">
        <v>2.3</v>
      </c>
      <c r="O51" s="3">
        <v>1.5</v>
      </c>
      <c r="P51" s="3">
        <v>1.2</v>
      </c>
      <c r="Q51" s="3">
        <v>2.0</v>
      </c>
      <c r="R51" s="3">
        <v>1.4</v>
      </c>
      <c r="S51" s="3">
        <v>1.1</v>
      </c>
      <c r="T51" s="3">
        <v>2.5</v>
      </c>
      <c r="U51" s="3">
        <v>2.3</v>
      </c>
    </row>
    <row r="52">
      <c r="A52" s="4" t="s">
        <v>0</v>
      </c>
      <c r="B52" s="6">
        <v>60.0</v>
      </c>
      <c r="C52" s="79">
        <v>1.0</v>
      </c>
      <c r="D52" s="6">
        <v>8.354411135277572E7</v>
      </c>
      <c r="E52" s="6">
        <v>8.354411135277574E7</v>
      </c>
      <c r="F52" s="6">
        <v>1.6708822270555145E8</v>
      </c>
      <c r="G52" s="6">
        <v>1.3645538187620038E8</v>
      </c>
      <c r="H52" s="6">
        <v>1.225313633174044E8</v>
      </c>
      <c r="I52" s="6">
        <v>3.13290417572909E8</v>
      </c>
      <c r="J52" s="6">
        <v>2.8822718416707623E8</v>
      </c>
      <c r="L52" s="4" t="s">
        <v>0</v>
      </c>
      <c r="M52" s="6">
        <v>65.0</v>
      </c>
      <c r="N52" s="79">
        <v>1.0</v>
      </c>
      <c r="O52" s="6">
        <v>8.354411135277572E7</v>
      </c>
      <c r="P52" s="6">
        <v>8.354411135277574E7</v>
      </c>
      <c r="Q52" s="6">
        <v>1.6708822270555145E8</v>
      </c>
      <c r="R52" s="6">
        <v>1.3645538187620038E8</v>
      </c>
      <c r="S52" s="6">
        <v>1.225313633174044E8</v>
      </c>
      <c r="T52" s="6">
        <v>3.13290417572909E8</v>
      </c>
      <c r="U52" s="6">
        <v>2.8822718416707623E8</v>
      </c>
    </row>
    <row r="53">
      <c r="A53" s="4" t="s">
        <v>177</v>
      </c>
      <c r="B53" s="6">
        <v>4.0</v>
      </c>
      <c r="C53" s="79">
        <v>0.06666666666666667</v>
      </c>
      <c r="D53" s="6">
        <v>5569607.423518381</v>
      </c>
      <c r="E53" s="6">
        <v>5569607.423518382</v>
      </c>
      <c r="F53" s="6">
        <v>1.1139214847036762E7</v>
      </c>
      <c r="G53" s="6">
        <v>9097025.458413359</v>
      </c>
      <c r="H53" s="6">
        <v>8168757.554493627</v>
      </c>
      <c r="I53" s="6">
        <v>2.0886027838193934E7</v>
      </c>
      <c r="J53" s="6">
        <v>1.9215145611138415E7</v>
      </c>
      <c r="L53" s="4" t="s">
        <v>202</v>
      </c>
      <c r="M53" s="6">
        <v>5.0</v>
      </c>
      <c r="N53" s="79">
        <v>0.07692307692307693</v>
      </c>
      <c r="O53" s="6">
        <v>6426470.104059671</v>
      </c>
      <c r="P53" s="6">
        <v>6426470.104059673</v>
      </c>
      <c r="Q53" s="6">
        <v>1.2852940208119342E7</v>
      </c>
      <c r="R53" s="6">
        <v>1.0496567836630799E7</v>
      </c>
      <c r="S53" s="6">
        <v>9425489.485954186</v>
      </c>
      <c r="T53" s="6">
        <v>2.409926289022377E7</v>
      </c>
      <c r="U53" s="6">
        <v>2.2171321859005865E7</v>
      </c>
    </row>
    <row r="54">
      <c r="A54" s="4" t="s">
        <v>180</v>
      </c>
      <c r="B54" s="6">
        <v>10.0</v>
      </c>
      <c r="C54" s="79">
        <v>0.16666666666666666</v>
      </c>
      <c r="D54" s="6">
        <v>1.3924018558795953E7</v>
      </c>
      <c r="E54" s="6">
        <v>1.3924018558795955E7</v>
      </c>
      <c r="F54" s="6">
        <v>2.7848037117591906E7</v>
      </c>
      <c r="G54" s="6">
        <v>2.2742563646033395E7</v>
      </c>
      <c r="H54" s="6">
        <v>2.0421893886234067E7</v>
      </c>
      <c r="I54" s="6">
        <v>5.221506959548483E7</v>
      </c>
      <c r="J54" s="6">
        <v>4.803786402784604E7</v>
      </c>
      <c r="L54" s="4" t="s">
        <v>206</v>
      </c>
      <c r="M54" s="6">
        <v>3.0</v>
      </c>
      <c r="N54" s="79">
        <v>0.046153846153846156</v>
      </c>
      <c r="O54" s="6">
        <v>3855882.062435803</v>
      </c>
      <c r="P54" s="6">
        <v>3855882.0624358035</v>
      </c>
      <c r="Q54" s="6">
        <v>7711764.124871606</v>
      </c>
      <c r="R54" s="6">
        <v>6297940.7019784795</v>
      </c>
      <c r="S54" s="6">
        <v>5655293.691572512</v>
      </c>
      <c r="T54" s="6">
        <v>1.4459557734134262E7</v>
      </c>
      <c r="U54" s="6">
        <v>1.330279311540352E7</v>
      </c>
    </row>
    <row r="55">
      <c r="A55" s="4" t="s">
        <v>181</v>
      </c>
      <c r="B55" s="6">
        <v>4.0</v>
      </c>
      <c r="C55" s="79">
        <v>0.06666666666666667</v>
      </c>
      <c r="D55" s="6">
        <v>5569607.423518381</v>
      </c>
      <c r="E55" s="6">
        <v>5569607.423518382</v>
      </c>
      <c r="F55" s="6">
        <v>1.1139214847036762E7</v>
      </c>
      <c r="G55" s="6">
        <v>9097025.458413359</v>
      </c>
      <c r="H55" s="6">
        <v>8168757.554493627</v>
      </c>
      <c r="I55" s="6">
        <v>2.0886027838193934E7</v>
      </c>
      <c r="J55" s="6">
        <v>1.9215145611138415E7</v>
      </c>
      <c r="L55" s="4" t="s">
        <v>207</v>
      </c>
      <c r="M55" s="6">
        <v>6.0</v>
      </c>
      <c r="N55" s="79">
        <v>0.09230769230769231</v>
      </c>
      <c r="O55" s="6">
        <v>7711764.124871606</v>
      </c>
      <c r="P55" s="6">
        <v>7711764.124871607</v>
      </c>
      <c r="Q55" s="6">
        <v>1.5423528249743212E7</v>
      </c>
      <c r="R55" s="6">
        <v>1.2595881403956959E7</v>
      </c>
      <c r="S55" s="6">
        <v>1.1310587383145023E7</v>
      </c>
      <c r="T55" s="6">
        <v>2.8919115468268525E7</v>
      </c>
      <c r="U55" s="6">
        <v>2.660558623080704E7</v>
      </c>
    </row>
    <row r="56">
      <c r="A56" s="4" t="s">
        <v>182</v>
      </c>
      <c r="B56" s="6">
        <v>1.0</v>
      </c>
      <c r="C56" s="79">
        <v>0.016666666666666666</v>
      </c>
      <c r="D56" s="6">
        <v>1392401.8558795953</v>
      </c>
      <c r="E56" s="6">
        <v>1392401.8558795955</v>
      </c>
      <c r="F56" s="6">
        <v>2784803.7117591905</v>
      </c>
      <c r="G56" s="6">
        <v>2274256.3646033397</v>
      </c>
      <c r="H56" s="6">
        <v>2042189.3886234066</v>
      </c>
      <c r="I56" s="6">
        <v>5221506.959548484</v>
      </c>
      <c r="J56" s="6">
        <v>4803786.402784604</v>
      </c>
      <c r="L56" s="4" t="s">
        <v>208</v>
      </c>
      <c r="M56" s="6">
        <v>3.0</v>
      </c>
      <c r="N56" s="79">
        <v>0.046153846153846156</v>
      </c>
      <c r="O56" s="6">
        <v>3855882.062435803</v>
      </c>
      <c r="P56" s="6">
        <v>3855882.0624358035</v>
      </c>
      <c r="Q56" s="6">
        <v>7711764.124871606</v>
      </c>
      <c r="R56" s="6">
        <v>6297940.7019784795</v>
      </c>
      <c r="S56" s="6">
        <v>5655293.691572512</v>
      </c>
      <c r="T56" s="6">
        <v>1.4459557734134262E7</v>
      </c>
      <c r="U56" s="6">
        <v>1.330279311540352E7</v>
      </c>
    </row>
    <row r="57">
      <c r="A57" s="4" t="s">
        <v>183</v>
      </c>
      <c r="B57" s="6">
        <v>9.0</v>
      </c>
      <c r="C57" s="79">
        <v>0.15</v>
      </c>
      <c r="D57" s="6">
        <v>1.2531616702916358E7</v>
      </c>
      <c r="E57" s="6">
        <v>1.253161670291636E7</v>
      </c>
      <c r="F57" s="6">
        <v>2.5063233405832715E7</v>
      </c>
      <c r="G57" s="6">
        <v>2.0468307281430054E7</v>
      </c>
      <c r="H57" s="6">
        <v>1.837970449761066E7</v>
      </c>
      <c r="I57" s="6">
        <v>4.699356263593635E7</v>
      </c>
      <c r="J57" s="6">
        <v>4.323407762506143E7</v>
      </c>
      <c r="L57" s="4" t="s">
        <v>209</v>
      </c>
      <c r="M57" s="6">
        <v>10.0</v>
      </c>
      <c r="N57" s="79">
        <v>0.15384615384615385</v>
      </c>
      <c r="O57" s="6">
        <v>1.2852940208119342E7</v>
      </c>
      <c r="P57" s="6">
        <v>1.2852940208119346E7</v>
      </c>
      <c r="Q57" s="6">
        <v>2.5705880416238684E7</v>
      </c>
      <c r="R57" s="6">
        <v>2.0993135673261598E7</v>
      </c>
      <c r="S57" s="6">
        <v>1.8850978971908372E7</v>
      </c>
      <c r="T57" s="6">
        <v>4.819852578044754E7</v>
      </c>
      <c r="U57" s="6">
        <v>4.434264371801173E7</v>
      </c>
    </row>
    <row r="58">
      <c r="A58" s="4" t="s">
        <v>189</v>
      </c>
      <c r="B58" s="6">
        <v>1.0</v>
      </c>
      <c r="C58" s="79">
        <v>0.016666666666666666</v>
      </c>
      <c r="D58" s="6">
        <v>1392401.8558795953</v>
      </c>
      <c r="E58" s="6">
        <v>1392401.8558795955</v>
      </c>
      <c r="F58" s="6">
        <v>2784803.7117591905</v>
      </c>
      <c r="G58" s="6">
        <v>2274256.3646033397</v>
      </c>
      <c r="H58" s="6">
        <v>2042189.3886234066</v>
      </c>
      <c r="I58" s="6">
        <v>5221506.959548484</v>
      </c>
      <c r="J58" s="6">
        <v>4803786.402784604</v>
      </c>
      <c r="L58" s="4" t="s">
        <v>210</v>
      </c>
      <c r="M58" s="6">
        <v>4.0</v>
      </c>
      <c r="N58" s="79">
        <v>0.06153846153846154</v>
      </c>
      <c r="O58" s="6">
        <v>5141176.083247737</v>
      </c>
      <c r="P58" s="6">
        <v>5141176.083247738</v>
      </c>
      <c r="Q58" s="6">
        <v>1.0282352166495474E7</v>
      </c>
      <c r="R58" s="6">
        <v>8397254.269304639</v>
      </c>
      <c r="S58" s="6">
        <v>7540391.588763349</v>
      </c>
      <c r="T58" s="6">
        <v>1.9279410312179018E7</v>
      </c>
      <c r="U58" s="6">
        <v>1.7737057487204693E7</v>
      </c>
    </row>
    <row r="59">
      <c r="A59" s="4" t="s">
        <v>190</v>
      </c>
      <c r="B59" s="6">
        <v>7.0</v>
      </c>
      <c r="C59" s="79">
        <v>0.11666666666666667</v>
      </c>
      <c r="D59" s="6">
        <v>9746812.991157169</v>
      </c>
      <c r="E59" s="6">
        <v>9746812.99115717</v>
      </c>
      <c r="F59" s="6">
        <v>1.9493625982314337E7</v>
      </c>
      <c r="G59" s="6">
        <v>1.5919794552223377E7</v>
      </c>
      <c r="H59" s="6">
        <v>1.4295325720363848E7</v>
      </c>
      <c r="I59" s="6">
        <v>3.655054871683938E7</v>
      </c>
      <c r="J59" s="6">
        <v>3.362650481949223E7</v>
      </c>
      <c r="L59" s="4" t="s">
        <v>213</v>
      </c>
      <c r="M59" s="6">
        <v>5.0</v>
      </c>
      <c r="N59" s="79">
        <v>0.07692307692307693</v>
      </c>
      <c r="O59" s="6">
        <v>6426470.104059671</v>
      </c>
      <c r="P59" s="6">
        <v>6426470.104059673</v>
      </c>
      <c r="Q59" s="6">
        <v>1.2852940208119342E7</v>
      </c>
      <c r="R59" s="6">
        <v>1.0496567836630799E7</v>
      </c>
      <c r="S59" s="6">
        <v>9425489.485954186</v>
      </c>
      <c r="T59" s="6">
        <v>2.409926289022377E7</v>
      </c>
      <c r="U59" s="6">
        <v>2.2171321859005865E7</v>
      </c>
    </row>
    <row r="60">
      <c r="A60" s="4" t="s">
        <v>191</v>
      </c>
      <c r="B60" s="6">
        <v>6.0</v>
      </c>
      <c r="C60" s="79">
        <v>0.1</v>
      </c>
      <c r="D60" s="6">
        <v>8354411.135277573</v>
      </c>
      <c r="E60" s="6">
        <v>8354411.135277574</v>
      </c>
      <c r="F60" s="6">
        <v>1.6708822270555146E7</v>
      </c>
      <c r="G60" s="6">
        <v>1.3645538187620038E7</v>
      </c>
      <c r="H60" s="6">
        <v>1.225313633174044E7</v>
      </c>
      <c r="I60" s="6">
        <v>3.13290417572909E7</v>
      </c>
      <c r="J60" s="6">
        <v>2.8822718416707624E7</v>
      </c>
      <c r="L60" s="4" t="s">
        <v>217</v>
      </c>
      <c r="M60" s="6">
        <v>5.0</v>
      </c>
      <c r="N60" s="79">
        <v>0.07692307692307693</v>
      </c>
      <c r="O60" s="6">
        <v>6426470.104059671</v>
      </c>
      <c r="P60" s="6">
        <v>6426470.104059673</v>
      </c>
      <c r="Q60" s="6">
        <v>1.2852940208119342E7</v>
      </c>
      <c r="R60" s="6">
        <v>1.0496567836630799E7</v>
      </c>
      <c r="S60" s="6">
        <v>9425489.485954186</v>
      </c>
      <c r="T60" s="6">
        <v>2.409926289022377E7</v>
      </c>
      <c r="U60" s="6">
        <v>2.2171321859005865E7</v>
      </c>
    </row>
    <row r="61">
      <c r="A61" s="4" t="s">
        <v>194</v>
      </c>
      <c r="B61" s="6">
        <v>7.0</v>
      </c>
      <c r="C61" s="79">
        <v>0.11666666666666667</v>
      </c>
      <c r="D61" s="6">
        <v>9746812.991157169</v>
      </c>
      <c r="E61" s="6">
        <v>9746812.99115717</v>
      </c>
      <c r="F61" s="6">
        <v>1.9493625982314337E7</v>
      </c>
      <c r="G61" s="6">
        <v>1.5919794552223377E7</v>
      </c>
      <c r="H61" s="6">
        <v>1.4295325720363848E7</v>
      </c>
      <c r="I61" s="6">
        <v>3.655054871683938E7</v>
      </c>
      <c r="J61" s="6">
        <v>3.362650481949223E7</v>
      </c>
      <c r="L61" s="4" t="s">
        <v>218</v>
      </c>
      <c r="M61" s="6">
        <v>7.0</v>
      </c>
      <c r="N61" s="79">
        <v>0.1076923076923077</v>
      </c>
      <c r="O61" s="6">
        <v>8997058.14568354</v>
      </c>
      <c r="P61" s="6">
        <v>8997058.145683542</v>
      </c>
      <c r="Q61" s="6">
        <v>1.799411629136708E7</v>
      </c>
      <c r="R61" s="6">
        <v>1.469519497128312E7</v>
      </c>
      <c r="S61" s="6">
        <v>1.319568528033586E7</v>
      </c>
      <c r="T61" s="6">
        <v>3.373896804631328E7</v>
      </c>
      <c r="U61" s="6">
        <v>3.103985060260821E7</v>
      </c>
    </row>
    <row r="62">
      <c r="A62" s="4" t="s">
        <v>198</v>
      </c>
      <c r="B62" s="6">
        <v>0.0</v>
      </c>
      <c r="C62" s="79">
        <v>0.0</v>
      </c>
      <c r="D62" s="6">
        <v>0.0</v>
      </c>
      <c r="E62" s="6">
        <v>0.0</v>
      </c>
      <c r="F62" s="6">
        <v>0.0</v>
      </c>
      <c r="G62" s="6">
        <v>0.0</v>
      </c>
      <c r="H62" s="6">
        <v>0.0</v>
      </c>
      <c r="I62" s="6">
        <v>0.0</v>
      </c>
      <c r="J62" s="6">
        <v>0.0</v>
      </c>
      <c r="L62" s="4" t="s">
        <v>219</v>
      </c>
      <c r="M62" s="6">
        <v>1.0</v>
      </c>
      <c r="N62" s="79">
        <v>0.015384615384615385</v>
      </c>
      <c r="O62" s="6">
        <v>1285294.0208119343</v>
      </c>
      <c r="P62" s="6">
        <v>1285294.0208119345</v>
      </c>
      <c r="Q62" s="6">
        <v>2570588.0416238685</v>
      </c>
      <c r="R62" s="6">
        <v>2099313.5673261597</v>
      </c>
      <c r="S62" s="6">
        <v>1885097.8971908372</v>
      </c>
      <c r="T62" s="6">
        <v>4819852.578044754</v>
      </c>
      <c r="U62" s="6">
        <v>4434264.371801173</v>
      </c>
    </row>
    <row r="63">
      <c r="A63" s="4" t="s">
        <v>199</v>
      </c>
      <c r="B63" s="6">
        <v>9.0</v>
      </c>
      <c r="C63" s="79">
        <v>0.15</v>
      </c>
      <c r="D63" s="6">
        <v>1.2531616702916358E7</v>
      </c>
      <c r="E63" s="6">
        <v>1.253161670291636E7</v>
      </c>
      <c r="F63" s="6">
        <v>2.5063233405832715E7</v>
      </c>
      <c r="G63" s="6">
        <v>2.0468307281430054E7</v>
      </c>
      <c r="H63" s="6">
        <v>1.837970449761066E7</v>
      </c>
      <c r="I63" s="6">
        <v>4.699356263593635E7</v>
      </c>
      <c r="J63" s="6">
        <v>4.323407762506143E7</v>
      </c>
      <c r="L63" s="4" t="s">
        <v>222</v>
      </c>
      <c r="M63" s="6">
        <v>3.0</v>
      </c>
      <c r="N63" s="79">
        <v>0.046153846153846156</v>
      </c>
      <c r="O63" s="6">
        <v>3855882.062435803</v>
      </c>
      <c r="P63" s="6">
        <v>3855882.0624358035</v>
      </c>
      <c r="Q63" s="6">
        <v>7711764.124871606</v>
      </c>
      <c r="R63" s="6">
        <v>6297940.7019784795</v>
      </c>
      <c r="S63" s="6">
        <v>5655293.691572512</v>
      </c>
      <c r="T63" s="6">
        <v>1.4459557734134262E7</v>
      </c>
      <c r="U63" s="6">
        <v>1.330279311540352E7</v>
      </c>
    </row>
    <row r="64">
      <c r="A64" s="4" t="s">
        <v>200</v>
      </c>
      <c r="B64" s="6">
        <v>2.0</v>
      </c>
      <c r="C64" s="79">
        <v>0.03333333333333333</v>
      </c>
      <c r="D64" s="6">
        <v>2784803.7117591905</v>
      </c>
      <c r="E64" s="6">
        <v>2784803.711759191</v>
      </c>
      <c r="F64" s="6">
        <v>5569607.423518381</v>
      </c>
      <c r="G64" s="6">
        <v>4548512.729206679</v>
      </c>
      <c r="H64" s="6">
        <v>4084378.7772468133</v>
      </c>
      <c r="I64" s="6">
        <v>1.0443013919096967E7</v>
      </c>
      <c r="J64" s="6">
        <v>9607572.805569207</v>
      </c>
      <c r="L64" s="4" t="s">
        <v>228</v>
      </c>
      <c r="M64" s="6">
        <v>4.0</v>
      </c>
      <c r="N64" s="79">
        <v>0.06153846153846154</v>
      </c>
      <c r="O64" s="6">
        <v>5141176.083247737</v>
      </c>
      <c r="P64" s="6">
        <v>5141176.083247738</v>
      </c>
      <c r="Q64" s="6">
        <v>1.0282352166495474E7</v>
      </c>
      <c r="R64" s="6">
        <v>8397254.269304639</v>
      </c>
      <c r="S64" s="6">
        <v>7540391.588763349</v>
      </c>
      <c r="T64" s="6">
        <v>1.9279410312179018E7</v>
      </c>
      <c r="U64" s="6">
        <v>1.7737057487204693E7</v>
      </c>
    </row>
    <row r="65">
      <c r="A65" s="4" t="s">
        <v>201</v>
      </c>
      <c r="B65" s="6">
        <v>0.0</v>
      </c>
      <c r="C65" s="79">
        <v>0.0</v>
      </c>
      <c r="D65" s="6">
        <v>0.0</v>
      </c>
      <c r="E65" s="6">
        <v>0.0</v>
      </c>
      <c r="F65" s="6">
        <v>0.0</v>
      </c>
      <c r="G65" s="6">
        <v>0.0</v>
      </c>
      <c r="H65" s="6">
        <v>0.0</v>
      </c>
      <c r="I65" s="6">
        <v>0.0</v>
      </c>
      <c r="J65" s="6">
        <v>0.0</v>
      </c>
      <c r="L65" s="4" t="s">
        <v>231</v>
      </c>
      <c r="M65" s="6">
        <v>9.0</v>
      </c>
      <c r="N65" s="79">
        <v>0.13846153846153847</v>
      </c>
      <c r="O65" s="6">
        <v>1.1567646187307408E7</v>
      </c>
      <c r="P65" s="6">
        <v>1.156764618730741E7</v>
      </c>
      <c r="Q65" s="6">
        <v>2.3135292374614816E7</v>
      </c>
      <c r="R65" s="6">
        <v>1.889382210593544E7</v>
      </c>
      <c r="S65" s="6">
        <v>1.6965881074717533E7</v>
      </c>
      <c r="T65" s="6">
        <v>4.3378673202402785E7</v>
      </c>
      <c r="U65" s="6">
        <v>3.9908379346210554E7</v>
      </c>
    </row>
    <row r="66">
      <c r="L66" s="6" t="s">
        <v>233</v>
      </c>
      <c r="M66" s="6">
        <v>0.0</v>
      </c>
      <c r="N66" s="79">
        <v>0.0</v>
      </c>
      <c r="O66" s="6">
        <v>0.0</v>
      </c>
      <c r="P66" s="6">
        <v>0.0</v>
      </c>
      <c r="Q66" s="6">
        <v>0.0</v>
      </c>
      <c r="R66" s="6">
        <v>0.0</v>
      </c>
      <c r="S66" s="6">
        <v>0.0</v>
      </c>
      <c r="T66" s="6">
        <v>0.0</v>
      </c>
      <c r="U66" s="6">
        <v>0.0</v>
      </c>
    </row>
    <row r="69">
      <c r="A69" s="78" t="s">
        <v>43</v>
      </c>
      <c r="L69" s="78" t="s">
        <v>53</v>
      </c>
    </row>
    <row r="70">
      <c r="D70" s="11">
        <v>1.5</v>
      </c>
      <c r="E70" s="11">
        <v>1.2</v>
      </c>
      <c r="F70" s="11">
        <v>2.0</v>
      </c>
      <c r="G70" s="11">
        <v>1.4</v>
      </c>
      <c r="H70" s="11">
        <v>1.1</v>
      </c>
      <c r="I70" s="11">
        <v>2.5</v>
      </c>
      <c r="J70" s="11">
        <v>2.3</v>
      </c>
      <c r="O70" s="3">
        <v>1.5</v>
      </c>
      <c r="P70" s="3">
        <v>1.2</v>
      </c>
      <c r="Q70" s="3">
        <v>2.0</v>
      </c>
      <c r="R70" s="3">
        <v>1.4</v>
      </c>
      <c r="S70" s="3">
        <v>1.1</v>
      </c>
      <c r="T70" s="3">
        <v>2.5</v>
      </c>
      <c r="U70" s="3">
        <v>2.3</v>
      </c>
    </row>
    <row r="71">
      <c r="A71" s="4" t="s">
        <v>0</v>
      </c>
      <c r="B71" s="6">
        <v>73.0</v>
      </c>
      <c r="C71" s="79">
        <v>1.0</v>
      </c>
      <c r="D71" s="6">
        <v>8.354411135277572E7</v>
      </c>
      <c r="E71" s="6">
        <v>8.354411135277574E7</v>
      </c>
      <c r="F71" s="6">
        <v>1.6708822270555145E8</v>
      </c>
      <c r="G71" s="6">
        <v>1.3645538187620038E8</v>
      </c>
      <c r="H71" s="6">
        <v>1.225313633174044E8</v>
      </c>
      <c r="I71" s="6">
        <v>3.13290417572909E8</v>
      </c>
      <c r="J71" s="6">
        <v>2.8822718416707623E8</v>
      </c>
      <c r="L71" s="4" t="s">
        <v>0</v>
      </c>
      <c r="M71" s="6">
        <v>75.0</v>
      </c>
      <c r="N71" s="79">
        <v>0.9999999999999998</v>
      </c>
      <c r="O71" s="6">
        <v>8.354411135277572E7</v>
      </c>
      <c r="P71" s="6">
        <v>8.354411135277574E7</v>
      </c>
      <c r="Q71" s="6">
        <v>1.6708822270555145E8</v>
      </c>
      <c r="R71" s="6">
        <v>1.3645538187620038E8</v>
      </c>
      <c r="S71" s="6">
        <v>1.225313633174044E8</v>
      </c>
      <c r="T71" s="6">
        <v>3.13290417572909E8</v>
      </c>
      <c r="U71" s="6">
        <v>2.8822718416707623E8</v>
      </c>
    </row>
    <row r="72">
      <c r="A72" s="4" t="s">
        <v>234</v>
      </c>
      <c r="B72" s="6">
        <v>7.0</v>
      </c>
      <c r="C72" s="79">
        <v>0.0958904109589041</v>
      </c>
      <c r="D72" s="6">
        <v>8011079.17081411</v>
      </c>
      <c r="E72" s="6">
        <v>8011079.170814112</v>
      </c>
      <c r="F72" s="6">
        <v>1.602215834162822E7</v>
      </c>
      <c r="G72" s="6">
        <v>1.308476264566305E7</v>
      </c>
      <c r="H72" s="6">
        <v>1.1749582783860696E7</v>
      </c>
      <c r="I72" s="6">
        <v>3.0041546890552916E7</v>
      </c>
      <c r="J72" s="6">
        <v>2.763822313930868E7</v>
      </c>
      <c r="L72" s="4" t="s">
        <v>266</v>
      </c>
      <c r="M72" s="6">
        <v>5.0</v>
      </c>
      <c r="N72" s="79">
        <v>0.06666666666666667</v>
      </c>
      <c r="O72" s="6">
        <v>5569607.423518381</v>
      </c>
      <c r="P72" s="6">
        <v>5569607.423518382</v>
      </c>
      <c r="Q72" s="6">
        <v>1.1139214847036762E7</v>
      </c>
      <c r="R72" s="6">
        <v>9097025.458413359</v>
      </c>
      <c r="S72" s="6">
        <v>8168757.554493627</v>
      </c>
      <c r="T72" s="6">
        <v>2.0886027838193934E7</v>
      </c>
      <c r="U72" s="6">
        <v>1.9215145611138415E7</v>
      </c>
    </row>
    <row r="73">
      <c r="A73" s="4" t="s">
        <v>238</v>
      </c>
      <c r="B73" s="6">
        <v>3.0</v>
      </c>
      <c r="C73" s="79">
        <v>0.0410958904109589</v>
      </c>
      <c r="D73" s="6">
        <v>3433319.6446346184</v>
      </c>
      <c r="E73" s="6">
        <v>3433319.6446346194</v>
      </c>
      <c r="F73" s="6">
        <v>6866639.289269237</v>
      </c>
      <c r="G73" s="6">
        <v>5607755.419569878</v>
      </c>
      <c r="H73" s="6">
        <v>5035535.478797441</v>
      </c>
      <c r="I73" s="6">
        <v>1.287494866737982E7</v>
      </c>
      <c r="J73" s="6">
        <v>1.1844952773989433E7</v>
      </c>
      <c r="L73" s="4" t="s">
        <v>281</v>
      </c>
      <c r="M73" s="6">
        <v>3.0</v>
      </c>
      <c r="N73" s="79">
        <v>0.04</v>
      </c>
      <c r="O73" s="6">
        <v>3341764.454111029</v>
      </c>
      <c r="P73" s="6">
        <v>3341764.4541110294</v>
      </c>
      <c r="Q73" s="6">
        <v>6683528.908222058</v>
      </c>
      <c r="R73" s="6">
        <v>5458215.275048016</v>
      </c>
      <c r="S73" s="6">
        <v>4901254.532696176</v>
      </c>
      <c r="T73" s="6">
        <v>1.253161670291636E7</v>
      </c>
      <c r="U73" s="6">
        <v>1.152908736668305E7</v>
      </c>
    </row>
    <row r="74">
      <c r="A74" s="4" t="s">
        <v>241</v>
      </c>
      <c r="B74" s="6">
        <v>6.0</v>
      </c>
      <c r="C74" s="79">
        <v>0.0821917808219178</v>
      </c>
      <c r="D74" s="6">
        <v>6866639.289269237</v>
      </c>
      <c r="E74" s="6">
        <v>6866639.289269239</v>
      </c>
      <c r="F74" s="6">
        <v>1.3733278578538474E7</v>
      </c>
      <c r="G74" s="6">
        <v>1.1215510839139756E7</v>
      </c>
      <c r="H74" s="6">
        <v>1.0071070957594883E7</v>
      </c>
      <c r="I74" s="6">
        <v>2.574989733475964E7</v>
      </c>
      <c r="J74" s="6">
        <v>2.3689905547978867E7</v>
      </c>
      <c r="L74" s="4" t="s">
        <v>284</v>
      </c>
      <c r="M74" s="6">
        <v>6.0</v>
      </c>
      <c r="N74" s="79">
        <v>0.08</v>
      </c>
      <c r="O74" s="6">
        <v>6683528.908222058</v>
      </c>
      <c r="P74" s="6">
        <v>6683528.908222059</v>
      </c>
      <c r="Q74" s="6">
        <v>1.3367057816444116E7</v>
      </c>
      <c r="R74" s="6">
        <v>1.0916430550096031E7</v>
      </c>
      <c r="S74" s="6">
        <v>9802509.065392353</v>
      </c>
      <c r="T74" s="6">
        <v>2.506323340583272E7</v>
      </c>
      <c r="U74" s="6">
        <v>2.30581747333661E7</v>
      </c>
    </row>
    <row r="75">
      <c r="A75" s="4" t="s">
        <v>245</v>
      </c>
      <c r="B75" s="6">
        <v>7.0</v>
      </c>
      <c r="C75" s="79">
        <v>0.0958904109589041</v>
      </c>
      <c r="D75" s="6">
        <v>8011079.17081411</v>
      </c>
      <c r="E75" s="6">
        <v>8011079.170814112</v>
      </c>
      <c r="F75" s="6">
        <v>1.602215834162822E7</v>
      </c>
      <c r="G75" s="6">
        <v>1.308476264566305E7</v>
      </c>
      <c r="H75" s="6">
        <v>1.1749582783860696E7</v>
      </c>
      <c r="I75" s="6">
        <v>3.0041546890552916E7</v>
      </c>
      <c r="J75" s="6">
        <v>2.763822313930868E7</v>
      </c>
      <c r="L75" s="4" t="s">
        <v>287</v>
      </c>
      <c r="M75" s="6">
        <v>1.0</v>
      </c>
      <c r="N75" s="79">
        <v>0.013333333333333334</v>
      </c>
      <c r="O75" s="6">
        <v>1113921.4847036763</v>
      </c>
      <c r="P75" s="6">
        <v>1113921.4847036765</v>
      </c>
      <c r="Q75" s="6">
        <v>2227842.9694073526</v>
      </c>
      <c r="R75" s="6">
        <v>1819405.0916826718</v>
      </c>
      <c r="S75" s="6">
        <v>1633751.5108987256</v>
      </c>
      <c r="T75" s="6">
        <v>4177205.567638787</v>
      </c>
      <c r="U75" s="6">
        <v>3843029.122227683</v>
      </c>
    </row>
    <row r="76">
      <c r="A76" s="4" t="s">
        <v>246</v>
      </c>
      <c r="B76" s="6">
        <v>3.0</v>
      </c>
      <c r="C76" s="79">
        <v>0.0410958904109589</v>
      </c>
      <c r="D76" s="6">
        <v>3433319.6446346184</v>
      </c>
      <c r="E76" s="6">
        <v>3433319.6446346194</v>
      </c>
      <c r="F76" s="6">
        <v>6866639.289269237</v>
      </c>
      <c r="G76" s="6">
        <v>5607755.419569878</v>
      </c>
      <c r="H76" s="6">
        <v>5035535.478797441</v>
      </c>
      <c r="I76" s="6">
        <v>1.287494866737982E7</v>
      </c>
      <c r="J76" s="6">
        <v>1.1844952773989433E7</v>
      </c>
      <c r="L76" s="4" t="s">
        <v>288</v>
      </c>
      <c r="M76" s="6">
        <v>4.0</v>
      </c>
      <c r="N76" s="79">
        <v>0.05333333333333334</v>
      </c>
      <c r="O76" s="6">
        <v>4455685.938814705</v>
      </c>
      <c r="P76" s="6">
        <v>4455685.938814706</v>
      </c>
      <c r="Q76" s="6">
        <v>8911371.87762941</v>
      </c>
      <c r="R76" s="6">
        <v>7277620.366730687</v>
      </c>
      <c r="S76" s="6">
        <v>6535006.043594902</v>
      </c>
      <c r="T76" s="4">
        <v>0.0</v>
      </c>
      <c r="U76" s="6">
        <v>1.5372116488910733E7</v>
      </c>
    </row>
    <row r="77">
      <c r="A77" s="4" t="s">
        <v>249</v>
      </c>
      <c r="B77" s="6">
        <v>4.0</v>
      </c>
      <c r="C77" s="79">
        <v>0.0547945205479452</v>
      </c>
      <c r="D77" s="6">
        <v>4577759.526179492</v>
      </c>
      <c r="E77" s="6">
        <v>4577759.5261794925</v>
      </c>
      <c r="F77" s="6">
        <v>9155519.052358983</v>
      </c>
      <c r="G77" s="6">
        <v>7477007.226093171</v>
      </c>
      <c r="H77" s="6">
        <v>6714047.305063254</v>
      </c>
      <c r="I77" s="6">
        <v>1.7166598223173093E7</v>
      </c>
      <c r="J77" s="6">
        <v>1.5793270365319245E7</v>
      </c>
      <c r="L77" s="4" t="s">
        <v>291</v>
      </c>
      <c r="M77" s="6">
        <v>8.0</v>
      </c>
      <c r="N77" s="79">
        <v>0.10666666666666667</v>
      </c>
      <c r="O77" s="6">
        <v>8911371.87762941</v>
      </c>
      <c r="P77" s="6">
        <v>8911371.877629412</v>
      </c>
      <c r="Q77" s="6">
        <v>1.782274375525882E7</v>
      </c>
      <c r="R77" s="6">
        <v>1.4555240733461374E7</v>
      </c>
      <c r="S77" s="6">
        <v>1.3070012087189805E7</v>
      </c>
      <c r="T77" s="6">
        <v>3.3417644541110296E7</v>
      </c>
      <c r="U77" s="6">
        <v>3.0744232977821466E7</v>
      </c>
    </row>
    <row r="78">
      <c r="A78" s="4" t="s">
        <v>253</v>
      </c>
      <c r="B78" s="6">
        <v>8.0</v>
      </c>
      <c r="C78" s="79">
        <v>0.1095890410958904</v>
      </c>
      <c r="D78" s="6">
        <v>9155519.052358983</v>
      </c>
      <c r="E78" s="6">
        <v>9155519.052358985</v>
      </c>
      <c r="F78" s="6">
        <v>1.8311038104717966E7</v>
      </c>
      <c r="G78" s="6">
        <v>1.4954014452186342E7</v>
      </c>
      <c r="H78" s="6">
        <v>1.3428094610126508E7</v>
      </c>
      <c r="I78" s="6">
        <v>3.4333196446346186E7</v>
      </c>
      <c r="J78" s="6">
        <v>3.158654073063849E7</v>
      </c>
      <c r="L78" s="4" t="s">
        <v>292</v>
      </c>
      <c r="M78" s="6">
        <v>10.0</v>
      </c>
      <c r="N78" s="79">
        <v>0.13333333333333333</v>
      </c>
      <c r="O78" s="6">
        <v>1.1139214847036762E7</v>
      </c>
      <c r="P78" s="6">
        <v>1.1139214847036764E7</v>
      </c>
      <c r="Q78" s="6">
        <v>2.2278429694073524E7</v>
      </c>
      <c r="R78" s="6">
        <v>1.8194050916826718E7</v>
      </c>
      <c r="S78" s="6">
        <v>1.6337515108987253E7</v>
      </c>
      <c r="T78" s="6">
        <v>4.177205567638787E7</v>
      </c>
      <c r="U78" s="6">
        <v>3.843029122227683E7</v>
      </c>
    </row>
    <row r="79">
      <c r="A79" s="4" t="s">
        <v>256</v>
      </c>
      <c r="B79" s="6">
        <v>8.0</v>
      </c>
      <c r="C79" s="79">
        <v>0.1095890410958904</v>
      </c>
      <c r="D79" s="6">
        <v>9155519.052358983</v>
      </c>
      <c r="E79" s="6">
        <v>9155519.052358985</v>
      </c>
      <c r="F79" s="6">
        <v>1.8311038104717966E7</v>
      </c>
      <c r="G79" s="6">
        <v>1.4954014452186342E7</v>
      </c>
      <c r="H79" s="6">
        <v>1.3428094610126508E7</v>
      </c>
      <c r="I79" s="6">
        <v>3.4333196446346186E7</v>
      </c>
      <c r="J79" s="6">
        <v>3.158654073063849E7</v>
      </c>
      <c r="L79" s="4" t="s">
        <v>296</v>
      </c>
      <c r="M79" s="6">
        <v>5.0</v>
      </c>
      <c r="N79" s="79">
        <v>0.06666666666666667</v>
      </c>
      <c r="O79" s="6">
        <v>5569607.423518381</v>
      </c>
      <c r="P79" s="6">
        <v>5569607.423518382</v>
      </c>
      <c r="Q79" s="6">
        <v>1.1139214847036762E7</v>
      </c>
      <c r="R79" s="6">
        <v>9097025.458413359</v>
      </c>
      <c r="S79" s="6">
        <v>8168757.554493627</v>
      </c>
      <c r="T79" s="6">
        <v>2.0886027838193934E7</v>
      </c>
      <c r="U79" s="6">
        <v>1.9215145611138415E7</v>
      </c>
    </row>
    <row r="80">
      <c r="A80" s="4" t="s">
        <v>259</v>
      </c>
      <c r="B80" s="6">
        <v>6.0</v>
      </c>
      <c r="C80" s="79">
        <v>0.0821917808219178</v>
      </c>
      <c r="D80" s="6">
        <v>6866639.289269237</v>
      </c>
      <c r="E80" s="6">
        <v>6866639.289269239</v>
      </c>
      <c r="F80" s="6">
        <v>1.3733278578538474E7</v>
      </c>
      <c r="G80" s="6">
        <v>1.1215510839139756E7</v>
      </c>
      <c r="H80" s="6">
        <v>1.0071070957594883E7</v>
      </c>
      <c r="I80" s="6">
        <v>2.574989733475964E7</v>
      </c>
      <c r="J80" s="6">
        <v>2.3689905547978867E7</v>
      </c>
      <c r="L80" s="4" t="s">
        <v>299</v>
      </c>
      <c r="M80" s="6">
        <v>2.0</v>
      </c>
      <c r="N80" s="79">
        <v>0.02666666666666667</v>
      </c>
      <c r="O80" s="6">
        <v>2227842.9694073526</v>
      </c>
      <c r="P80" s="6">
        <v>2227842.969407353</v>
      </c>
      <c r="Q80" s="4">
        <v>0.0</v>
      </c>
      <c r="R80" s="6">
        <v>3638810.1833653436</v>
      </c>
      <c r="S80" s="6">
        <v>3267503.021797451</v>
      </c>
      <c r="T80" s="6">
        <v>8354411.135277574</v>
      </c>
      <c r="U80" s="6">
        <v>7686058.244455366</v>
      </c>
    </row>
    <row r="81">
      <c r="A81" s="4" t="s">
        <v>261</v>
      </c>
      <c r="B81" s="6">
        <v>8.0</v>
      </c>
      <c r="C81" s="79">
        <v>0.1095890410958904</v>
      </c>
      <c r="D81" s="6">
        <v>9155519.052358983</v>
      </c>
      <c r="E81" s="6">
        <v>9155519.052358985</v>
      </c>
      <c r="F81" s="6">
        <v>1.8311038104717966E7</v>
      </c>
      <c r="G81" s="6">
        <v>1.4954014452186342E7</v>
      </c>
      <c r="H81" s="6">
        <v>1.3428094610126508E7</v>
      </c>
      <c r="I81" s="6">
        <v>3.4333196446346186E7</v>
      </c>
      <c r="J81" s="6">
        <v>3.158654073063849E7</v>
      </c>
      <c r="L81" s="4" t="s">
        <v>301</v>
      </c>
      <c r="M81" s="6">
        <v>5.0</v>
      </c>
      <c r="N81" s="79">
        <v>0.06666666666666667</v>
      </c>
      <c r="O81" s="6">
        <v>5569607.423518381</v>
      </c>
      <c r="P81" s="6">
        <v>5569607.423518382</v>
      </c>
      <c r="Q81" s="6">
        <v>1.1139214847036762E7</v>
      </c>
      <c r="R81" s="6">
        <v>9097025.458413359</v>
      </c>
      <c r="S81" s="6">
        <v>8168757.554493627</v>
      </c>
      <c r="T81" s="6">
        <v>2.0886027838193934E7</v>
      </c>
      <c r="U81" s="6">
        <v>1.9215145611138415E7</v>
      </c>
    </row>
    <row r="82">
      <c r="A82" s="4" t="s">
        <v>262</v>
      </c>
      <c r="B82" s="6">
        <v>10.0</v>
      </c>
      <c r="C82" s="79">
        <v>0.136986301369863</v>
      </c>
      <c r="D82" s="6">
        <v>1.144439881544873E7</v>
      </c>
      <c r="E82" s="6">
        <v>1.1444398815448731E7</v>
      </c>
      <c r="F82" s="6">
        <v>2.288879763089746E7</v>
      </c>
      <c r="G82" s="6">
        <v>1.869251806523293E7</v>
      </c>
      <c r="H82" s="6">
        <v>1.6785118262658138E7</v>
      </c>
      <c r="I82" s="6">
        <v>4.2916495557932734E7</v>
      </c>
      <c r="J82" s="6">
        <v>3.9483175913298115E7</v>
      </c>
      <c r="L82" s="4" t="s">
        <v>304</v>
      </c>
      <c r="M82" s="6">
        <v>10.0</v>
      </c>
      <c r="N82" s="79">
        <v>0.13333333333333333</v>
      </c>
      <c r="O82" s="4">
        <v>0.0</v>
      </c>
      <c r="P82" s="6">
        <v>1.1139214847036764E7</v>
      </c>
      <c r="Q82" s="6">
        <v>2.2278429694073524E7</v>
      </c>
      <c r="R82" s="6">
        <v>1.8194050916826718E7</v>
      </c>
      <c r="S82" s="6">
        <v>1.6337515108987253E7</v>
      </c>
      <c r="T82" s="6">
        <v>4.177205567638787E7</v>
      </c>
      <c r="U82" s="6">
        <v>3.843029122227683E7</v>
      </c>
    </row>
    <row r="83">
      <c r="A83" s="4" t="s">
        <v>263</v>
      </c>
      <c r="B83" s="6">
        <v>3.0</v>
      </c>
      <c r="C83" s="79">
        <v>0.0410958904109589</v>
      </c>
      <c r="D83" s="6">
        <v>3433319.6446346184</v>
      </c>
      <c r="E83" s="6">
        <v>3433319.6446346194</v>
      </c>
      <c r="F83" s="6">
        <v>6866639.289269237</v>
      </c>
      <c r="G83" s="6">
        <v>5607755.419569878</v>
      </c>
      <c r="H83" s="6">
        <v>5035535.478797441</v>
      </c>
      <c r="I83" s="6">
        <v>1.287494866737982E7</v>
      </c>
      <c r="J83" s="6">
        <v>1.1844952773989433E7</v>
      </c>
      <c r="L83" s="4" t="s">
        <v>305</v>
      </c>
      <c r="M83" s="6">
        <v>0.0</v>
      </c>
      <c r="N83" s="79">
        <v>0.0</v>
      </c>
      <c r="O83" s="6">
        <v>1.1139214847036762E7</v>
      </c>
      <c r="P83" s="6">
        <v>0.0</v>
      </c>
      <c r="Q83" s="6">
        <v>4455685.938814705</v>
      </c>
      <c r="R83" s="6">
        <v>0.0</v>
      </c>
      <c r="S83" s="6">
        <v>0.0</v>
      </c>
      <c r="T83" s="6">
        <v>1.6708822270555148E7</v>
      </c>
      <c r="U83" s="6">
        <v>0.0</v>
      </c>
    </row>
    <row r="84">
      <c r="L84" s="4" t="s">
        <v>308</v>
      </c>
      <c r="M84" s="6">
        <v>2.0</v>
      </c>
      <c r="N84" s="79">
        <v>0.02666666666666667</v>
      </c>
      <c r="O84" s="6">
        <v>2227842.9694073526</v>
      </c>
      <c r="P84" s="6">
        <v>2227842.969407353</v>
      </c>
      <c r="Q84" s="6">
        <v>4455685.938814705</v>
      </c>
      <c r="R84" s="6">
        <v>3638810.1833653436</v>
      </c>
      <c r="S84" s="6">
        <v>3267503.021797451</v>
      </c>
      <c r="T84" s="6">
        <v>8354411.135277574</v>
      </c>
      <c r="U84" s="6">
        <v>7686058.244455366</v>
      </c>
    </row>
    <row r="85">
      <c r="L85" s="4" t="s">
        <v>309</v>
      </c>
      <c r="M85" s="6">
        <v>3.0</v>
      </c>
      <c r="N85" s="79">
        <v>0.04</v>
      </c>
      <c r="O85" s="6">
        <v>3341764.454111029</v>
      </c>
      <c r="P85" s="6">
        <v>3341764.4541110294</v>
      </c>
      <c r="Q85" s="6">
        <v>6683528.908222058</v>
      </c>
      <c r="R85" s="6">
        <v>5458215.275048016</v>
      </c>
      <c r="S85" s="6">
        <v>4901254.532696176</v>
      </c>
      <c r="T85" s="6">
        <v>1.253161670291636E7</v>
      </c>
      <c r="U85" s="6">
        <v>1.152908736668305E7</v>
      </c>
    </row>
    <row r="86">
      <c r="L86" s="4" t="s">
        <v>312</v>
      </c>
      <c r="M86" s="6">
        <v>4.0</v>
      </c>
      <c r="N86" s="79">
        <v>0.05333333333333334</v>
      </c>
      <c r="O86" s="6">
        <v>4455685.938814705</v>
      </c>
      <c r="P86" s="6">
        <v>4455685.938814706</v>
      </c>
      <c r="Q86" s="6">
        <v>8911371.87762941</v>
      </c>
      <c r="R86" s="6">
        <v>7277620.366730687</v>
      </c>
      <c r="S86" s="6">
        <v>6535006.043594902</v>
      </c>
      <c r="T86" s="6">
        <v>1.6708822270555148E7</v>
      </c>
      <c r="U86" s="6">
        <v>1.5372116488910733E7</v>
      </c>
    </row>
    <row r="87">
      <c r="L87" s="4" t="s">
        <v>316</v>
      </c>
      <c r="M87" s="6">
        <v>5.0</v>
      </c>
      <c r="N87" s="79">
        <v>0.06666666666666667</v>
      </c>
      <c r="O87" s="6">
        <v>5569607.423518381</v>
      </c>
      <c r="P87" s="6">
        <v>5569607.423518382</v>
      </c>
      <c r="Q87" s="6">
        <v>1.1139214847036762E7</v>
      </c>
      <c r="R87" s="6">
        <v>9097025.458413359</v>
      </c>
      <c r="S87" s="6">
        <v>8168757.554493627</v>
      </c>
      <c r="T87" s="6">
        <v>2.0886027838193934E7</v>
      </c>
      <c r="U87" s="6">
        <v>1.9215145611138415E7</v>
      </c>
    </row>
    <row r="88">
      <c r="L88" s="4" t="s">
        <v>317</v>
      </c>
      <c r="M88" s="6">
        <v>2.0</v>
      </c>
      <c r="N88" s="79">
        <v>0.02666666666666667</v>
      </c>
      <c r="O88" s="6">
        <v>2227842.9694073526</v>
      </c>
      <c r="P88" s="6">
        <v>2227842.969407353</v>
      </c>
      <c r="Q88" s="6">
        <v>4455685.938814705</v>
      </c>
      <c r="R88" s="6">
        <v>3638810.1833653436</v>
      </c>
      <c r="S88" s="6">
        <v>3267503.021797451</v>
      </c>
      <c r="T88" s="6">
        <v>8354411.135277574</v>
      </c>
      <c r="U88" s="6">
        <v>7686058.244455366</v>
      </c>
    </row>
    <row r="91">
      <c r="A91" s="78" t="s">
        <v>63</v>
      </c>
      <c r="L91" s="78" t="s">
        <v>70</v>
      </c>
    </row>
    <row r="92">
      <c r="D92" s="3">
        <v>1.5</v>
      </c>
      <c r="E92" s="3">
        <v>1.2</v>
      </c>
      <c r="F92" s="3">
        <v>2.0</v>
      </c>
      <c r="G92" s="3">
        <v>1.4</v>
      </c>
      <c r="H92" s="3">
        <v>1.1</v>
      </c>
      <c r="I92" s="3">
        <v>2.5</v>
      </c>
      <c r="J92" s="3">
        <v>2.3</v>
      </c>
      <c r="O92" s="3">
        <v>0.5</v>
      </c>
      <c r="P92" s="3">
        <v>0.2</v>
      </c>
      <c r="Q92" s="3">
        <v>0.1</v>
      </c>
      <c r="R92" s="3">
        <v>1.0</v>
      </c>
      <c r="S92" s="3">
        <v>0.2</v>
      </c>
      <c r="T92" s="3">
        <v>0.005</v>
      </c>
      <c r="U92" s="3">
        <v>0.67</v>
      </c>
    </row>
    <row r="93">
      <c r="A93" s="4" t="s">
        <v>0</v>
      </c>
      <c r="B93" s="6">
        <v>63.0</v>
      </c>
      <c r="C93" s="79">
        <v>1.0</v>
      </c>
      <c r="D93" s="6">
        <v>8.354411135277572E7</v>
      </c>
      <c r="E93" s="6">
        <v>8.354411135277574E7</v>
      </c>
      <c r="F93" s="6">
        <v>1.6708822270555145E8</v>
      </c>
      <c r="G93" s="6">
        <v>1.3645538187620038E8</v>
      </c>
      <c r="H93" s="6">
        <v>1.225313633174044E8</v>
      </c>
      <c r="I93" s="6">
        <v>3.13290417572909E8</v>
      </c>
      <c r="J93" s="6">
        <v>2.8822718416707623E8</v>
      </c>
      <c r="L93" s="4" t="s">
        <v>0</v>
      </c>
      <c r="M93" s="6">
        <v>72.0</v>
      </c>
      <c r="N93" s="79">
        <v>1.0</v>
      </c>
      <c r="O93" s="6">
        <v>1.3924018558795955E7</v>
      </c>
      <c r="P93" s="6">
        <v>6962009.279397978</v>
      </c>
      <c r="Q93" s="6">
        <v>4177205.5676387865</v>
      </c>
      <c r="R93" s="6">
        <v>4.873406495578585E7</v>
      </c>
      <c r="S93" s="6">
        <v>1.1139214847036764E7</v>
      </c>
      <c r="T93" s="6">
        <v>313290.417572909</v>
      </c>
      <c r="U93" s="6">
        <v>4.1980915954769805E7</v>
      </c>
    </row>
    <row r="94">
      <c r="A94" s="4" t="s">
        <v>297</v>
      </c>
      <c r="B94" s="6">
        <v>1.0</v>
      </c>
      <c r="C94" s="79">
        <v>0.015873015873015872</v>
      </c>
      <c r="D94" s="6">
        <v>1326097.0055996145</v>
      </c>
      <c r="E94" s="6">
        <v>1326097.0055996147</v>
      </c>
      <c r="F94" s="6">
        <v>2652194.011199229</v>
      </c>
      <c r="G94" s="6">
        <v>2165958.442479371</v>
      </c>
      <c r="H94" s="6">
        <v>1944942.2748794348</v>
      </c>
      <c r="I94" s="6">
        <v>4972863.770998555</v>
      </c>
      <c r="J94" s="6">
        <v>4575034.66931867</v>
      </c>
      <c r="L94" s="4" t="s">
        <v>343</v>
      </c>
      <c r="M94" s="6">
        <v>3.0</v>
      </c>
      <c r="N94" s="79">
        <v>0.041666666666666664</v>
      </c>
      <c r="O94" s="6">
        <v>580167.4399498315</v>
      </c>
      <c r="P94" s="6">
        <v>290083.71997491573</v>
      </c>
      <c r="Q94" s="6">
        <v>174050.23198494944</v>
      </c>
      <c r="R94" s="6">
        <v>2030586.0398244103</v>
      </c>
      <c r="S94" s="6">
        <v>464133.95195986517</v>
      </c>
      <c r="T94" s="6">
        <v>13053.767398871207</v>
      </c>
      <c r="U94" s="6">
        <v>1749204.8314487417</v>
      </c>
    </row>
    <row r="95">
      <c r="A95" s="4" t="s">
        <v>439</v>
      </c>
      <c r="B95" s="6">
        <v>10.0</v>
      </c>
      <c r="C95" s="79">
        <v>0.15873015873015872</v>
      </c>
      <c r="D95" s="6">
        <v>1.3260970055996146E7</v>
      </c>
      <c r="E95" s="6">
        <v>1.3260970055996148E7</v>
      </c>
      <c r="F95" s="6">
        <v>2.6521940111992292E7</v>
      </c>
      <c r="G95" s="6">
        <v>2.165958442479371E7</v>
      </c>
      <c r="H95" s="6">
        <v>1.9449422748794347E7</v>
      </c>
      <c r="I95" s="6">
        <v>4.9728637709985554E7</v>
      </c>
      <c r="J95" s="6">
        <v>4.57503466931867E7</v>
      </c>
      <c r="L95" s="4" t="s">
        <v>425</v>
      </c>
      <c r="M95" s="6">
        <v>1.0</v>
      </c>
      <c r="N95" s="79">
        <v>0.013888888888888888</v>
      </c>
      <c r="O95" s="6">
        <v>193389.1466499438</v>
      </c>
      <c r="P95" s="6">
        <v>96694.57332497192</v>
      </c>
      <c r="Q95" s="6">
        <v>58016.743994983146</v>
      </c>
      <c r="R95" s="6">
        <v>676862.0132748034</v>
      </c>
      <c r="S95" s="6">
        <v>154711.31731995504</v>
      </c>
      <c r="T95" s="6">
        <v>4351.255799623736</v>
      </c>
      <c r="U95" s="6">
        <v>583068.2771495805</v>
      </c>
    </row>
    <row r="96">
      <c r="A96" s="4" t="s">
        <v>441</v>
      </c>
      <c r="B96" s="6">
        <v>2.0</v>
      </c>
      <c r="C96" s="79">
        <v>0.031746031746031744</v>
      </c>
      <c r="D96" s="6">
        <v>2652194.011199229</v>
      </c>
      <c r="E96" s="6">
        <v>2652194.0111992294</v>
      </c>
      <c r="F96" s="6">
        <v>5304388.022398458</v>
      </c>
      <c r="G96" s="6">
        <v>4331916.884958742</v>
      </c>
      <c r="H96" s="6">
        <v>3889884.5497588697</v>
      </c>
      <c r="I96" s="6">
        <v>9945727.54199711</v>
      </c>
      <c r="J96" s="6">
        <v>9150069.33863734</v>
      </c>
      <c r="L96" s="4" t="s">
        <v>442</v>
      </c>
      <c r="M96" s="6">
        <v>9.0</v>
      </c>
      <c r="N96" s="79">
        <v>0.125</v>
      </c>
      <c r="O96" s="6">
        <v>1740502.3198494944</v>
      </c>
      <c r="P96" s="6">
        <v>870251.1599247473</v>
      </c>
      <c r="Q96" s="6">
        <v>522150.6959548483</v>
      </c>
      <c r="R96" s="6">
        <v>6091758.119473231</v>
      </c>
      <c r="S96" s="6">
        <v>1392401.8558795955</v>
      </c>
      <c r="T96" s="6">
        <v>39161.30219661362</v>
      </c>
      <c r="U96" s="6">
        <v>5247614.494346226</v>
      </c>
    </row>
    <row r="97">
      <c r="A97" s="4" t="s">
        <v>444</v>
      </c>
      <c r="B97" s="6">
        <v>4.0</v>
      </c>
      <c r="C97" s="79">
        <v>0.06349206349206349</v>
      </c>
      <c r="D97" s="6">
        <v>5304388.022398458</v>
      </c>
      <c r="E97" s="6">
        <v>5304388.022398459</v>
      </c>
      <c r="F97" s="6">
        <v>1.0608776044796916E7</v>
      </c>
      <c r="G97" s="6">
        <v>8663833.769917484</v>
      </c>
      <c r="H97" s="6">
        <v>7779769.099517739</v>
      </c>
      <c r="I97" s="6">
        <v>1.989145508399422E7</v>
      </c>
      <c r="J97" s="6">
        <v>1.830013867727468E7</v>
      </c>
      <c r="L97" s="4" t="s">
        <v>445</v>
      </c>
      <c r="M97" s="6">
        <v>9.0</v>
      </c>
      <c r="N97" s="79">
        <v>0.125</v>
      </c>
      <c r="O97" s="6">
        <v>1740502.3198494944</v>
      </c>
      <c r="P97" s="6">
        <v>870251.1599247473</v>
      </c>
      <c r="Q97" s="6">
        <v>522150.6959548483</v>
      </c>
      <c r="R97" s="6">
        <v>6091758.119473231</v>
      </c>
      <c r="S97" s="6">
        <v>1392401.8558795955</v>
      </c>
      <c r="T97" s="6">
        <v>39161.30219661362</v>
      </c>
      <c r="U97" s="6">
        <v>5247614.494346226</v>
      </c>
    </row>
    <row r="98">
      <c r="A98" s="4" t="s">
        <v>448</v>
      </c>
      <c r="B98" s="6">
        <v>4.0</v>
      </c>
      <c r="C98" s="79">
        <v>0.06349206349206349</v>
      </c>
      <c r="D98" s="6">
        <v>5304388.022398458</v>
      </c>
      <c r="E98" s="6">
        <v>5304388.022398459</v>
      </c>
      <c r="F98" s="6">
        <v>1.0608776044796916E7</v>
      </c>
      <c r="G98" s="6">
        <v>8663833.769917484</v>
      </c>
      <c r="H98" s="6">
        <v>7779769.099517739</v>
      </c>
      <c r="I98" s="6">
        <v>1.989145508399422E7</v>
      </c>
      <c r="J98" s="6">
        <v>1.830013867727468E7</v>
      </c>
      <c r="L98" s="4" t="s">
        <v>449</v>
      </c>
      <c r="M98" s="6">
        <v>8.0</v>
      </c>
      <c r="N98" s="79">
        <v>0.1111111111111111</v>
      </c>
      <c r="O98" s="6">
        <v>1547113.1731995505</v>
      </c>
      <c r="P98" s="6">
        <v>773556.5865997754</v>
      </c>
      <c r="Q98" s="6">
        <v>464133.95195986517</v>
      </c>
      <c r="R98" s="6">
        <v>5414896.106198427</v>
      </c>
      <c r="S98" s="6">
        <v>1237690.5385596403</v>
      </c>
      <c r="T98" s="6">
        <v>34810.046396989885</v>
      </c>
      <c r="U98" s="6">
        <v>4664546.217196644</v>
      </c>
    </row>
    <row r="99">
      <c r="A99" s="4" t="s">
        <v>451</v>
      </c>
      <c r="B99" s="6">
        <v>3.0</v>
      </c>
      <c r="C99" s="79">
        <v>0.047619047619047616</v>
      </c>
      <c r="D99" s="6">
        <v>3978291.0167988436</v>
      </c>
      <c r="E99" s="6">
        <v>3978291.0167988446</v>
      </c>
      <c r="F99" s="6">
        <v>7956582.033597687</v>
      </c>
      <c r="G99" s="6">
        <v>6497875.327438113</v>
      </c>
      <c r="H99" s="6">
        <v>5834826.824638304</v>
      </c>
      <c r="I99" s="6">
        <v>1.4918591312995667E7</v>
      </c>
      <c r="J99" s="6">
        <v>1.372510400795601E7</v>
      </c>
      <c r="L99" s="4" t="s">
        <v>452</v>
      </c>
      <c r="M99" s="6">
        <v>10.0</v>
      </c>
      <c r="N99" s="79">
        <v>0.1388888888888889</v>
      </c>
      <c r="O99" s="6">
        <v>1933891.4664994383</v>
      </c>
      <c r="P99" s="6">
        <v>966945.7332497193</v>
      </c>
      <c r="Q99" s="6">
        <v>580167.4399498315</v>
      </c>
      <c r="R99" s="6">
        <v>6768620.132748035</v>
      </c>
      <c r="S99" s="6">
        <v>1547113.1731995507</v>
      </c>
      <c r="T99" s="6">
        <v>43512.55799623736</v>
      </c>
      <c r="U99" s="6">
        <v>5830682.771495807</v>
      </c>
    </row>
    <row r="100">
      <c r="A100" s="4" t="s">
        <v>455</v>
      </c>
      <c r="B100" s="6">
        <v>7.0</v>
      </c>
      <c r="C100" s="79">
        <v>0.1111111111111111</v>
      </c>
      <c r="D100" s="6">
        <v>9282679.039197301</v>
      </c>
      <c r="E100" s="6">
        <v>9282679.039197303</v>
      </c>
      <c r="F100" s="6">
        <v>1.8565358078394603E7</v>
      </c>
      <c r="G100" s="6">
        <v>1.5161709097355597E7</v>
      </c>
      <c r="H100" s="6">
        <v>1.3614595924156044E7</v>
      </c>
      <c r="I100" s="6">
        <v>3.481004639698989E7</v>
      </c>
      <c r="J100" s="6">
        <v>3.202524268523069E7</v>
      </c>
      <c r="L100" s="4" t="s">
        <v>456</v>
      </c>
      <c r="M100" s="6">
        <v>8.0</v>
      </c>
      <c r="N100" s="79">
        <v>0.1111111111111111</v>
      </c>
      <c r="O100" s="6">
        <v>1547113.1731995505</v>
      </c>
      <c r="P100" s="6">
        <v>773556.5865997754</v>
      </c>
      <c r="Q100" s="6">
        <v>464133.95195986517</v>
      </c>
      <c r="R100" s="6">
        <v>5414896.106198427</v>
      </c>
      <c r="S100" s="6">
        <v>1237690.5385596403</v>
      </c>
      <c r="T100" s="6">
        <v>34810.046396989885</v>
      </c>
      <c r="U100" s="6">
        <v>4664546.217196644</v>
      </c>
    </row>
    <row r="101">
      <c r="A101" s="4" t="s">
        <v>458</v>
      </c>
      <c r="B101" s="6">
        <v>7.0</v>
      </c>
      <c r="C101" s="79">
        <v>0.1111111111111111</v>
      </c>
      <c r="D101" s="6">
        <v>9282679.039197301</v>
      </c>
      <c r="E101" s="6">
        <v>9282679.039197303</v>
      </c>
      <c r="F101" s="6">
        <v>1.8565358078394603E7</v>
      </c>
      <c r="G101" s="6">
        <v>1.5161709097355597E7</v>
      </c>
      <c r="H101" s="6">
        <v>1.3614595924156044E7</v>
      </c>
      <c r="I101" s="6">
        <v>3.481004639698989E7</v>
      </c>
      <c r="J101" s="6">
        <v>3.202524268523069E7</v>
      </c>
      <c r="L101" s="4" t="s">
        <v>459</v>
      </c>
      <c r="M101" s="6">
        <v>3.0</v>
      </c>
      <c r="N101" s="79">
        <v>0.041666666666666664</v>
      </c>
      <c r="O101" s="6">
        <v>580167.4399498315</v>
      </c>
      <c r="P101" s="6">
        <v>290083.71997491573</v>
      </c>
      <c r="Q101" s="6">
        <v>174050.23198494944</v>
      </c>
      <c r="R101" s="6">
        <v>2030586.0398244103</v>
      </c>
      <c r="S101" s="6">
        <v>464133.95195986517</v>
      </c>
      <c r="T101" s="6">
        <v>13053.767398871207</v>
      </c>
      <c r="U101" s="6">
        <v>1749204.8314487417</v>
      </c>
    </row>
    <row r="102">
      <c r="A102" s="4" t="s">
        <v>461</v>
      </c>
      <c r="B102" s="6">
        <v>1.0</v>
      </c>
      <c r="C102" s="79">
        <v>0.015873015873015872</v>
      </c>
      <c r="D102" s="6">
        <v>1326097.0055996145</v>
      </c>
      <c r="E102" s="6">
        <v>1326097.0055996147</v>
      </c>
      <c r="F102" s="6">
        <v>2652194.011199229</v>
      </c>
      <c r="G102" s="6">
        <v>2165958.442479371</v>
      </c>
      <c r="H102" s="6">
        <v>1944942.2748794348</v>
      </c>
      <c r="I102" s="6">
        <v>4972863.770998555</v>
      </c>
      <c r="J102" s="6">
        <v>4575034.66931867</v>
      </c>
      <c r="L102" s="4" t="s">
        <v>462</v>
      </c>
      <c r="M102" s="6">
        <v>2.0</v>
      </c>
      <c r="N102" s="79">
        <v>0.027777777777777776</v>
      </c>
      <c r="O102" s="6">
        <v>386778.2932998876</v>
      </c>
      <c r="P102" s="6">
        <v>193389.14664994384</v>
      </c>
      <c r="Q102" s="6">
        <v>116033.48798996629</v>
      </c>
      <c r="R102" s="6">
        <v>1353724.0265496068</v>
      </c>
      <c r="S102" s="6">
        <v>309422.6346399101</v>
      </c>
      <c r="T102" s="6">
        <v>8702.511599247471</v>
      </c>
      <c r="U102" s="6">
        <v>1166136.554299161</v>
      </c>
    </row>
    <row r="103">
      <c r="A103" s="4" t="s">
        <v>464</v>
      </c>
      <c r="B103" s="6">
        <v>7.0</v>
      </c>
      <c r="C103" s="79">
        <v>0.1111111111111111</v>
      </c>
      <c r="D103" s="6">
        <v>9282679.039197301</v>
      </c>
      <c r="E103" s="6">
        <v>9282679.039197303</v>
      </c>
      <c r="F103" s="6">
        <v>1.8565358078394603E7</v>
      </c>
      <c r="G103" s="6">
        <v>1.5161709097355597E7</v>
      </c>
      <c r="H103" s="6">
        <v>1.3614595924156044E7</v>
      </c>
      <c r="I103" s="6">
        <v>3.481004639698989E7</v>
      </c>
      <c r="J103" s="6">
        <v>3.202524268523069E7</v>
      </c>
      <c r="L103" s="4" t="s">
        <v>465</v>
      </c>
      <c r="M103" s="6">
        <v>7.0</v>
      </c>
      <c r="N103" s="79">
        <v>0.09722222222222222</v>
      </c>
      <c r="O103" s="6">
        <v>1353724.0265496068</v>
      </c>
      <c r="P103" s="6">
        <v>676862.0132748035</v>
      </c>
      <c r="Q103" s="6">
        <v>406117.207964882</v>
      </c>
      <c r="R103" s="6">
        <v>4738034.092923624</v>
      </c>
      <c r="S103" s="6">
        <v>1082979.2212396853</v>
      </c>
      <c r="T103" s="6">
        <v>30458.79059736615</v>
      </c>
      <c r="U103" s="6">
        <v>4081477.9400470643</v>
      </c>
    </row>
    <row r="104">
      <c r="A104" s="4" t="s">
        <v>467</v>
      </c>
      <c r="B104" s="6">
        <v>2.0</v>
      </c>
      <c r="C104" s="79">
        <v>0.031746031746031744</v>
      </c>
      <c r="D104" s="6">
        <v>2652194.011199229</v>
      </c>
      <c r="E104" s="6">
        <v>2652194.0111992294</v>
      </c>
      <c r="F104" s="6">
        <v>5304388.022398458</v>
      </c>
      <c r="G104" s="6">
        <v>4331916.884958742</v>
      </c>
      <c r="H104" s="6">
        <v>3889884.5497588697</v>
      </c>
      <c r="I104" s="6">
        <v>9945727.54199711</v>
      </c>
      <c r="J104" s="6">
        <v>9150069.33863734</v>
      </c>
      <c r="L104" s="4" t="s">
        <v>468</v>
      </c>
      <c r="M104" s="6">
        <v>5.0</v>
      </c>
      <c r="N104" s="79">
        <v>0.06944444444444445</v>
      </c>
      <c r="O104" s="6">
        <v>966945.7332497191</v>
      </c>
      <c r="P104" s="6">
        <v>483472.8666248596</v>
      </c>
      <c r="Q104" s="6">
        <v>290083.71997491573</v>
      </c>
      <c r="R104" s="6">
        <v>3384310.0663740174</v>
      </c>
      <c r="S104" s="6">
        <v>773556.5865997754</v>
      </c>
      <c r="T104" s="6">
        <v>21756.27899811868</v>
      </c>
      <c r="U104" s="6">
        <v>2915341.3857479035</v>
      </c>
    </row>
    <row r="105">
      <c r="A105" s="4" t="s">
        <v>470</v>
      </c>
      <c r="B105" s="6">
        <v>7.0</v>
      </c>
      <c r="C105" s="79">
        <v>0.1111111111111111</v>
      </c>
      <c r="D105" s="6">
        <v>9282679.039197301</v>
      </c>
      <c r="E105" s="6">
        <v>9282679.039197303</v>
      </c>
      <c r="F105" s="6">
        <v>1.8565358078394603E7</v>
      </c>
      <c r="G105" s="6">
        <v>1.5161709097355597E7</v>
      </c>
      <c r="H105" s="6">
        <v>1.3614595924156044E7</v>
      </c>
      <c r="I105" s="6">
        <v>3.481004639698989E7</v>
      </c>
      <c r="J105" s="6">
        <v>3.202524268523069E7</v>
      </c>
      <c r="L105" s="4" t="s">
        <v>471</v>
      </c>
      <c r="M105" s="6">
        <v>1.0</v>
      </c>
      <c r="N105" s="79">
        <v>0.013888888888888888</v>
      </c>
      <c r="O105" s="6">
        <v>193389.1466499438</v>
      </c>
      <c r="P105" s="6">
        <v>96694.57332497192</v>
      </c>
      <c r="Q105" s="6">
        <v>58016.743994983146</v>
      </c>
      <c r="R105" s="6">
        <v>676862.0132748034</v>
      </c>
      <c r="S105" s="6">
        <v>154711.31731995504</v>
      </c>
      <c r="T105" s="6">
        <v>4351.255799623736</v>
      </c>
      <c r="U105" s="6">
        <v>583068.2771495805</v>
      </c>
    </row>
    <row r="106">
      <c r="A106" s="4" t="s">
        <v>473</v>
      </c>
      <c r="B106" s="6">
        <v>8.0</v>
      </c>
      <c r="C106" s="79">
        <v>0.12698412698412698</v>
      </c>
      <c r="D106" s="6">
        <v>1.0608776044796916E7</v>
      </c>
      <c r="E106" s="6">
        <v>1.0608776044796918E7</v>
      </c>
      <c r="F106" s="6">
        <v>2.121755208959383E7</v>
      </c>
      <c r="G106" s="6">
        <v>1.732766753983497E7</v>
      </c>
      <c r="H106" s="6">
        <v>1.5559538199035479E7</v>
      </c>
      <c r="I106" s="6">
        <v>3.978291016798844E7</v>
      </c>
      <c r="J106" s="6">
        <v>3.660027735454936E7</v>
      </c>
      <c r="L106" s="4" t="s">
        <v>474</v>
      </c>
      <c r="M106" s="6">
        <v>6.0</v>
      </c>
      <c r="N106" s="79">
        <v>0.08333333333333333</v>
      </c>
      <c r="O106" s="6">
        <v>1160334.879899663</v>
      </c>
      <c r="P106" s="6">
        <v>580167.4399498315</v>
      </c>
      <c r="Q106" s="6">
        <v>348100.4639698989</v>
      </c>
      <c r="R106" s="6">
        <v>4061172.0796488207</v>
      </c>
      <c r="S106" s="6">
        <v>928267.9039197303</v>
      </c>
      <c r="T106" s="6">
        <v>26107.534797742414</v>
      </c>
      <c r="U106" s="6">
        <v>3498409.6628974834</v>
      </c>
    </row>
    <row r="109">
      <c r="A109" s="78" t="s">
        <v>74</v>
      </c>
      <c r="L109" s="78" t="s">
        <v>76</v>
      </c>
    </row>
    <row r="110">
      <c r="D110" s="3">
        <v>0.5</v>
      </c>
      <c r="E110" s="3">
        <v>0.2</v>
      </c>
      <c r="F110" s="3">
        <v>0.1</v>
      </c>
      <c r="G110" s="3">
        <v>1.0</v>
      </c>
      <c r="H110" s="3">
        <v>0.2</v>
      </c>
      <c r="I110" s="3">
        <v>0.005</v>
      </c>
      <c r="J110" s="3">
        <v>0.67</v>
      </c>
      <c r="O110" s="3">
        <v>0.5</v>
      </c>
      <c r="P110" s="3">
        <v>0.2</v>
      </c>
      <c r="Q110" s="3">
        <v>0.1</v>
      </c>
      <c r="R110" s="3">
        <v>1.0</v>
      </c>
      <c r="S110" s="3">
        <v>0.2</v>
      </c>
      <c r="T110" s="3">
        <v>0.005</v>
      </c>
      <c r="U110" s="3">
        <v>0.67</v>
      </c>
    </row>
    <row r="111">
      <c r="A111" s="4" t="s">
        <v>0</v>
      </c>
      <c r="B111" s="6">
        <v>95.0</v>
      </c>
      <c r="C111" s="79">
        <v>0.9052631578947368</v>
      </c>
      <c r="D111" s="6">
        <v>1.3924018558795955E7</v>
      </c>
      <c r="E111" s="6">
        <v>6962009.279397978</v>
      </c>
      <c r="F111" s="6">
        <v>4177205.5676387865</v>
      </c>
      <c r="G111" s="6">
        <v>4.873406495578585E7</v>
      </c>
      <c r="H111" s="6">
        <v>1.1139214847036764E7</v>
      </c>
      <c r="I111" s="6">
        <v>313290.417572909</v>
      </c>
      <c r="J111" s="6">
        <v>4.1980915954769805E7</v>
      </c>
      <c r="L111" s="4" t="s">
        <v>76</v>
      </c>
      <c r="M111" s="6">
        <v>66.0</v>
      </c>
      <c r="N111" s="79">
        <v>1.0</v>
      </c>
      <c r="O111" s="80">
        <v>1.3924018558795955E7</v>
      </c>
      <c r="P111" s="80">
        <v>6962009.279397978</v>
      </c>
      <c r="Q111" s="80">
        <v>4177205.5676387865</v>
      </c>
      <c r="R111" s="80">
        <v>4.873406495578585E7</v>
      </c>
      <c r="S111" s="80">
        <v>1.1139214847036764E7</v>
      </c>
      <c r="T111" s="80">
        <v>313290.417572909</v>
      </c>
      <c r="U111" s="80">
        <v>4.1980915954769805E7</v>
      </c>
    </row>
    <row r="112">
      <c r="A112" s="4" t="s">
        <v>203</v>
      </c>
      <c r="B112" s="6">
        <v>9.0</v>
      </c>
      <c r="C112" s="79">
        <v>0.09473684210526316</v>
      </c>
      <c r="D112" s="6">
        <v>1319117.5476754063</v>
      </c>
      <c r="E112" s="6">
        <v>659558.7738377033</v>
      </c>
      <c r="F112" s="6">
        <v>395735.2643026219</v>
      </c>
      <c r="G112" s="6">
        <v>4616911.416863923</v>
      </c>
      <c r="H112" s="6">
        <v>1055294.038140325</v>
      </c>
      <c r="I112" s="6">
        <v>29680.144822696642</v>
      </c>
      <c r="J112" s="6">
        <v>3977139.40624135</v>
      </c>
      <c r="L112" s="4" t="s">
        <v>0</v>
      </c>
      <c r="M112" s="6">
        <v>1.0</v>
      </c>
      <c r="N112" s="79">
        <v>0.015151515151515152</v>
      </c>
      <c r="O112" s="6">
        <v>210969.97816357508</v>
      </c>
      <c r="P112" s="6">
        <v>105484.98908178756</v>
      </c>
      <c r="Q112" s="6">
        <v>63290.99344907253</v>
      </c>
      <c r="R112" s="6">
        <v>738394.9235725129</v>
      </c>
      <c r="S112" s="6">
        <v>168775.98253086006</v>
      </c>
      <c r="T112" s="6">
        <v>4746.824508680439</v>
      </c>
      <c r="U112" s="6">
        <v>636074.4841631788</v>
      </c>
    </row>
    <row r="113">
      <c r="A113" s="4" t="s">
        <v>341</v>
      </c>
      <c r="B113" s="6">
        <v>9.0</v>
      </c>
      <c r="C113" s="79">
        <v>0.09473684210526316</v>
      </c>
      <c r="D113" s="6">
        <v>1319117.5476754063</v>
      </c>
      <c r="E113" s="6">
        <v>659558.7738377033</v>
      </c>
      <c r="F113" s="6">
        <v>395735.2643026219</v>
      </c>
      <c r="G113" s="6">
        <v>4616911.416863923</v>
      </c>
      <c r="H113" s="6">
        <v>1055294.038140325</v>
      </c>
      <c r="I113" s="6">
        <v>29680.144822696642</v>
      </c>
      <c r="J113" s="6">
        <v>3977139.40624135</v>
      </c>
      <c r="L113" s="4" t="s">
        <v>322</v>
      </c>
      <c r="M113" s="6">
        <v>5.0</v>
      </c>
      <c r="N113" s="79">
        <v>0.07575757575757576</v>
      </c>
      <c r="O113" s="6">
        <v>1054849.8908178755</v>
      </c>
      <c r="P113" s="6">
        <v>527424.9454089378</v>
      </c>
      <c r="Q113" s="6">
        <v>316454.96724536264</v>
      </c>
      <c r="R113" s="6">
        <v>3691974.6178625645</v>
      </c>
      <c r="S113" s="6">
        <v>843879.9126543003</v>
      </c>
      <c r="T113" s="6">
        <v>23734.122543402194</v>
      </c>
      <c r="U113" s="6">
        <v>3180372.4208158944</v>
      </c>
    </row>
    <row r="114">
      <c r="A114" s="4" t="s">
        <v>369</v>
      </c>
      <c r="B114" s="6">
        <v>8.0</v>
      </c>
      <c r="C114" s="79">
        <v>0.08421052631578947</v>
      </c>
      <c r="D114" s="6">
        <v>1172548.9312670277</v>
      </c>
      <c r="E114" s="6">
        <v>586274.465633514</v>
      </c>
      <c r="F114" s="6">
        <v>351764.6793801083</v>
      </c>
      <c r="G114" s="6">
        <v>4103921.2594345976</v>
      </c>
      <c r="H114" s="6">
        <v>938039.1450136222</v>
      </c>
      <c r="I114" s="6">
        <v>26382.350953508125</v>
      </c>
      <c r="J114" s="6">
        <v>3535235.027770089</v>
      </c>
      <c r="L114" s="4" t="s">
        <v>339</v>
      </c>
      <c r="M114" s="6">
        <v>3.0</v>
      </c>
      <c r="N114" s="79">
        <v>0.045454545454545456</v>
      </c>
      <c r="O114" s="6">
        <v>632909.9344907253</v>
      </c>
      <c r="P114" s="6">
        <v>316454.96724536264</v>
      </c>
      <c r="Q114" s="6">
        <v>189872.98034721758</v>
      </c>
      <c r="R114" s="6">
        <v>2215184.7707175384</v>
      </c>
      <c r="S114" s="6">
        <v>506327.9475925802</v>
      </c>
      <c r="T114" s="6">
        <v>14240.473526041318</v>
      </c>
      <c r="U114" s="6">
        <v>1908223.4524895367</v>
      </c>
    </row>
    <row r="115">
      <c r="A115" s="4" t="s">
        <v>370</v>
      </c>
      <c r="B115" s="6">
        <v>3.0</v>
      </c>
      <c r="C115" s="79">
        <v>0.031578947368421054</v>
      </c>
      <c r="D115" s="6">
        <v>439705.84922513546</v>
      </c>
      <c r="E115" s="6">
        <v>219852.92461256776</v>
      </c>
      <c r="F115" s="6">
        <v>131911.75476754064</v>
      </c>
      <c r="G115" s="6">
        <v>1538970.472287974</v>
      </c>
      <c r="H115" s="6">
        <v>351764.67938010837</v>
      </c>
      <c r="I115" s="6">
        <v>9893.381607565547</v>
      </c>
      <c r="J115" s="6">
        <v>1325713.1354137834</v>
      </c>
      <c r="L115" s="4" t="s">
        <v>443</v>
      </c>
      <c r="M115" s="6">
        <v>6.0</v>
      </c>
      <c r="N115" s="79">
        <v>0.09090909090909091</v>
      </c>
      <c r="O115" s="6">
        <v>1265819.8689814506</v>
      </c>
      <c r="P115" s="6">
        <v>632909.9344907253</v>
      </c>
      <c r="Q115" s="6">
        <v>379745.96069443517</v>
      </c>
      <c r="R115" s="6">
        <v>4430369.541435077</v>
      </c>
      <c r="S115" s="6">
        <v>1012655.8951851605</v>
      </c>
      <c r="T115" s="6">
        <v>28480.947052082636</v>
      </c>
      <c r="U115" s="6">
        <v>3816446.9049790734</v>
      </c>
    </row>
    <row r="116">
      <c r="A116" s="4" t="s">
        <v>373</v>
      </c>
      <c r="B116" s="6">
        <v>1.0</v>
      </c>
      <c r="C116" s="79">
        <v>0.010526315789473684</v>
      </c>
      <c r="D116" s="6">
        <v>146568.61640837847</v>
      </c>
      <c r="E116" s="6">
        <v>73284.30820418925</v>
      </c>
      <c r="F116" s="6">
        <v>43970.58492251354</v>
      </c>
      <c r="G116" s="6">
        <v>512990.1574293247</v>
      </c>
      <c r="H116" s="6">
        <v>117254.89312670278</v>
      </c>
      <c r="I116" s="6">
        <v>3297.7938691885156</v>
      </c>
      <c r="J116" s="6">
        <v>441904.3784712611</v>
      </c>
      <c r="L116" s="4" t="s">
        <v>446</v>
      </c>
      <c r="M116" s="6">
        <v>6.0</v>
      </c>
      <c r="N116" s="79">
        <v>0.09090909090909091</v>
      </c>
      <c r="O116" s="6">
        <v>1265819.8689814506</v>
      </c>
      <c r="P116" s="6">
        <v>632909.9344907253</v>
      </c>
      <c r="Q116" s="6">
        <v>379745.96069443517</v>
      </c>
      <c r="R116" s="6">
        <v>4430369.541435077</v>
      </c>
      <c r="S116" s="6">
        <v>1012655.8951851605</v>
      </c>
      <c r="T116" s="6">
        <v>28480.947052082636</v>
      </c>
      <c r="U116" s="6">
        <v>3816446.9049790734</v>
      </c>
    </row>
    <row r="117">
      <c r="A117" s="4" t="s">
        <v>374</v>
      </c>
      <c r="B117" s="6">
        <v>5.0</v>
      </c>
      <c r="C117" s="79">
        <v>0.05263157894736842</v>
      </c>
      <c r="D117" s="6">
        <v>732843.0820418923</v>
      </c>
      <c r="E117" s="6">
        <v>366421.5410209462</v>
      </c>
      <c r="F117" s="6">
        <v>219852.9246125677</v>
      </c>
      <c r="G117" s="6">
        <v>2564950.7871466232</v>
      </c>
      <c r="H117" s="6">
        <v>586274.4656335139</v>
      </c>
      <c r="I117" s="6">
        <v>16488.969345942576</v>
      </c>
      <c r="J117" s="6">
        <v>2209521.8923563054</v>
      </c>
      <c r="L117" s="4" t="s">
        <v>450</v>
      </c>
      <c r="M117" s="6">
        <v>6.0</v>
      </c>
      <c r="N117" s="79">
        <v>0.09090909090909091</v>
      </c>
      <c r="O117" s="6">
        <v>1265819.8689814506</v>
      </c>
      <c r="P117" s="6">
        <v>632909.9344907253</v>
      </c>
      <c r="Q117" s="6">
        <v>379745.96069443517</v>
      </c>
      <c r="R117" s="6">
        <v>4430369.541435077</v>
      </c>
      <c r="S117" s="6">
        <v>1012655.8951851605</v>
      </c>
      <c r="T117" s="6">
        <v>28480.947052082636</v>
      </c>
      <c r="U117" s="6">
        <v>3816446.9049790734</v>
      </c>
    </row>
    <row r="118">
      <c r="A118" s="4" t="s">
        <v>377</v>
      </c>
      <c r="B118" s="6">
        <v>10.0</v>
      </c>
      <c r="C118" s="79">
        <v>0.10526315789473684</v>
      </c>
      <c r="D118" s="6">
        <v>1465686.1640837847</v>
      </c>
      <c r="E118" s="6">
        <v>732843.0820418925</v>
      </c>
      <c r="F118" s="6">
        <v>439705.8492251354</v>
      </c>
      <c r="G118" s="6">
        <v>5129901.5742932465</v>
      </c>
      <c r="H118" s="6">
        <v>1172548.9312670277</v>
      </c>
      <c r="I118" s="6">
        <v>32977.93869188515</v>
      </c>
      <c r="J118" s="6">
        <v>4419043.784712611</v>
      </c>
      <c r="L118" s="4" t="s">
        <v>454</v>
      </c>
      <c r="M118" s="6">
        <v>1.0</v>
      </c>
      <c r="N118" s="79">
        <v>0.015151515151515152</v>
      </c>
      <c r="O118" s="6">
        <v>210969.97816357508</v>
      </c>
      <c r="P118" s="6">
        <v>105484.98908178756</v>
      </c>
      <c r="Q118" s="6">
        <v>63290.99344907253</v>
      </c>
      <c r="R118" s="6">
        <v>738394.9235725129</v>
      </c>
      <c r="S118" s="6">
        <v>168775.98253086006</v>
      </c>
      <c r="T118" s="6">
        <v>4746.824508680439</v>
      </c>
      <c r="U118" s="6">
        <v>636074.4841631788</v>
      </c>
    </row>
    <row r="119">
      <c r="A119" s="4" t="s">
        <v>380</v>
      </c>
      <c r="B119" s="6">
        <v>8.0</v>
      </c>
      <c r="C119" s="79">
        <v>0.08421052631578947</v>
      </c>
      <c r="D119" s="6">
        <v>1172548.9312670277</v>
      </c>
      <c r="E119" s="6">
        <v>586274.465633514</v>
      </c>
      <c r="F119" s="6">
        <v>351764.6793801083</v>
      </c>
      <c r="G119" s="6">
        <v>4103921.2594345976</v>
      </c>
      <c r="H119" s="6">
        <v>938039.1450136222</v>
      </c>
      <c r="I119" s="6">
        <v>26382.350953508125</v>
      </c>
      <c r="J119" s="6">
        <v>3535235.027770089</v>
      </c>
      <c r="L119" s="4" t="s">
        <v>457</v>
      </c>
      <c r="M119" s="6">
        <v>6.0</v>
      </c>
      <c r="N119" s="79">
        <v>0.09090909090909091</v>
      </c>
      <c r="O119" s="6">
        <v>1265819.8689814506</v>
      </c>
      <c r="P119" s="6">
        <v>632909.9344907253</v>
      </c>
      <c r="Q119" s="6">
        <v>379745.96069443517</v>
      </c>
      <c r="R119" s="6">
        <v>4430369.541435077</v>
      </c>
      <c r="S119" s="6">
        <v>1012655.8951851605</v>
      </c>
      <c r="T119" s="6">
        <v>28480.947052082636</v>
      </c>
      <c r="U119" s="6">
        <v>3816446.9049790734</v>
      </c>
    </row>
    <row r="120">
      <c r="A120" s="4" t="s">
        <v>381</v>
      </c>
      <c r="B120" s="6">
        <v>9.0</v>
      </c>
      <c r="C120" s="79">
        <v>0.09473684210526316</v>
      </c>
      <c r="D120" s="6">
        <v>1319117.5476754063</v>
      </c>
      <c r="E120" s="6">
        <v>659558.7738377033</v>
      </c>
      <c r="F120" s="6">
        <v>395735.2643026219</v>
      </c>
      <c r="G120" s="6">
        <v>4616911.416863923</v>
      </c>
      <c r="H120" s="6">
        <v>1055294.038140325</v>
      </c>
      <c r="I120" s="6">
        <v>29680.144822696642</v>
      </c>
      <c r="J120" s="6">
        <v>3977139.40624135</v>
      </c>
      <c r="L120" s="4" t="s">
        <v>460</v>
      </c>
      <c r="M120" s="6">
        <v>5.0</v>
      </c>
      <c r="N120" s="79">
        <v>0.07575757575757576</v>
      </c>
      <c r="O120" s="6">
        <v>1054849.8908178755</v>
      </c>
      <c r="P120" s="6">
        <v>527424.9454089378</v>
      </c>
      <c r="Q120" s="6">
        <v>316454.96724536264</v>
      </c>
      <c r="R120" s="6">
        <v>3691974.6178625645</v>
      </c>
      <c r="S120" s="6">
        <v>843879.9126543003</v>
      </c>
      <c r="T120" s="6">
        <v>23734.122543402194</v>
      </c>
      <c r="U120" s="6">
        <v>3180372.4208158944</v>
      </c>
    </row>
    <row r="121">
      <c r="A121" s="4" t="s">
        <v>382</v>
      </c>
      <c r="B121" s="6">
        <v>7.0</v>
      </c>
      <c r="C121" s="79">
        <v>0.07368421052631578</v>
      </c>
      <c r="D121" s="6">
        <v>1025980.3148586493</v>
      </c>
      <c r="E121" s="6">
        <v>512990.1574293247</v>
      </c>
      <c r="F121" s="6">
        <v>307794.0944575948</v>
      </c>
      <c r="G121" s="6">
        <v>3590931.1020052726</v>
      </c>
      <c r="H121" s="6">
        <v>820784.2518869194</v>
      </c>
      <c r="I121" s="6">
        <v>23084.557084319607</v>
      </c>
      <c r="J121" s="6">
        <v>3093330.6492988276</v>
      </c>
      <c r="L121" s="4" t="s">
        <v>463</v>
      </c>
      <c r="M121" s="6">
        <v>10.0</v>
      </c>
      <c r="N121" s="79">
        <v>0.15151515151515152</v>
      </c>
      <c r="O121" s="6">
        <v>2109699.781635751</v>
      </c>
      <c r="P121" s="6">
        <v>1054849.8908178755</v>
      </c>
      <c r="Q121" s="6">
        <v>632909.9344907253</v>
      </c>
      <c r="R121" s="6">
        <v>7383949.235725129</v>
      </c>
      <c r="S121" s="6">
        <v>1687759.8253086007</v>
      </c>
      <c r="T121" s="6">
        <v>47468.24508680439</v>
      </c>
      <c r="U121" s="6">
        <v>6360744.841631789</v>
      </c>
    </row>
    <row r="122">
      <c r="A122" s="4" t="s">
        <v>385</v>
      </c>
      <c r="B122" s="6">
        <v>2.0</v>
      </c>
      <c r="C122" s="79">
        <v>0.021052631578947368</v>
      </c>
      <c r="D122" s="6">
        <v>293137.23281675694</v>
      </c>
      <c r="E122" s="6">
        <v>146568.6164083785</v>
      </c>
      <c r="F122" s="6">
        <v>87941.16984502708</v>
      </c>
      <c r="G122" s="6">
        <v>1025980.3148586494</v>
      </c>
      <c r="H122" s="6">
        <v>234509.78625340556</v>
      </c>
      <c r="I122" s="6">
        <v>6595.587738377031</v>
      </c>
      <c r="J122" s="6">
        <v>883808.7569425222</v>
      </c>
      <c r="L122" s="4" t="s">
        <v>466</v>
      </c>
      <c r="M122" s="6">
        <v>2.0</v>
      </c>
      <c r="N122" s="79">
        <v>0.030303030303030304</v>
      </c>
      <c r="O122" s="6">
        <v>421939.95632715017</v>
      </c>
      <c r="P122" s="6">
        <v>210969.9781635751</v>
      </c>
      <c r="Q122" s="6">
        <v>126581.98689814506</v>
      </c>
      <c r="R122" s="6">
        <v>1476789.8471450259</v>
      </c>
      <c r="S122" s="6">
        <v>337551.9650617201</v>
      </c>
      <c r="T122" s="6">
        <v>9493.649017360878</v>
      </c>
      <c r="U122" s="6">
        <v>1272148.9683263577</v>
      </c>
    </row>
    <row r="123">
      <c r="A123" s="4" t="s">
        <v>386</v>
      </c>
      <c r="B123" s="6">
        <v>8.0</v>
      </c>
      <c r="C123" s="79">
        <v>0.08421052631578947</v>
      </c>
      <c r="D123" s="6">
        <v>1172548.9312670277</v>
      </c>
      <c r="E123" s="6">
        <v>586274.465633514</v>
      </c>
      <c r="F123" s="6">
        <v>351764.6793801083</v>
      </c>
      <c r="G123" s="6">
        <v>4103921.2594345976</v>
      </c>
      <c r="H123" s="6">
        <v>938039.1450136222</v>
      </c>
      <c r="I123" s="6">
        <v>26382.350953508125</v>
      </c>
      <c r="J123" s="6">
        <v>3535235.027770089</v>
      </c>
      <c r="L123" s="4" t="s">
        <v>469</v>
      </c>
      <c r="M123" s="6">
        <v>5.0</v>
      </c>
      <c r="N123" s="79">
        <v>0.07575757575757576</v>
      </c>
      <c r="O123" s="6">
        <v>1054849.8908178755</v>
      </c>
      <c r="P123" s="6">
        <v>527424.9454089378</v>
      </c>
      <c r="Q123" s="6">
        <v>316454.96724536264</v>
      </c>
      <c r="R123" s="6">
        <v>3691974.6178625645</v>
      </c>
      <c r="S123" s="6">
        <v>843879.9126543003</v>
      </c>
      <c r="T123" s="6">
        <v>23734.122543402194</v>
      </c>
      <c r="U123" s="6">
        <v>3180372.4208158944</v>
      </c>
    </row>
    <row r="124">
      <c r="A124" s="4" t="s">
        <v>389</v>
      </c>
      <c r="B124" s="6">
        <v>7.0</v>
      </c>
      <c r="C124" s="79">
        <v>0.07368421052631578</v>
      </c>
      <c r="D124" s="6">
        <v>1025980.3148586493</v>
      </c>
      <c r="E124" s="6">
        <v>512990.1574293247</v>
      </c>
      <c r="F124" s="6">
        <v>307794.0944575948</v>
      </c>
      <c r="G124" s="6">
        <v>3590931.1020052726</v>
      </c>
      <c r="H124" s="6">
        <v>820784.2518869194</v>
      </c>
      <c r="I124" s="6">
        <v>23084.557084319607</v>
      </c>
      <c r="J124" s="6">
        <v>3093330.6492988276</v>
      </c>
      <c r="L124" s="4" t="s">
        <v>472</v>
      </c>
      <c r="M124" s="6">
        <v>2.0</v>
      </c>
      <c r="N124" s="79">
        <v>0.030303030303030304</v>
      </c>
      <c r="O124" s="6">
        <v>421939.95632715017</v>
      </c>
      <c r="P124" s="6">
        <v>210969.9781635751</v>
      </c>
      <c r="Q124" s="6">
        <v>126581.98689814506</v>
      </c>
      <c r="R124" s="6">
        <v>1476789.8471450259</v>
      </c>
      <c r="S124" s="6">
        <v>337551.9650617201</v>
      </c>
      <c r="T124" s="6">
        <v>9493.649017360878</v>
      </c>
      <c r="U124" s="6">
        <v>1272148.9683263577</v>
      </c>
    </row>
    <row r="125">
      <c r="A125" s="4" t="s">
        <v>390</v>
      </c>
      <c r="B125" s="6">
        <v>5.0</v>
      </c>
      <c r="C125" s="79">
        <v>0.05263157894736842</v>
      </c>
      <c r="D125" s="6">
        <v>732843.0820418923</v>
      </c>
      <c r="E125" s="6">
        <v>366421.5410209462</v>
      </c>
      <c r="F125" s="6">
        <v>219852.9246125677</v>
      </c>
      <c r="G125" s="6">
        <v>2564950.7871466232</v>
      </c>
      <c r="H125" s="6">
        <v>586274.4656335139</v>
      </c>
      <c r="I125" s="6">
        <v>16488.969345942576</v>
      </c>
      <c r="J125" s="6">
        <v>2209521.8923563054</v>
      </c>
      <c r="L125" s="4" t="s">
        <v>475</v>
      </c>
      <c r="M125" s="6">
        <v>8.0</v>
      </c>
      <c r="N125" s="79">
        <v>0.12121212121212122</v>
      </c>
      <c r="O125" s="6">
        <v>1687759.8253086007</v>
      </c>
      <c r="P125" s="6">
        <v>843879.9126543005</v>
      </c>
      <c r="Q125" s="6">
        <v>506327.9475925802</v>
      </c>
      <c r="R125" s="6">
        <v>5907159.388580103</v>
      </c>
      <c r="S125" s="6">
        <v>1350207.8602468804</v>
      </c>
      <c r="T125" s="6">
        <v>37974.59606944351</v>
      </c>
      <c r="U125" s="6">
        <v>5088595.873305431</v>
      </c>
    </row>
    <row r="126">
      <c r="A126" s="4" t="s">
        <v>391</v>
      </c>
      <c r="B126" s="6">
        <v>3.0</v>
      </c>
      <c r="C126" s="79">
        <v>0.031578947368421054</v>
      </c>
      <c r="D126" s="6">
        <v>439705.84922513546</v>
      </c>
      <c r="E126" s="6">
        <v>219852.92461256776</v>
      </c>
      <c r="F126" s="6">
        <v>131911.75476754064</v>
      </c>
      <c r="G126" s="6">
        <v>1538970.472287974</v>
      </c>
      <c r="H126" s="6">
        <v>351764.67938010837</v>
      </c>
      <c r="I126" s="6">
        <v>9893.381607565547</v>
      </c>
      <c r="J126" s="6">
        <v>1325713.1354137834</v>
      </c>
    </row>
    <row r="127">
      <c r="A127" s="4" t="s">
        <v>394</v>
      </c>
      <c r="B127" s="6">
        <v>1.0</v>
      </c>
      <c r="C127" s="79">
        <v>0.010526315789473684</v>
      </c>
      <c r="D127" s="6">
        <v>146568.61640837847</v>
      </c>
      <c r="E127" s="6">
        <v>73284.30820418925</v>
      </c>
      <c r="F127" s="6">
        <v>43970.58492251354</v>
      </c>
      <c r="G127" s="6">
        <v>512990.1574293247</v>
      </c>
      <c r="H127" s="6">
        <v>117254.89312670278</v>
      </c>
      <c r="I127" s="6">
        <v>3297.7938691885156</v>
      </c>
      <c r="J127" s="6">
        <v>441904.3784712611</v>
      </c>
    </row>
    <row r="130">
      <c r="A130" s="78" t="s">
        <v>78</v>
      </c>
    </row>
    <row r="131">
      <c r="C131" s="66"/>
      <c r="D131" s="11">
        <v>0.5</v>
      </c>
      <c r="E131" s="11">
        <v>0.2</v>
      </c>
      <c r="F131" s="11">
        <v>0.1</v>
      </c>
      <c r="G131" s="11">
        <v>1.0</v>
      </c>
      <c r="H131" s="11">
        <v>0.2</v>
      </c>
      <c r="I131" s="11">
        <v>0.005</v>
      </c>
      <c r="J131" s="11">
        <v>0.67</v>
      </c>
    </row>
    <row r="132">
      <c r="A132" s="6" t="s">
        <v>0</v>
      </c>
      <c r="B132" s="6">
        <v>78.0</v>
      </c>
      <c r="C132" s="79">
        <v>0.9999999999999999</v>
      </c>
      <c r="D132" s="6">
        <v>1.3924018558795955E7</v>
      </c>
      <c r="E132" s="6">
        <v>6962009.279397978</v>
      </c>
      <c r="F132" s="6">
        <v>4177205.5676387865</v>
      </c>
      <c r="G132" s="6">
        <v>4.873406495578585E7</v>
      </c>
      <c r="H132" s="6">
        <v>1.1139214847036764E7</v>
      </c>
      <c r="I132" s="6">
        <v>313290.417572909</v>
      </c>
      <c r="J132" s="6">
        <v>4.1980915954769805E7</v>
      </c>
    </row>
    <row r="133">
      <c r="A133" s="81" t="s">
        <v>100</v>
      </c>
      <c r="B133" s="6">
        <v>2.0</v>
      </c>
      <c r="C133" s="79">
        <v>0.02564102564102564</v>
      </c>
      <c r="D133" s="6">
        <v>357026.116892204</v>
      </c>
      <c r="E133" s="6">
        <v>178513.05844610202</v>
      </c>
      <c r="F133" s="6">
        <v>107107.83506766119</v>
      </c>
      <c r="G133" s="6">
        <v>1249591.409122714</v>
      </c>
      <c r="H133" s="6">
        <v>285620.89351376315</v>
      </c>
      <c r="I133" s="6">
        <v>8033.087630074589</v>
      </c>
      <c r="J133" s="6">
        <v>1076433.742429995</v>
      </c>
    </row>
    <row r="134">
      <c r="A134" s="82" t="s">
        <v>414</v>
      </c>
      <c r="B134" s="6">
        <v>9.0</v>
      </c>
      <c r="C134" s="79">
        <v>0.11538461538461539</v>
      </c>
      <c r="D134" s="6">
        <v>1606617.526014918</v>
      </c>
      <c r="E134" s="6">
        <v>803308.7630074591</v>
      </c>
      <c r="F134" s="6">
        <v>481985.2578044754</v>
      </c>
      <c r="G134" s="6">
        <v>5623161.341052214</v>
      </c>
      <c r="H134" s="6">
        <v>1285294.0208119345</v>
      </c>
      <c r="I134" s="6">
        <v>36148.89433533565</v>
      </c>
      <c r="J134" s="6">
        <v>4843951.840934978</v>
      </c>
    </row>
    <row r="135">
      <c r="A135" s="82" t="s">
        <v>417</v>
      </c>
      <c r="B135" s="6">
        <v>4.0</v>
      </c>
      <c r="C135" s="79">
        <v>0.05128205128205128</v>
      </c>
      <c r="D135" s="6">
        <v>714052.233784408</v>
      </c>
      <c r="E135" s="6">
        <v>357026.11689220404</v>
      </c>
      <c r="F135" s="6">
        <v>214215.67013532238</v>
      </c>
      <c r="G135" s="6">
        <v>2499182.818245428</v>
      </c>
      <c r="H135" s="6">
        <v>571241.7870275263</v>
      </c>
      <c r="I135" s="6">
        <v>16066.175260149177</v>
      </c>
      <c r="J135" s="6">
        <v>2152867.48485999</v>
      </c>
    </row>
    <row r="136">
      <c r="A136" s="82" t="s">
        <v>418</v>
      </c>
      <c r="B136" s="6">
        <v>2.0</v>
      </c>
      <c r="C136" s="79">
        <v>0.02564102564102564</v>
      </c>
      <c r="D136" s="6">
        <v>357026.116892204</v>
      </c>
      <c r="E136" s="6">
        <v>178513.05844610202</v>
      </c>
      <c r="F136" s="6">
        <v>107107.83506766119</v>
      </c>
      <c r="G136" s="6">
        <v>1249591.409122714</v>
      </c>
      <c r="H136" s="6">
        <v>285620.89351376315</v>
      </c>
      <c r="I136" s="6">
        <v>8033.087630074589</v>
      </c>
      <c r="J136" s="6">
        <v>1076433.742429995</v>
      </c>
    </row>
    <row r="137">
      <c r="A137" s="82" t="s">
        <v>419</v>
      </c>
      <c r="B137" s="6">
        <v>2.0</v>
      </c>
      <c r="C137" s="79">
        <v>0.02564102564102564</v>
      </c>
      <c r="D137" s="6">
        <v>357026.116892204</v>
      </c>
      <c r="E137" s="6">
        <v>178513.05844610202</v>
      </c>
      <c r="F137" s="6">
        <v>107107.83506766119</v>
      </c>
      <c r="G137" s="6">
        <v>1249591.409122714</v>
      </c>
      <c r="H137" s="6">
        <v>285620.89351376315</v>
      </c>
      <c r="I137" s="6">
        <v>8033.087630074589</v>
      </c>
      <c r="J137" s="6">
        <v>1076433.742429995</v>
      </c>
    </row>
    <row r="138">
      <c r="A138" s="82" t="s">
        <v>422</v>
      </c>
      <c r="B138" s="6">
        <v>6.0</v>
      </c>
      <c r="C138" s="79">
        <v>0.07692307692307693</v>
      </c>
      <c r="D138" s="6">
        <v>1071078.350676612</v>
      </c>
      <c r="E138" s="6">
        <v>535539.1753383061</v>
      </c>
      <c r="F138" s="6">
        <v>321323.5052029836</v>
      </c>
      <c r="G138" s="6">
        <v>3748774.2273681425</v>
      </c>
      <c r="H138" s="6">
        <v>856862.6805412896</v>
      </c>
      <c r="I138" s="6">
        <v>24099.26289022377</v>
      </c>
      <c r="J138" s="6">
        <v>3229301.2272899854</v>
      </c>
    </row>
    <row r="139">
      <c r="A139" s="82" t="s">
        <v>423</v>
      </c>
      <c r="B139" s="6">
        <v>2.0</v>
      </c>
      <c r="C139" s="79">
        <v>0.02564102564102564</v>
      </c>
      <c r="D139" s="6">
        <v>357026.116892204</v>
      </c>
      <c r="E139" s="6">
        <v>178513.05844610202</v>
      </c>
      <c r="F139" s="6">
        <v>107107.83506766119</v>
      </c>
      <c r="G139" s="6">
        <v>1249591.409122714</v>
      </c>
      <c r="H139" s="6">
        <v>285620.89351376315</v>
      </c>
      <c r="I139" s="6">
        <v>8033.087630074589</v>
      </c>
      <c r="J139" s="6">
        <v>1076433.742429995</v>
      </c>
    </row>
    <row r="140">
      <c r="A140" s="82" t="s">
        <v>424</v>
      </c>
      <c r="B140" s="6">
        <v>6.0</v>
      </c>
      <c r="C140" s="79">
        <v>0.07692307692307693</v>
      </c>
      <c r="D140" s="6">
        <v>1071078.350676612</v>
      </c>
      <c r="E140" s="6">
        <v>535539.1753383061</v>
      </c>
      <c r="F140" s="6">
        <v>321323.5052029836</v>
      </c>
      <c r="G140" s="6">
        <v>3748774.2273681425</v>
      </c>
      <c r="H140" s="6">
        <v>856862.6805412896</v>
      </c>
      <c r="I140" s="6">
        <v>24099.26289022377</v>
      </c>
      <c r="J140" s="6">
        <v>3229301.2272899854</v>
      </c>
    </row>
    <row r="141">
      <c r="A141" s="82" t="s">
        <v>427</v>
      </c>
      <c r="B141" s="6">
        <v>5.0</v>
      </c>
      <c r="C141" s="79">
        <v>0.0641025641025641</v>
      </c>
      <c r="D141" s="6">
        <v>892565.2922305098</v>
      </c>
      <c r="E141" s="6">
        <v>446282.64611525496</v>
      </c>
      <c r="F141" s="6">
        <v>267769.58766915294</v>
      </c>
      <c r="G141" s="6">
        <v>3123978.522806785</v>
      </c>
      <c r="H141" s="6">
        <v>714052.2337844078</v>
      </c>
      <c r="I141" s="6">
        <v>20082.719075186473</v>
      </c>
      <c r="J141" s="6">
        <v>2691084.3560749874</v>
      </c>
    </row>
    <row r="142">
      <c r="A142" s="82" t="s">
        <v>430</v>
      </c>
      <c r="B142" s="6">
        <v>2.0</v>
      </c>
      <c r="C142" s="79">
        <v>0.02564102564102564</v>
      </c>
      <c r="D142" s="6">
        <v>357026.116892204</v>
      </c>
      <c r="E142" s="6">
        <v>178513.05844610202</v>
      </c>
      <c r="F142" s="6">
        <v>107107.83506766119</v>
      </c>
      <c r="G142" s="6">
        <v>1249591.409122714</v>
      </c>
      <c r="H142" s="6">
        <v>285620.89351376315</v>
      </c>
      <c r="I142" s="6">
        <v>8033.087630074589</v>
      </c>
      <c r="J142" s="6">
        <v>1076433.742429995</v>
      </c>
    </row>
    <row r="143">
      <c r="A143" s="82" t="s">
        <v>433</v>
      </c>
      <c r="B143" s="6">
        <v>6.0</v>
      </c>
      <c r="C143" s="79">
        <v>0.07692307692307693</v>
      </c>
      <c r="D143" s="6">
        <v>1071078.350676612</v>
      </c>
      <c r="E143" s="6">
        <v>535539.1753383061</v>
      </c>
      <c r="F143" s="6">
        <v>321323.5052029836</v>
      </c>
      <c r="G143" s="6">
        <v>3748774.2273681425</v>
      </c>
      <c r="H143" s="6">
        <v>856862.6805412896</v>
      </c>
      <c r="I143" s="6">
        <v>24099.26289022377</v>
      </c>
      <c r="J143" s="6">
        <v>3229301.2272899854</v>
      </c>
    </row>
    <row r="144">
      <c r="A144" s="82" t="s">
        <v>434</v>
      </c>
      <c r="B144" s="6">
        <v>6.0</v>
      </c>
      <c r="C144" s="79">
        <v>0.07692307692307693</v>
      </c>
      <c r="D144" s="6">
        <v>1071078.350676612</v>
      </c>
      <c r="E144" s="6">
        <v>535539.1753383061</v>
      </c>
      <c r="F144" s="6">
        <v>321323.5052029836</v>
      </c>
      <c r="G144" s="6">
        <v>3748774.2273681425</v>
      </c>
      <c r="H144" s="6">
        <v>856862.6805412896</v>
      </c>
      <c r="I144" s="6">
        <v>24099.26289022377</v>
      </c>
      <c r="J144" s="6">
        <v>3229301.2272899854</v>
      </c>
    </row>
    <row r="145">
      <c r="A145" s="82" t="s">
        <v>436</v>
      </c>
      <c r="B145" s="6">
        <v>10.0</v>
      </c>
      <c r="C145" s="79">
        <v>0.1282051282051282</v>
      </c>
      <c r="D145" s="6">
        <v>1785130.5844610196</v>
      </c>
      <c r="E145" s="6">
        <v>892565.2922305099</v>
      </c>
      <c r="F145" s="6">
        <v>535539.1753383059</v>
      </c>
      <c r="G145" s="6">
        <v>6247957.04561357</v>
      </c>
      <c r="H145" s="6">
        <v>1428104.4675688157</v>
      </c>
      <c r="I145" s="6">
        <v>40165.438150372946</v>
      </c>
      <c r="J145" s="6">
        <v>5382168.712149975</v>
      </c>
    </row>
    <row r="146">
      <c r="A146" s="82" t="s">
        <v>437</v>
      </c>
      <c r="B146" s="6">
        <v>2.0</v>
      </c>
      <c r="C146" s="79">
        <v>0.02564102564102564</v>
      </c>
      <c r="D146" s="6">
        <v>357026.116892204</v>
      </c>
      <c r="E146" s="6">
        <v>178513.05844610202</v>
      </c>
      <c r="F146" s="6">
        <v>107107.83506766119</v>
      </c>
      <c r="G146" s="6">
        <v>1249591.409122714</v>
      </c>
      <c r="H146" s="6">
        <v>285620.89351376315</v>
      </c>
      <c r="I146" s="6">
        <v>8033.087630074589</v>
      </c>
      <c r="J146" s="6">
        <v>1076433.742429995</v>
      </c>
    </row>
    <row r="147">
      <c r="A147" s="82" t="s">
        <v>440</v>
      </c>
      <c r="B147" s="6">
        <v>10.0</v>
      </c>
      <c r="C147" s="79">
        <v>0.1282051282051282</v>
      </c>
      <c r="D147" s="6">
        <v>1785130.5844610196</v>
      </c>
      <c r="E147" s="6">
        <v>892565.2922305099</v>
      </c>
      <c r="F147" s="6">
        <v>535539.1753383059</v>
      </c>
      <c r="G147" s="6">
        <v>6247957.04561357</v>
      </c>
      <c r="H147" s="6">
        <v>1428104.4675688157</v>
      </c>
      <c r="I147" s="6">
        <v>40165.438150372946</v>
      </c>
      <c r="J147" s="6">
        <v>5382168.712149975</v>
      </c>
    </row>
    <row r="148">
      <c r="A148" s="82" t="s">
        <v>447</v>
      </c>
      <c r="B148" s="6">
        <v>2.0</v>
      </c>
      <c r="C148" s="79">
        <v>0.02564102564102564</v>
      </c>
      <c r="D148" s="6">
        <v>357026.116892204</v>
      </c>
      <c r="E148" s="6">
        <v>178513.05844610202</v>
      </c>
      <c r="F148" s="6">
        <v>107107.83506766119</v>
      </c>
      <c r="G148" s="6">
        <v>1249591.409122714</v>
      </c>
      <c r="H148" s="6">
        <v>285620.89351376315</v>
      </c>
      <c r="I148" s="6">
        <v>8033.087630074589</v>
      </c>
      <c r="J148" s="6">
        <v>1076433.742429995</v>
      </c>
    </row>
  </sheetData>
  <mergeCells count="13">
    <mergeCell ref="A69:J69"/>
    <mergeCell ref="A91:J91"/>
    <mergeCell ref="L91:U91"/>
    <mergeCell ref="A109:J109"/>
    <mergeCell ref="L109:U109"/>
    <mergeCell ref="A130:J130"/>
    <mergeCell ref="A1:J1"/>
    <mergeCell ref="A22:P22"/>
    <mergeCell ref="A28:J28"/>
    <mergeCell ref="A49:U49"/>
    <mergeCell ref="A50:J50"/>
    <mergeCell ref="L50:U50"/>
    <mergeCell ref="L69:U69"/>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